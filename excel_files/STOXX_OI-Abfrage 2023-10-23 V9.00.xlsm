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Detlef\Tradematiker\Research\Optionen\OI-Abfrage\STOXX\"/>
    </mc:Choice>
  </mc:AlternateContent>
  <xr:revisionPtr revIDLastSave="0" documentId="8_{C7055A7B-B673-4823-AC03-C01B92CC50F4}" xr6:coauthVersionLast="47" xr6:coauthVersionMax="47" xr10:uidLastSave="{00000000-0000-0000-0000-000000000000}"/>
  <bookViews>
    <workbookView xWindow="-23148" yWindow="-108" windowWidth="23256" windowHeight="12456" tabRatio="751" activeTab="1" xr2:uid="{3CDFE83A-9C88-4766-961F-2D6C5E1FA6D2}"/>
  </bookViews>
  <sheets>
    <sheet name="Version" sheetId="44" r:id="rId1"/>
    <sheet name="Ueberhaenge" sheetId="1" r:id="rId2"/>
    <sheet name="STOXX_Call_Front" sheetId="114" r:id="rId3"/>
    <sheet name="STOXX_Put_Front" sheetId="115" r:id="rId4"/>
    <sheet name="STOXX_CallFront-1" sheetId="116" r:id="rId5"/>
    <sheet name="STOXX_PutFront-1" sheetId="117" r:id="rId6"/>
    <sheet name="STOXX_Call+01" sheetId="118" r:id="rId7"/>
    <sheet name="STOXX_Put+01" sheetId="119" r:id="rId8"/>
    <sheet name="AngeboteM" sheetId="69" r:id="rId9"/>
    <sheet name="AngeboteA" sheetId="70" r:id="rId10"/>
    <sheet name="STOXX_Infos" sheetId="19" r:id="rId11"/>
    <sheet name="STOXX_SummeryVerfall" sheetId="67" r:id="rId12"/>
    <sheet name="STOXX_Summery" sheetId="38" r:id="rId13"/>
    <sheet name="Glossar" sheetId="75" r:id="rId14"/>
    <sheet name="Disclaimer" sheetId="40" r:id="rId15"/>
    <sheet name="STOXX_HedgeBedarf" sheetId="18" r:id="rId16"/>
    <sheet name="STOXX_HedgeBedarf+01" sheetId="41" r:id="rId17"/>
    <sheet name="Rates" sheetId="17" r:id="rId18"/>
    <sheet name="Stoxx50" sheetId="61" r:id="rId19"/>
    <sheet name="Euribor3M" sheetId="63" r:id="rId20"/>
    <sheet name="Stoxx50Hist" sheetId="64" r:id="rId21"/>
    <sheet name="VSTOXX_Hist" sheetId="65" r:id="rId22"/>
    <sheet name="VSTOXX" sheetId="66" r:id="rId23"/>
    <sheet name="STOXX_CITI" sheetId="71" r:id="rId24"/>
    <sheet name="VSTOXX Eu" sheetId="72" r:id="rId25"/>
    <sheet name="VSTOXX Hist" sheetId="73" r:id="rId26"/>
    <sheet name="VSTOXX_Finanzen" sheetId="74" r:id="rId27"/>
  </sheets>
  <definedNames>
    <definedName name="_xlnm.Print_Area" localSheetId="12">STOXX_Summery!$A$1:$K$47</definedName>
    <definedName name="ExterneDaten_1" localSheetId="19" hidden="1">Euribor3M!$A$1:$B$11</definedName>
    <definedName name="ExterneDaten_1" localSheetId="23" hidden="1">STOXX_CITI!$A$1:$D$9</definedName>
    <definedName name="ExterneDaten_1" localSheetId="20" hidden="1">Stoxx50Hist!$A$1:$F$11</definedName>
    <definedName name="ExterneDaten_1" localSheetId="24" hidden="1">'VSTOXX Eu'!$A$1:$E$2</definedName>
    <definedName name="ExterneDaten_1" localSheetId="25" hidden="1">'VSTOXX Hist'!$A$1:$C$24</definedName>
    <definedName name="ExterneDaten_1" localSheetId="26" hidden="1">VSTOXX_Finanzen!$A$1:$B$8</definedName>
    <definedName name="ExterneDaten_3" localSheetId="17" hidden="1">Rates!$A$13:$F$15</definedName>
    <definedName name="P" localSheetId="12">STOXX_Summery!$A$1:$K$57</definedName>
    <definedName name="P" localSheetId="11">STOXX_SummeryVerfall!$A$1:$K$57</definedName>
    <definedName name="Print_Area" localSheetId="14">Disclaimer!$A$2:$K$27</definedName>
    <definedName name="Print_Area" localSheetId="13">Glossar!$A$4:$B$16</definedName>
    <definedName name="Print_Area" localSheetId="12">STOXX_Summery!$A$1:$K$47</definedName>
    <definedName name="Print_Area" localSheetId="11">STOXX_SummeryVerfall!$A$2:$K$47</definedName>
    <definedName name="Print_Area" localSheetId="1">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74" l="1"/>
  <c r="C3" i="74"/>
  <c r="C4" i="74"/>
  <c r="C5" i="74"/>
  <c r="C6" i="74"/>
  <c r="C7" i="74"/>
  <c r="C8" i="74"/>
  <c r="O8" i="1" l="1"/>
  <c r="N4" i="1" s="1"/>
  <c r="H3" i="38"/>
  <c r="X2" i="1"/>
  <c r="Y8" i="1"/>
  <c r="X4" i="1" s="1"/>
  <c r="G4" i="1"/>
  <c r="B10" i="67"/>
  <c r="A50" i="67" l="1"/>
  <c r="C9" i="67"/>
  <c r="D9" i="67" s="1"/>
  <c r="Q9" i="67" s="1"/>
  <c r="A50" i="38"/>
  <c r="P9" i="67" l="1"/>
  <c r="AE3" i="1"/>
  <c r="AE2" i="1"/>
  <c r="R6" i="1"/>
  <c r="AE4" i="1" l="1"/>
  <c r="Z4" i="1" s="1"/>
  <c r="X9" i="1"/>
  <c r="X8" i="1" s="1"/>
  <c r="X7" i="1" s="1"/>
  <c r="N3" i="1"/>
  <c r="Y9" i="1"/>
  <c r="G3" i="1"/>
  <c r="I8" i="1" l="1"/>
  <c r="H8" i="1"/>
  <c r="G8" i="1"/>
  <c r="F8" i="1"/>
  <c r="B32" i="19"/>
  <c r="B31" i="19"/>
  <c r="D8" i="1" s="1"/>
  <c r="O8" i="67" l="1"/>
  <c r="B7" i="67"/>
  <c r="G46" i="67"/>
  <c r="E8" i="1"/>
  <c r="B33" i="19"/>
  <c r="G45" i="67" l="1"/>
  <c r="X5" i="1" l="1"/>
  <c r="Z5" i="1" l="1"/>
  <c r="G2" i="1" l="1"/>
  <c r="C3" i="67" s="1"/>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R5" i="1"/>
  <c r="R4" i="1" l="1"/>
  <c r="G1" i="1"/>
  <c r="C9" i="38"/>
  <c r="D9" i="38" s="1"/>
  <c r="O8" i="38"/>
  <c r="B7" i="38"/>
  <c r="G1" i="38" l="1"/>
  <c r="G1" i="67"/>
  <c r="C3" i="38"/>
  <c r="P9" i="38"/>
  <c r="Q9" i="38"/>
  <c r="A28" i="19" l="1"/>
  <c r="A24"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5B80BF-C023-43D8-97C1-35A83AD1E706}" keepAlive="1" name="Abfrage - Euribor3M" description="Verbindung mit der Abfrage 'Euribor3M' in der Arbeitsmappe." type="5" refreshedVersion="7" background="1" saveData="1">
    <dbPr connection="Provider=Microsoft.Mashup.OleDb.1;Data Source=$Workbook$;Location=Euribor3M;Extended Properties=&quot;&quot;" command="SELECT * FROM [Euribor3M]"/>
  </connection>
  <connection id="2" xr16:uid="{C2B06F10-FB3C-4CE9-A0C4-0ED6991DEEA4}" keepAlive="1" name="Abfrage - Historische Kurse VSTOXX" description="Verbindung mit der Abfrage 'Historische Kurse VSTOXX' in der Arbeitsmappe." type="5" refreshedVersion="8" background="1" saveData="1">
    <dbPr connection="Provider=Microsoft.Mashup.OleDb.1;Data Source=$Workbook$;Location=&quot;Historische Kurse VSTOXX&quot;;Extended Properties=&quot;&quot;" command="SELECT * FROM [Historische Kurse VSTOXX]"/>
  </connection>
  <connection id="3" xr16:uid="{E08BC714-C41A-4E2C-BABA-2616CA428715}" keepAlive="1" name="Abfrage - Libor" description="Verbindung mit der Abfrage 'Libor' in der Arbeitsmappe." type="5" refreshedVersion="7" background="1" saveData="1">
    <dbPr connection="Provider=Microsoft.Mashup.OleDb.1;Data Source=$Workbook$;Location=Libor;Extended Properties=&quot;&quot;" command="SELECT * FROM [Libor]"/>
  </connection>
  <connection id="4" xr16:uid="{DFF14FEE-55C2-4F6E-9F7F-F2A63837101F}" keepAlive="1" name="Abfrage - Stuttgart" description="Verbindung mit der Abfrage 'Stuttgart' in der Arbeitsmappe." type="5" refreshedVersion="7" background="1" saveData="1">
    <dbPr connection="Provider=Microsoft.Mashup.OleDb.1;Data Source=$Workbook$;Location=Stuttgart;Extended Properties=&quot;&quot;" command="SELECT * FROM [Stuttgart]"/>
  </connection>
  <connection id="5" xr16:uid="{6B6A468E-F151-4CA2-9A18-353F0ADBB15D}" keepAlive="1" name="Abfrage - VSTOXX EUREX" description="Verbindung mit der Abfrage 'VSTOXX EUREX' in der Arbeitsmappe." type="5" refreshedVersion="8" background="1" saveData="1">
    <dbPr connection="Provider=Microsoft.Mashup.OleDb.1;Data Source=$Workbook$;Location=&quot;VSTOXX EUREX&quot;;Extended Properties=&quot;&quot;" command="SELECT * FROM [VSTOXX EUREX]"/>
  </connection>
  <connection id="6" xr16:uid="{AD67065E-6E95-4FBA-A1B5-BE88EF1AEB21}" keepAlive="1" name="Abfrage - VSTOXX_Finanzen" description="Verbindung mit der Abfrage 'VSTOXX_Finanzen' in der Arbeitsmappe." type="5" refreshedVersion="7" background="1" saveData="1">
    <dbPr connection="Provider=Microsoft.Mashup.OleDb.1;Data Source=$Workbook$;Location=VSTOXX_Finanzen;Extended Properties=&quot;&quot;" command="SELECT * FROM [VSTOXX_Finanzen]"/>
  </connection>
</connections>
</file>

<file path=xl/sharedStrings.xml><?xml version="1.0" encoding="utf-8"?>
<sst xmlns="http://schemas.openxmlformats.org/spreadsheetml/2006/main" count="1414" uniqueCount="304">
  <si>
    <t>Eröffnung</t>
  </si>
  <si>
    <t>Basis</t>
  </si>
  <si>
    <t>Überhang</t>
  </si>
  <si>
    <t>Front</t>
  </si>
  <si>
    <t>ZentralKurs</t>
  </si>
  <si>
    <t>Spannweite</t>
  </si>
  <si>
    <t>Schritt</t>
  </si>
  <si>
    <t>P</t>
  </si>
  <si>
    <t>+01</t>
  </si>
  <si>
    <t>+02</t>
  </si>
  <si>
    <t>6M</t>
  </si>
  <si>
    <t>9M</t>
  </si>
  <si>
    <t>Column1</t>
  </si>
  <si>
    <t>Column2</t>
  </si>
  <si>
    <t>Link zur Statistik:</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</si>
  <si>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</si>
  <si>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</si>
  <si>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</si>
  <si>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</si>
  <si>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</si>
  <si>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</si>
  <si>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</si>
  <si>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</si>
  <si>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</si>
  <si>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</si>
  <si>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</si>
  <si>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</si>
  <si>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</si>
  <si>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</si>
  <si>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</si>
  <si>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</si>
  <si>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</si>
  <si>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</si>
  <si>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t>Änderung des Hedgebedarfs für den Frontmonat (Kontrakte/P)</t>
  </si>
  <si>
    <t>Tage bis Verfall nächster Kontrakt</t>
  </si>
  <si>
    <t>Verfall nächster Kontrakt</t>
  </si>
  <si>
    <t>summe H&amp;H+1</t>
  </si>
  <si>
    <t>12M</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</si>
  <si>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</si>
  <si>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</si>
  <si>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</si>
  <si>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</si>
  <si>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</si>
  <si>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</si>
  <si>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</si>
  <si>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</si>
  <si>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</si>
  <si>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</si>
  <si>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</si>
  <si>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</si>
  <si>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</si>
  <si>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</si>
  <si>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</si>
  <si>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</si>
  <si>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</si>
  <si>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</si>
  <si>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</si>
  <si>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</si>
  <si>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</si>
  <si>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</si>
  <si>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</si>
  <si>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</si>
  <si>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Settlement</t>
  </si>
  <si>
    <t>EUREX</t>
  </si>
  <si>
    <t>Godmode</t>
  </si>
  <si>
    <t>Name</t>
  </si>
  <si>
    <t>Kurs</t>
  </si>
  <si>
    <t>+/- abs.</t>
  </si>
  <si>
    <t>+/- %</t>
  </si>
  <si>
    <t>Forex Capital Markets</t>
  </si>
  <si>
    <t>4.0</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</si>
  <si>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</si>
  <si>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</si>
  <si>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</si>
  <si>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</si>
  <si>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</si>
  <si>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</si>
  <si>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</si>
  <si>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</si>
  <si>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</si>
  <si>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</si>
  <si>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</si>
  <si>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</si>
  <si>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</si>
  <si>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</si>
  <si>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</si>
  <si>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</si>
  <si>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</si>
  <si>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</si>
  <si>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</si>
  <si>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https://www.eurexchange.com/exchange-de/marktdaten/statistik/online-marktstatistiken/</t>
  </si>
  <si>
    <t>alternativ mit bereinigtem OI: https://www.eurexchange.com/exchange-de/produkte/idx/dax/DAX-Optionen-141164</t>
  </si>
  <si>
    <t>neu</t>
  </si>
  <si>
    <t>Table 0</t>
  </si>
  <si>
    <t>JFD Bank</t>
  </si>
  <si>
    <t>let_x000D_
    Quelle = Web.Page(Web.Contents("https://www.eurexchange.com/exchange-de/marktdaten/statistik/online-marktstatistiken/4302!onlineStats?productGroupId=13394&amp;productId=70044&amp;viewType=&amp;cp=Put&amp;month=5&amp;year=2019&amp;busDate=20190426")),_x000D_
    Data0 = Quelle{0}[Data],_x000D_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Int64.Type}})_x000D_
in_x000D_
    #"Geänderter Typ"</t>
  </si>
  <si>
    <t>https://www.eurexchange.com/exchange-de/marktdaten/statistik/online-marktstatistiken/4302!onlineStats?productGroupId=13370&amp;productId=69660&amp;viewType=3&amp;cp=Put&amp;month=6&amp;year=2019&amp;busDate=20190517</t>
  </si>
  <si>
    <t>StoxxPut Front</t>
  </si>
  <si>
    <t>StoxxCall Front</t>
  </si>
  <si>
    <t>STOXX</t>
  </si>
  <si>
    <t>STOXX (e)</t>
  </si>
  <si>
    <r>
      <t xml:space="preserve">STOXX 50 OpenInterest und HedgeBedarf
</t>
    </r>
    <r>
      <rPr>
        <i/>
        <sz val="14"/>
        <color theme="0"/>
        <rFont val="Calibri"/>
        <family val="2"/>
        <scheme val="minor"/>
      </rPr>
      <t>basierend auf Daten von der EUREX
(http://www.eurexchange.com/exchange-de/disclaimer)</t>
    </r>
  </si>
  <si>
    <t>6.0</t>
  </si>
  <si>
    <t>STOXX OI-Abfrage</t>
  </si>
  <si>
    <r>
      <t xml:space="preserve">Future-Hedgebedarf für Überhänge der Optionen
</t>
    </r>
    <r>
      <rPr>
        <b/>
        <i/>
        <sz val="14"/>
        <color theme="0"/>
        <rFont val="Calibri"/>
        <family val="2"/>
        <scheme val="minor"/>
      </rPr>
      <t>(Überhang)*delta</t>
    </r>
  </si>
  <si>
    <t>Kontraktwert</t>
  </si>
  <si>
    <t>FESX/OESX</t>
  </si>
  <si>
    <t>STOXX Hedge und Überhänge; KontraktWert = FESX/OESX in Überhänge (C&amp;) hinzugefügt</t>
  </si>
  <si>
    <t>StoxxPut +1</t>
  </si>
  <si>
    <t>StoxxCall +1</t>
  </si>
  <si>
    <t>StoxxPut/CallFrontLast wieder umbenannt in Put/CallFrontLast damit das automatische Datumsupdate funktioniert</t>
  </si>
  <si>
    <t>6.01</t>
  </si>
  <si>
    <t>Kontraktwert in Hedgeberechnung durch Variable ersetzt</t>
  </si>
  <si>
    <t>Vortag</t>
  </si>
  <si>
    <t>6.02</t>
  </si>
  <si>
    <t>PDF Hedgegrafik herausgenommen</t>
  </si>
  <si>
    <t>Erster 
                    Schluss</t>
  </si>
  <si>
    <t>Hoch 
                    Tief</t>
  </si>
  <si>
    <t>Tief</t>
  </si>
  <si>
    <t>Schluss</t>
  </si>
  <si>
    <t>%</t>
  </si>
  <si>
    <t/>
  </si>
  <si>
    <t>6.03</t>
  </si>
  <si>
    <t>Max. Hedge</t>
  </si>
  <si>
    <t xml:space="preserve">Min. Hedge </t>
  </si>
  <si>
    <t>Hoch</t>
  </si>
  <si>
    <t>Volumen</t>
  </si>
  <si>
    <t>Column3</t>
  </si>
  <si>
    <t>Aktuell</t>
  </si>
  <si>
    <t>Eröffnung:</t>
  </si>
  <si>
    <t>Tages-Hoch:</t>
  </si>
  <si>
    <t>Tages-Tief:</t>
  </si>
  <si>
    <t>Schlusskurs:</t>
  </si>
  <si>
    <t>Adjusted</t>
  </si>
  <si>
    <t>OI-Spalte:</t>
  </si>
  <si>
    <t>Unadjusted</t>
  </si>
  <si>
    <t>OI-Daten-Spalte</t>
  </si>
  <si>
    <t>6.1</t>
  </si>
  <si>
    <t>OI-Spalte adjusted/unadjusted (I oder J) zur Auswahl (Infos: O30) hinzugefügt</t>
  </si>
  <si>
    <t>Spannweite auf 28 Werte reduziert, Löschen der Tabelle auf Summery eingeschränkt, 
anualisierte Volatilität VSTOXX verwendet (sigma = VDAX    '* ((Tage / VDAX_Laufzeit) ^ 0.5) ),
VSTOXX alternativen und STOXX Schlusskurs-Alternativen aufgenommen
Pfeilposition 5% der Spannweite</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</si>
  <si>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</si>
  <si>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Die September-Angebote 14.9. – 24.09.2021</t>
  </si>
  <si>
    <t>Options-Analysen:</t>
  </si>
  <si>
    <r>
      <t>OI-Tabelle FDAX Professionell</t>
    </r>
    <r>
      <rPr>
        <sz val="11"/>
        <color theme="1"/>
        <rFont val="Calibri"/>
        <family val="2"/>
        <scheme val="minor"/>
      </rPr>
      <t xml:space="preserve"> </t>
    </r>
  </si>
  <si>
    <t>Only Verfallswoche - 5 Analysen</t>
  </si>
  <si>
    <t>OI-Tabelle STOXX</t>
  </si>
  <si>
    <t>Versand per Mail, Kündigungsfrist 1 Woche zum Monatsende</t>
  </si>
  <si>
    <t>Weitere Angebote</t>
  </si>
  <si>
    <t>Programmierungen</t>
  </si>
  <si>
    <t>Analysen und Statistiken</t>
  </si>
  <si>
    <t>Alle Preise enthalten 19% Mehrwertsteuer</t>
  </si>
  <si>
    <t xml:space="preserve">Nur im September: </t>
  </si>
  <si>
    <t xml:space="preserve">die ersten 3 Monate: 13,00€/M </t>
  </si>
  <si>
    <t>danach 18,00€/M</t>
  </si>
  <si>
    <t>(Mo- Fr der Verfallswoche):  8,00€/M</t>
  </si>
  <si>
    <t xml:space="preserve">Nur im September und nur für </t>
  </si>
  <si>
    <t xml:space="preserve">Minotaurus-Kunden: </t>
  </si>
  <si>
    <t xml:space="preserve">die ersten 3 Monate: 10,00€/M </t>
  </si>
  <si>
    <t>danach 15,00€/M</t>
  </si>
  <si>
    <t xml:space="preserve">Algo-Entwicklungen </t>
  </si>
  <si>
    <t>Backtesting</t>
  </si>
  <si>
    <t>Nach Aufwand</t>
  </si>
  <si>
    <t>Ing.-Büro Dieball   Oderstr.8    01109 Dresden   0351 84 722 726   info@dieball.de</t>
  </si>
  <si>
    <t>regulär 24,00€/M  Minotaurus-Kunden 19,00€/M</t>
  </si>
  <si>
    <t xml:space="preserve">regulär 24,00€/M  </t>
  </si>
  <si>
    <t>danach 19,00€/M</t>
  </si>
  <si>
    <t xml:space="preserve">regulär 21,00€/M  </t>
  </si>
  <si>
    <t>danach 17,00€/M</t>
  </si>
  <si>
    <t>Angebote</t>
  </si>
  <si>
    <t>Minotaurus</t>
  </si>
  <si>
    <t>Allgemein</t>
  </si>
  <si>
    <t>aktiv/ passiv</t>
  </si>
  <si>
    <t>passiv</t>
  </si>
  <si>
    <t>StoxxPutFrontLast</t>
  </si>
  <si>
    <t>StoxxCallFrontLast</t>
  </si>
  <si>
    <t>ARIVA Indikation</t>
  </si>
  <si>
    <t>klein/ groß</t>
  </si>
  <si>
    <t>TTMzero Indikation</t>
  </si>
  <si>
    <t>morgen</t>
  </si>
  <si>
    <t>4,257.50 Pkt</t>
  </si>
  <si>
    <t>4,259.36 Pkt</t>
  </si>
  <si>
    <t>4,260.87 Pkt</t>
  </si>
  <si>
    <t>4,257.82 Pkt</t>
  </si>
  <si>
    <t>4,282.33 Pkt</t>
  </si>
  <si>
    <t>4,254.86 Pkt</t>
  </si>
  <si>
    <t>4,251.00 Pkt</t>
  </si>
  <si>
    <t>4,255.03 Pkt</t>
  </si>
  <si>
    <t>4,255.22 Pkt</t>
  </si>
  <si>
    <t>4,268.28 Pkt</t>
  </si>
  <si>
    <t>Pfad</t>
  </si>
  <si>
    <t>Indizes EU / USA / INT</t>
  </si>
  <si>
    <t>CITI Euro Stoxx 50</t>
  </si>
  <si>
    <t>ATX</t>
  </si>
  <si>
    <t>SMI</t>
  </si>
  <si>
    <t>CITI Dow Jones</t>
  </si>
  <si>
    <t>CITI S&amp;P 500</t>
  </si>
  <si>
    <t>CITI US TECH 100</t>
  </si>
  <si>
    <t>Citi Nikkei 225</t>
  </si>
  <si>
    <t>Hang Seng</t>
  </si>
  <si>
    <t>Stuutgart</t>
  </si>
  <si>
    <t>8.15</t>
  </si>
  <si>
    <t>done</t>
  </si>
  <si>
    <t>klein</t>
  </si>
  <si>
    <t>Product</t>
  </si>
  <si>
    <t>Diff. to prev. day last</t>
  </si>
  <si>
    <t>Last price</t>
  </si>
  <si>
    <t>Contracts</t>
  </si>
  <si>
    <t>Time</t>
  </si>
  <si>
    <t>FVS</t>
  </si>
  <si>
    <t>VSTOXX F</t>
  </si>
  <si>
    <t>Kurszeit</t>
  </si>
  <si>
    <t>Eröffnung /_x000D_
Vortag</t>
  </si>
  <si>
    <t>Tagestief /_x000D_
Tageshoch</t>
  </si>
  <si>
    <t>Jahrestief /_x000D_
Jahreshoch</t>
  </si>
  <si>
    <t>52 Wochen Tief</t>
  </si>
  <si>
    <t>52 Wochen Hoch</t>
  </si>
  <si>
    <t>C:\Detlef\Tradematiker\Research\Optionen\OI-Abfrage\send</t>
  </si>
  <si>
    <t>4.304,07_x000D_
                        4.317,88</t>
  </si>
  <si>
    <t>4.344,32_x000D_
                        4.304,07</t>
  </si>
  <si>
    <t>4.303,98_x000D_
                        4.309,75</t>
  </si>
  <si>
    <t>4.341,59_x000D_
                        4.281,69</t>
  </si>
  <si>
    <t>4.322,65_x000D_
                        4.306,76</t>
  </si>
  <si>
    <t>4.332,29_x000D_
                        4.293,21</t>
  </si>
  <si>
    <t>4.344,42_x000D_
                        4.323,09</t>
  </si>
  <si>
    <t>4.344,42_x000D_
                        4.305,31</t>
  </si>
  <si>
    <t>4.335,22_x000D_
                        4.348,65</t>
  </si>
  <si>
    <t>4.355,41_x000D_
                        4.334,13</t>
  </si>
  <si>
    <t>4.280,92_x000D_
                        4.340,43</t>
  </si>
  <si>
    <t>4.340,48_x000D_
                        4.280,92</t>
  </si>
  <si>
    <t>4.280,66_x000D_
                        4.287,03</t>
  </si>
  <si>
    <t>4.302,04_x000D_
                        4.264,41</t>
  </si>
  <si>
    <t>4.315,85_x000D_
                        4.316,41</t>
  </si>
  <si>
    <t>4.338,14_x000D_
                        4.302,76</t>
  </si>
  <si>
    <t>4.313,25_x000D_
                        4.323,23</t>
  </si>
  <si>
    <t>4.332,08_x000D_
                        4.293,57</t>
  </si>
  <si>
    <t>4.313,12_x000D_
                        4.315,51</t>
  </si>
  <si>
    <t>4.328,78_x000D_
                        4.298,31</t>
  </si>
  <si>
    <t>12,89 /_x000D_
33,50</t>
  </si>
  <si>
    <t>12,89 (21.06.2023)</t>
  </si>
  <si>
    <t>groß</t>
  </si>
  <si>
    <t>let
    Quelle = Web.Page(Web.Contents("https://www.eurexchange.com/exchange-de/marktdaten/statistik/online-marktstatistiken/4302!onlineStats?productGroupId=13370&amp;productId=69660&amp;viewType=&amp;cp=Put&amp;month=08&amp;year=2023&amp;busDate=20230811")),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</si>
  <si>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Web.Page(Web.Contents("https://www.eurexchange.com/exchange-de/marktdaten/statistik/online-marktstatistiken/4302!onlineStats?productGroupId=13370&amp;productId=69660&amp;viewType=&amp;cp=Call&amp;month=08&amp;year=2023&amp;busDate=20230811")),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</si>
  <si>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</si>
  <si>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Web.Page(Web.Contents("https://www.eurexchange.com/exchange-de/marktdaten/statistik/online-marktstatistiken/4302!onlineStats?productGroupId=13370&amp;productId=69660&amp;viewType=3&amp;cp=Call&amp;month=09&amp;year=2023&amp;busDate=20230811")),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</si>
  <si>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Web.Page(Web.Contents("https://www.eurexchange.com/exchange-de/marktdaten/statistik/online-marktstatistiken/4302!onlineStats?productGroupId=13370&amp;productId=69660&amp;viewType=&amp;cp=Put&amp;month=08&amp;year=2023&amp;busDate=20230810")),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</si>
  <si>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Web.Page(Web.Contents("https://www.eurexchange.com/exchange-de/marktdaten/statistik/online-marktstatistiken/4302!onlineStats?productGroupId=13370&amp;productId=69660&amp;viewType=&amp;cp=Call&amp;month=08&amp;year=2023&amp;busDate=20230810")),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</si>
  <si>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9.00</t>
  </si>
  <si>
    <t>Python auslesen der Eurexdaten via api, das Python script kopiert die Daten in diese Excel Tabelle</t>
  </si>
  <si>
    <t>Glossar</t>
  </si>
  <si>
    <t>Verfallsdatum ist für die DAX und STOXX Optionen jeweils der 3. Freitag jedes Monats</t>
  </si>
  <si>
    <t>Tage bis zum Verfallsdatum incl. Wochenende und Feiertage</t>
  </si>
  <si>
    <t xml:space="preserve">kleiner Verfall: </t>
  </si>
  <si>
    <t>Verfall der Optionen</t>
  </si>
  <si>
    <t>großer Verfall:</t>
  </si>
  <si>
    <t>Verfall der Optionen und Futuresgleichzeitig (mehrere Interessenlagen kommen zusammen!) =&gt; auf neuen Future-Kontrakt updaten</t>
  </si>
  <si>
    <t>Änderung des Optionspreises, wenn sich der Basispreis um 1 ändert.
Das Delta wird auch benutzt um die Ausübungswahrscheinlichkeit abzuschätzen:
Delta = 0,5 =&gt; 50% Wahrscheinlichkeit, dass die Option am Verfallstag mit Gewinn ausgeübt werden kann</t>
  </si>
  <si>
    <t>Future Delta Hedge</t>
  </si>
  <si>
    <t>Hedge an den Basispreisen im Future um Delta neutral zu sein</t>
  </si>
  <si>
    <t>Gamma</t>
  </si>
  <si>
    <t>Änderung des Deltas, wenn sich der Basispreis um 1 ändert, Beschleunigung der Preisänderung.</t>
  </si>
  <si>
    <t>Gamma long</t>
  </si>
  <si>
    <t>Gamma positiv
Der Theta-Gamma Optionshändler kann bei jeder Marktbewegung gewinnen =&gt; der Markt wird „klebrig“</t>
  </si>
  <si>
    <t>Gamma short</t>
  </si>
  <si>
    <t>Gamma negativ
Bei jeder Marktbewegung muss der Theta-Gamma Optionshändler hedgen – in Bewegungsrichtung
=&gt; der Markt wird hektisch</t>
  </si>
  <si>
    <t>Abschätzung des Hedgebedarfs</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</si>
  <si>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</si>
  <si>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update fertig</t>
  </si>
  <si>
    <t>Call</t>
  </si>
  <si>
    <t>dSettle</t>
  </si>
  <si>
    <t>last</t>
  </si>
  <si>
    <t>low</t>
  </si>
  <si>
    <t>high</t>
  </si>
  <si>
    <t>open</t>
  </si>
  <si>
    <t>openInterest</t>
  </si>
  <si>
    <t>volume</t>
  </si>
  <si>
    <t>versionNumber</t>
  </si>
  <si>
    <t>strike</t>
  </si>
  <si>
    <t>callOrPut</t>
  </si>
  <si>
    <t>Put</t>
  </si>
  <si>
    <t>13-10-2023</t>
  </si>
  <si>
    <t>12-10-2023</t>
  </si>
  <si>
    <t>USD LIBOR 1 Monat</t>
  </si>
  <si>
    <t>5,44981 %</t>
  </si>
  <si>
    <t>5,44898 %</t>
  </si>
  <si>
    <t>GBP LIBOR 3 Monate</t>
  </si>
  <si>
    <t>5,40710 %</t>
  </si>
  <si>
    <t>5,40450 %</t>
  </si>
  <si>
    <t>33,50 (20.03.2023)</t>
  </si>
  <si>
    <t>11</t>
  </si>
  <si>
    <t>16-10-2023</t>
  </si>
  <si>
    <t>5,44920 %</t>
  </si>
  <si>
    <t>5,41970 %</t>
  </si>
  <si>
    <t>17-10-2023</t>
  </si>
  <si>
    <t>5,44799 %</t>
  </si>
  <si>
    <t>5,40340 %</t>
  </si>
  <si>
    <t>18-10-2023</t>
  </si>
  <si>
    <t>5,45359 %</t>
  </si>
  <si>
    <t>5,41330 %</t>
  </si>
  <si>
    <t>22,30 PKT</t>
  </si>
  <si>
    <t>19.10.2023 17:30:00</t>
  </si>
  <si>
    <t>22,10 /_x000D_
21,64</t>
  </si>
  <si>
    <t>21,61 /_x000D_
22,93</t>
  </si>
  <si>
    <t>C:\Detlef\Tradematiker\Research\Optionen\OI-Abfrage\send\STOXX OI-Abfrage 2023-10-20 V9.00.pdf</t>
  </si>
  <si>
    <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</si>
</sst>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409]d\-mmm\-yy;@"/>
    <numFmt numFmtId="167" formatCode="[$-F400]h:mm:ss\ AM/PM"/>
  </numFmts>
  <fonts count="41"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sz val="14"/>
      <color theme="1"/>
      <name val="Calibri"/>
      <family val="2"/>
      <scheme val="minor"/>
    </font>
    <font>
      <b/>
      <sz val="14"/>
      <color theme="1"/>
      <name val="Calibri"/>
      <family val="2"/>
      <scheme val="minor"/>
    </font>
    <font>
      <b/>
      <i/>
      <sz val="14"/>
      <color theme="1"/>
      <name val="Calibri"/>
      <family val="2"/>
      <scheme val="minor"/>
    </font>
    <font>
      <b/>
      <i/>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0"/>
      <name val="Calibri"/>
      <family val="2"/>
      <scheme val="minor"/>
    </font>
    <font>
      <b/>
      <sz val="14"/>
      <name val="Calibri"/>
      <family val="2"/>
      <scheme val="minor"/>
    </font>
    <font>
      <b/>
      <i/>
      <sz val="22"/>
      <color theme="0"/>
      <name val="Calibri"/>
      <family val="2"/>
      <scheme val="minor"/>
    </font>
    <font>
      <i/>
      <sz val="14"/>
      <color theme="0"/>
      <name val="Calibri"/>
      <family val="2"/>
      <scheme val="minor"/>
    </font>
    <font>
      <b/>
      <i/>
      <sz val="22"/>
      <color theme="0"/>
      <name val="Arial"/>
      <family val="2"/>
    </font>
    <font>
      <b/>
      <i/>
      <sz val="24"/>
      <color theme="0"/>
      <name val="Calibri"/>
      <family val="2"/>
      <scheme val="minor"/>
    </font>
    <font>
      <b/>
      <i/>
      <sz val="14"/>
      <color theme="0"/>
      <name val="Calibri"/>
      <family val="2"/>
      <scheme val="minor"/>
    </font>
    <font>
      <b/>
      <sz val="14"/>
      <color theme="0"/>
      <name val="Calibri"/>
      <family val="2"/>
      <scheme val="minor"/>
    </font>
    <font>
      <b/>
      <sz val="24"/>
      <color theme="0"/>
      <name val="Calibri"/>
      <family val="2"/>
      <scheme val="minor"/>
    </font>
    <font>
      <sz val="14"/>
      <color theme="0"/>
      <name val="Calibri"/>
      <family val="2"/>
      <scheme val="minor"/>
    </font>
    <font>
      <sz val="8"/>
      <name val="Calibri"/>
      <family val="2"/>
      <scheme val="minor"/>
    </font>
    <font>
      <sz val="11"/>
      <name val="Calibri"/>
      <family val="2"/>
      <scheme val="minor"/>
    </font>
    <font>
      <sz val="10"/>
      <color rgb="FF000000"/>
      <name val="Arial"/>
      <family val="2"/>
    </font>
    <font>
      <sz val="14"/>
      <color rgb="FF000000"/>
      <name val="Calibri"/>
      <family val="2"/>
    </font>
    <font>
      <sz val="11"/>
      <color rgb="FF000000"/>
      <name val="Calibri"/>
      <family val="2"/>
    </font>
    <font>
      <i/>
      <sz val="22"/>
      <color rgb="FF000000"/>
      <name val="Calibri"/>
      <family val="2"/>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b/>
      <sz val="22"/>
      <color theme="4" tint="-0.499984740745262"/>
      <name val="Calibri"/>
      <family val="2"/>
      <scheme val="minor"/>
    </font>
    <font>
      <sz val="11"/>
      <color theme="1" tint="0.34998626667073579"/>
      <name val="Calibri"/>
      <family val="2"/>
      <scheme val="minor"/>
    </font>
    <font>
      <sz val="11"/>
      <color theme="0" tint="-0.34998626667073579"/>
      <name val="Calibri"/>
      <family val="2"/>
      <scheme val="minor"/>
    </font>
    <font>
      <b/>
      <i/>
      <sz val="12"/>
      <color theme="1"/>
      <name val="Calibri"/>
      <family val="2"/>
      <scheme val="minor"/>
    </font>
    <font>
      <b/>
      <vertAlign val="subscript"/>
      <sz val="16"/>
      <color rgb="FF000000"/>
      <name val="Calibri"/>
      <family val="2"/>
      <scheme val="minor"/>
    </font>
    <font>
      <vertAlign val="subscript"/>
      <sz val="16"/>
      <color rgb="FF000000"/>
      <name val="Calibri"/>
      <family val="2"/>
      <scheme val="minor"/>
    </font>
  </fonts>
  <fills count="24">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rgb="FFFFFFFF"/>
        <bgColor rgb="FF000000"/>
      </patternFill>
    </fill>
    <fill>
      <patternFill patternType="solid">
        <fgColor theme="5"/>
        <bgColor indexed="64"/>
      </patternFill>
    </fill>
    <fill>
      <patternFill patternType="solid">
        <fgColor theme="0" tint="-0.14999847407452621"/>
        <bgColor indexed="64"/>
      </patternFill>
    </fill>
    <fill>
      <patternFill patternType="solid">
        <fgColor theme="5" tint="0.79998168889431442"/>
        <bgColor indexed="64"/>
      </patternFill>
    </fill>
  </fills>
  <borders count="2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2">
    <xf numFmtId="0" fontId="0" fillId="0" borderId="0"/>
    <xf numFmtId="0" fontId="13" fillId="0" borderId="0" applyNumberFormat="0" applyFill="0" applyBorder="0" applyAlignment="0" applyProtection="0"/>
  </cellStyleXfs>
  <cellXfs count="139">
    <xf numFmtId="0" fontId="0" fillId="0" borderId="0" xfId="0"/>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14" fontId="3" fillId="2" borderId="1" xfId="0" applyNumberFormat="1" applyFont="1" applyFill="1" applyBorder="1"/>
    <xf numFmtId="0" fontId="3" fillId="2" borderId="1" xfId="0" applyFont="1" applyFill="1" applyBorder="1"/>
    <xf numFmtId="0" fontId="8" fillId="0" borderId="0" xfId="0" applyFont="1"/>
    <xf numFmtId="0" fontId="0" fillId="2" borderId="0" xfId="0" applyFill="1" applyAlignment="1">
      <alignment horizontal="left"/>
    </xf>
    <xf numFmtId="0" fontId="0" fillId="0" borderId="0" xfId="0" applyAlignment="1">
      <alignment wrapText="1"/>
    </xf>
    <xf numFmtId="0" fontId="8" fillId="2" borderId="13" xfId="0" applyFont="1" applyFill="1" applyBorder="1" applyAlignment="1">
      <alignment horizontal="center"/>
    </xf>
    <xf numFmtId="1" fontId="8" fillId="2" borderId="5" xfId="0" applyNumberFormat="1" applyFont="1" applyFill="1" applyBorder="1"/>
    <xf numFmtId="1" fontId="8" fillId="2" borderId="6" xfId="0" applyNumberFormat="1" applyFont="1" applyFill="1" applyBorder="1"/>
    <xf numFmtId="1" fontId="8" fillId="2" borderId="8" xfId="0" applyNumberFormat="1" applyFont="1" applyFill="1" applyBorder="1"/>
    <xf numFmtId="1" fontId="8" fillId="2" borderId="0" xfId="0" applyNumberFormat="1" applyFont="1" applyFill="1"/>
    <xf numFmtId="1" fontId="8" fillId="2" borderId="9" xfId="0" applyNumberFormat="1" applyFont="1" applyFill="1" applyBorder="1"/>
    <xf numFmtId="0" fontId="8" fillId="2" borderId="14" xfId="0" applyFont="1" applyFill="1" applyBorder="1" applyAlignment="1">
      <alignment horizontal="center"/>
    </xf>
    <xf numFmtId="0" fontId="8" fillId="10" borderId="0" xfId="0" applyFont="1" applyFill="1" applyAlignment="1">
      <alignment horizontal="left"/>
    </xf>
    <xf numFmtId="0" fontId="8" fillId="9" borderId="0" xfId="0" applyFont="1" applyFill="1" applyAlignment="1">
      <alignment horizontal="left"/>
    </xf>
    <xf numFmtId="0" fontId="9" fillId="2" borderId="13" xfId="0" applyFont="1" applyFill="1" applyBorder="1"/>
    <xf numFmtId="0" fontId="9" fillId="2" borderId="14" xfId="0" applyFont="1" applyFill="1" applyBorder="1"/>
    <xf numFmtId="0" fontId="6" fillId="0" borderId="0" xfId="0" applyFont="1" applyAlignment="1">
      <alignment wrapText="1"/>
    </xf>
    <xf numFmtId="0" fontId="6" fillId="11" borderId="0" xfId="0" applyFont="1" applyFill="1" applyAlignment="1">
      <alignment wrapText="1"/>
    </xf>
    <xf numFmtId="0" fontId="0" fillId="12" borderId="0" xfId="0" applyFill="1"/>
    <xf numFmtId="14" fontId="2" fillId="0" borderId="0" xfId="0" applyNumberFormat="1" applyFont="1"/>
    <xf numFmtId="14" fontId="0" fillId="0" borderId="0" xfId="0" applyNumberFormat="1"/>
    <xf numFmtId="4" fontId="2" fillId="12" borderId="1" xfId="0" applyNumberFormat="1" applyFont="1" applyFill="1" applyBorder="1" applyAlignment="1">
      <alignment wrapText="1"/>
    </xf>
    <xf numFmtId="49" fontId="2" fillId="0" borderId="0" xfId="0" quotePrefix="1" applyNumberFormat="1" applyFont="1"/>
    <xf numFmtId="0" fontId="2" fillId="11" borderId="0" xfId="0" applyFont="1" applyFill="1"/>
    <xf numFmtId="166" fontId="2" fillId="0" borderId="0" xfId="0" applyNumberFormat="1" applyFont="1"/>
    <xf numFmtId="0" fontId="13" fillId="0" borderId="0" xfId="1"/>
    <xf numFmtId="0" fontId="14" fillId="15" borderId="0" xfId="0" applyFont="1" applyFill="1"/>
    <xf numFmtId="49" fontId="0" fillId="16"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7" borderId="0" xfId="0" applyFont="1" applyFill="1"/>
    <xf numFmtId="0" fontId="0" fillId="18" borderId="0" xfId="0" applyFill="1"/>
    <xf numFmtId="0" fontId="2" fillId="12" borderId="0" xfId="0" applyFont="1" applyFill="1"/>
    <xf numFmtId="0" fontId="12" fillId="0" borderId="0" xfId="0" applyFont="1" applyAlignment="1">
      <alignment horizontal="left" vertical="center" readingOrder="1"/>
    </xf>
    <xf numFmtId="0" fontId="15" fillId="19" borderId="21" xfId="0" applyFont="1" applyFill="1" applyBorder="1"/>
    <xf numFmtId="0" fontId="22" fillId="19" borderId="17" xfId="0" applyFont="1" applyFill="1" applyBorder="1"/>
    <xf numFmtId="14" fontId="22" fillId="19" borderId="1" xfId="0" applyNumberFormat="1" applyFont="1" applyFill="1" applyBorder="1"/>
    <xf numFmtId="0" fontId="3" fillId="19" borderId="11" xfId="0" applyFont="1" applyFill="1" applyBorder="1"/>
    <xf numFmtId="0" fontId="0" fillId="19" borderId="0" xfId="0" applyFill="1"/>
    <xf numFmtId="0" fontId="3" fillId="19" borderId="0" xfId="0" applyFont="1" applyFill="1"/>
    <xf numFmtId="0" fontId="15" fillId="19" borderId="0" xfId="0" applyFont="1" applyFill="1" applyAlignment="1">
      <alignment horizontal="center"/>
    </xf>
    <xf numFmtId="0" fontId="15" fillId="19" borderId="0" xfId="0" applyFont="1" applyFill="1"/>
    <xf numFmtId="0" fontId="24" fillId="19" borderId="0" xfId="0" applyFont="1" applyFill="1"/>
    <xf numFmtId="0" fontId="22" fillId="19" borderId="0" xfId="0" applyFont="1" applyFill="1"/>
    <xf numFmtId="0" fontId="16" fillId="6" borderId="0" xfId="0" applyFont="1" applyFill="1" applyAlignment="1">
      <alignment horizontal="center"/>
    </xf>
    <xf numFmtId="165" fontId="2" fillId="0" borderId="0" xfId="0" applyNumberFormat="1" applyFont="1"/>
    <xf numFmtId="0" fontId="26" fillId="12" borderId="0" xfId="0" applyFont="1" applyFill="1"/>
    <xf numFmtId="4" fontId="27" fillId="0" borderId="0" xfId="0" applyNumberFormat="1" applyFont="1"/>
    <xf numFmtId="0" fontId="8" fillId="2" borderId="0" xfId="0" applyFont="1" applyFill="1" applyAlignment="1">
      <alignment horizontal="center"/>
    </xf>
    <xf numFmtId="0" fontId="29" fillId="20" borderId="0" xfId="0" applyFont="1" applyFill="1" applyAlignment="1">
      <alignment horizontal="left"/>
    </xf>
    <xf numFmtId="0" fontId="8" fillId="2" borderId="6" xfId="0" applyFont="1" applyFill="1" applyBorder="1" applyAlignment="1">
      <alignment horizontal="center"/>
    </xf>
    <xf numFmtId="0" fontId="28" fillId="20" borderId="0" xfId="0" applyFont="1" applyFill="1" applyAlignment="1">
      <alignment horizontal="center" vertical="top" wrapText="1"/>
    </xf>
    <xf numFmtId="10" fontId="2" fillId="17" borderId="0" xfId="0" applyNumberFormat="1" applyFont="1" applyFill="1"/>
    <xf numFmtId="0" fontId="0" fillId="0" borderId="0" xfId="0" applyAlignment="1">
      <alignment vertical="top"/>
    </xf>
    <xf numFmtId="49" fontId="0" fillId="0" borderId="0" xfId="0" applyNumberFormat="1" applyAlignment="1">
      <alignment horizontal="center" vertical="top"/>
    </xf>
    <xf numFmtId="14" fontId="0" fillId="0" borderId="0" xfId="0" applyNumberFormat="1" applyAlignment="1">
      <alignment vertical="top"/>
    </xf>
    <xf numFmtId="0" fontId="0" fillId="0" borderId="0" xfId="0" applyAlignment="1">
      <alignment vertical="top" wrapText="1"/>
    </xf>
    <xf numFmtId="49" fontId="0" fillId="11" borderId="0" xfId="0" applyNumberFormat="1" applyFill="1" applyAlignment="1">
      <alignment horizontal="center" vertical="top"/>
    </xf>
    <xf numFmtId="0" fontId="0" fillId="21" borderId="0" xfId="0" applyFill="1"/>
    <xf numFmtId="0" fontId="14" fillId="0" borderId="0" xfId="0" applyFont="1"/>
    <xf numFmtId="0" fontId="31" fillId="0" borderId="0" xfId="0" applyFont="1" applyAlignment="1">
      <alignment vertical="center"/>
    </xf>
    <xf numFmtId="0" fontId="9" fillId="0" borderId="0" xfId="0" applyFont="1"/>
    <xf numFmtId="0" fontId="34" fillId="0" borderId="0" xfId="0" applyFont="1" applyAlignment="1">
      <alignment vertical="center"/>
    </xf>
    <xf numFmtId="0" fontId="35" fillId="0" borderId="0" xfId="0" applyFont="1"/>
    <xf numFmtId="0" fontId="32" fillId="0" borderId="0" xfId="0" applyFont="1"/>
    <xf numFmtId="0" fontId="33" fillId="0" borderId="0" xfId="0" applyFont="1"/>
    <xf numFmtId="0" fontId="0" fillId="0" borderId="0" xfId="0" applyAlignment="1">
      <alignment horizontal="left" vertical="center"/>
    </xf>
    <xf numFmtId="0" fontId="27" fillId="0" borderId="0" xfId="0" applyFont="1"/>
    <xf numFmtId="14" fontId="37" fillId="22" borderId="0" xfId="0" applyNumberFormat="1" applyFont="1" applyFill="1"/>
    <xf numFmtId="167" fontId="0" fillId="0" borderId="0" xfId="0" applyNumberFormat="1"/>
    <xf numFmtId="10" fontId="2" fillId="23" borderId="0" xfId="0" applyNumberFormat="1" applyFont="1" applyFill="1"/>
    <xf numFmtId="0" fontId="0" fillId="0" borderId="0" xfId="0" applyNumberFormat="1"/>
    <xf numFmtId="49" fontId="0" fillId="13" borderId="0" xfId="0" applyNumberFormat="1" applyFill="1" applyAlignment="1">
      <alignment horizontal="center"/>
    </xf>
    <xf numFmtId="0" fontId="38" fillId="0" borderId="0" xfId="0" applyFont="1" applyAlignment="1">
      <alignment horizontal="left" vertical="top" wrapText="1"/>
    </xf>
    <xf numFmtId="0" fontId="14" fillId="0" borderId="0" xfId="0" applyFont="1" applyAlignment="1">
      <alignment horizontal="left" vertical="top" wrapText="1"/>
    </xf>
    <xf numFmtId="0" fontId="39" fillId="0" borderId="0" xfId="0" applyFont="1" applyAlignment="1">
      <alignment horizontal="left" vertical="top" readingOrder="1"/>
    </xf>
    <xf numFmtId="0" fontId="40" fillId="0" borderId="0" xfId="0" applyFont="1" applyAlignment="1">
      <alignment horizontal="left" vertical="center" readingOrder="1"/>
    </xf>
    <xf numFmtId="0" fontId="40" fillId="0" borderId="0" xfId="0" applyFont="1" applyAlignment="1">
      <alignment vertical="center" readingOrder="1"/>
    </xf>
    <xf numFmtId="0" fontId="40" fillId="0" borderId="0" xfId="0" applyFont="1" applyAlignment="1">
      <alignment vertical="center" wrapText="1" readingOrder="1"/>
    </xf>
    <xf numFmtId="0" fontId="0" fillId="0" borderId="0" xfId="0" applyAlignment="1">
      <alignment horizontal="left" vertical="top" wrapText="1"/>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36" fillId="0" borderId="0" xfId="0" applyFont="1" applyAlignment="1">
      <alignment horizontal="center"/>
    </xf>
    <xf numFmtId="0" fontId="0" fillId="0" borderId="0" xfId="0" applyAlignment="1">
      <alignment horizontal="left" wrapText="1"/>
    </xf>
    <xf numFmtId="0" fontId="14" fillId="14" borderId="0" xfId="0" applyFont="1" applyFill="1" applyAlignment="1">
      <alignment horizontal="center"/>
    </xf>
    <xf numFmtId="0" fontId="13" fillId="0" borderId="0" xfId="1" applyAlignment="1">
      <alignment horizontal="left" wrapText="1"/>
    </xf>
    <xf numFmtId="0" fontId="14" fillId="15" borderId="0" xfId="0" applyFont="1" applyFill="1" applyAlignment="1">
      <alignment horizontal="center"/>
    </xf>
    <xf numFmtId="0" fontId="14" fillId="15" borderId="0" xfId="0" applyFont="1" applyFill="1" applyAlignment="1">
      <alignment horizontal="center" vertical="center"/>
    </xf>
    <xf numFmtId="0" fontId="17" fillId="19" borderId="19" xfId="0" applyFont="1" applyFill="1" applyBorder="1" applyAlignment="1">
      <alignment horizontal="center" vertical="top" wrapText="1"/>
    </xf>
    <xf numFmtId="0" fontId="17" fillId="19" borderId="20" xfId="0" applyFont="1" applyFill="1" applyBorder="1" applyAlignment="1">
      <alignment horizontal="center" vertical="top" wrapText="1"/>
    </xf>
    <xf numFmtId="14" fontId="19" fillId="19" borderId="20" xfId="0" applyNumberFormat="1" applyFont="1" applyFill="1" applyBorder="1" applyAlignment="1">
      <alignment horizontal="center" vertical="top"/>
    </xf>
    <xf numFmtId="0" fontId="20" fillId="19" borderId="8" xfId="0" applyFont="1" applyFill="1" applyBorder="1" applyAlignment="1">
      <alignment horizontal="center" vertical="center" wrapText="1"/>
    </xf>
    <xf numFmtId="0" fontId="20" fillId="19" borderId="0" xfId="0" applyFont="1" applyFill="1" applyAlignment="1">
      <alignment horizontal="center" vertical="center" wrapText="1"/>
    </xf>
    <xf numFmtId="0" fontId="6" fillId="8" borderId="0" xfId="0" applyFont="1" applyFill="1" applyAlignment="1">
      <alignment horizontal="center" wrapText="1"/>
    </xf>
    <xf numFmtId="0" fontId="22" fillId="19" borderId="18" xfId="0" applyFont="1" applyFill="1" applyBorder="1" applyAlignment="1">
      <alignment horizontal="center"/>
    </xf>
    <xf numFmtId="0" fontId="22" fillId="19" borderId="13" xfId="0" applyFont="1" applyFill="1" applyBorder="1" applyAlignment="1">
      <alignment horizontal="center"/>
    </xf>
    <xf numFmtId="0" fontId="22" fillId="19" borderId="14" xfId="0" applyFont="1" applyFill="1" applyBorder="1" applyAlignment="1">
      <alignment horizontal="center"/>
    </xf>
    <xf numFmtId="0" fontId="23" fillId="19" borderId="5" xfId="0" applyFont="1" applyFill="1" applyBorder="1" applyAlignment="1">
      <alignment horizontal="center" vertical="center"/>
    </xf>
    <xf numFmtId="0" fontId="23" fillId="19" borderId="6" xfId="0" applyFont="1" applyFill="1" applyBorder="1" applyAlignment="1">
      <alignment horizontal="center" vertical="center"/>
    </xf>
    <xf numFmtId="0" fontId="23" fillId="19" borderId="7" xfId="0" applyFont="1" applyFill="1" applyBorder="1" applyAlignment="1">
      <alignment horizontal="center" vertical="center"/>
    </xf>
    <xf numFmtId="0" fontId="23" fillId="19" borderId="10" xfId="0" applyFont="1" applyFill="1" applyBorder="1" applyAlignment="1">
      <alignment horizontal="center" vertical="center"/>
    </xf>
    <xf numFmtId="0" fontId="23" fillId="19" borderId="11" xfId="0" applyFont="1" applyFill="1" applyBorder="1" applyAlignment="1">
      <alignment horizontal="center" vertical="center"/>
    </xf>
    <xf numFmtId="0" fontId="23" fillId="19" borderId="12" xfId="0" applyFont="1" applyFill="1" applyBorder="1" applyAlignment="1">
      <alignment horizontal="center" vertical="center"/>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0" fillId="2" borderId="0" xfId="0" applyFill="1" applyAlignment="1">
      <alignment horizontal="center" wrapText="1"/>
    </xf>
    <xf numFmtId="0" fontId="0" fillId="2" borderId="0" xfId="0" applyFill="1" applyAlignment="1">
      <alignment horizontal="center"/>
    </xf>
    <xf numFmtId="0" fontId="28" fillId="20" borderId="15" xfId="0" applyFont="1" applyFill="1" applyBorder="1" applyAlignment="1">
      <alignment horizontal="center" vertical="top" wrapText="1"/>
    </xf>
    <xf numFmtId="0" fontId="28" fillId="20" borderId="16" xfId="0" applyFont="1" applyFill="1" applyBorder="1" applyAlignment="1">
      <alignment horizontal="center" vertical="top" wrapText="1"/>
    </xf>
    <xf numFmtId="0" fontId="28" fillId="20" borderId="17" xfId="0" applyFont="1" applyFill="1" applyBorder="1" applyAlignment="1">
      <alignment horizontal="center" vertical="top" wrapText="1"/>
    </xf>
    <xf numFmtId="0" fontId="0" fillId="2" borderId="0" xfId="0" applyFill="1" applyAlignment="1">
      <alignment horizontal="center" vertical="center" wrapText="1"/>
    </xf>
    <xf numFmtId="0" fontId="11" fillId="0" borderId="0" xfId="0" applyFont="1" applyAlignment="1">
      <alignment horizontal="center" wrapText="1"/>
    </xf>
    <xf numFmtId="0" fontId="2" fillId="2" borderId="0" xfId="0" applyFont="1" applyFill="1" applyAlignment="1">
      <alignment horizontal="center" vertical="center" wrapText="1"/>
    </xf>
    <xf numFmtId="0" fontId="30" fillId="20" borderId="0" xfId="0" applyFont="1" applyFill="1" applyAlignment="1">
      <alignment horizontal="center" vertical="top" wrapText="1"/>
    </xf>
    <xf numFmtId="0" fontId="14" fillId="0" borderId="22" xfId="0" applyFont="1" applyBorder="1" applyAlignment="1">
      <alignment horizontal="center" vertical="top"/>
    </xf>
  </cellXfs>
  <cellStyles count="2">
    <cellStyle name="Link" xfId="1" builtinId="8"/>
    <cellStyle name="Standard" xfId="0" builtinId="0"/>
  </cellStyles>
  <dxfs count="63">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C5D3ED"/>
      <color rgb="FF9BC2E6"/>
      <color rgb="FF5CB6D2"/>
      <color rgb="FF8ADE9A"/>
      <color rgb="FF8BA7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11.JPG"/></Relationships>
</file>

<file path=xl/charts/_rels/chart2.xml.rels><?xml version="1.0" encoding="UTF-8" standalone="yes"?>
<Relationships xmlns="http://schemas.openxmlformats.org/package/2006/relationships"><Relationship Id="rId1" Type="http://schemas.openxmlformats.org/officeDocument/2006/relationships/image" Target="../media/image11.JPG"/></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Hedgebedarf+01</c:v>
          </c:tx>
          <c:spPr>
            <a:ln w="19050" cap="rnd">
              <a:solidFill>
                <a:schemeClr val="accent1"/>
              </a:solidFill>
              <a:round/>
            </a:ln>
            <a:effectLst/>
          </c:spPr>
          <c:marker>
            <c:symbol val="none"/>
          </c:marker>
          <c:xVal>
            <c:numRef>
              <c:f>'STOXX_HedgeBedarf+01'!$C$5:$C$205</c:f>
              <c:numCache>
                <c:formatCode>#,#00</c:formatCode>
                <c:ptCount val="201"/>
                <c:pt idx="0">
                  <c:v>-89.850785347766461</c:v>
                </c:pt>
                <c:pt idx="1">
                  <c:v>-103.98807465052299</c:v>
                </c:pt>
                <c:pt idx="2">
                  <c:v>-119.56203741947722</c:v>
                </c:pt>
                <c:pt idx="3">
                  <c:v>-136.64175770022456</c:v>
                </c:pt>
                <c:pt idx="4">
                  <c:v>-155.30760582947227</c:v>
                </c:pt>
                <c:pt idx="5">
                  <c:v>-175.65603474900479</c:v>
                </c:pt>
                <c:pt idx="6">
                  <c:v>-197.80419693481474</c:v>
                </c:pt>
                <c:pt idx="7">
                  <c:v>-221.89392685663645</c:v>
                </c:pt>
                <c:pt idx="8">
                  <c:v>-248.09452193147808</c:v>
                </c:pt>
                <c:pt idx="9">
                  <c:v>-276.60361365809268</c:v>
                </c:pt>
                <c:pt idx="10">
                  <c:v>-307.64526100778824</c:v>
                </c:pt>
                <c:pt idx="11">
                  <c:v>-341.46425094948717</c:v>
                </c:pt>
                <c:pt idx="12">
                  <c:v>-378.31550806162966</c:v>
                </c:pt>
                <c:pt idx="13">
                  <c:v>-418.44756478298456</c:v>
                </c:pt>
                <c:pt idx="14">
                  <c:v>-462.07929889885838</c:v>
                </c:pt>
                <c:pt idx="15">
                  <c:v>-509.36966498403046</c:v>
                </c:pt>
                <c:pt idx="16">
                  <c:v>-560.38095673178248</c:v>
                </c:pt>
                <c:pt idx="17">
                  <c:v>-615.03720767862262</c:v>
                </c:pt>
                <c:pt idx="18">
                  <c:v>-673.08057125724997</c:v>
                </c:pt>
                <c:pt idx="19">
                  <c:v>-734.02975134190149</c:v>
                </c:pt>
                <c:pt idx="20">
                  <c:v>-797.14556231453105</c:v>
                </c:pt>
                <c:pt idx="21">
                  <c:v>-861.40924266439322</c:v>
                </c:pt>
                <c:pt idx="22">
                  <c:v>-925.51901095606877</c:v>
                </c:pt>
                <c:pt idx="23">
                  <c:v>-987.90939329628088</c:v>
                </c:pt>
                <c:pt idx="24">
                  <c:v>-1046.796040109981</c:v>
                </c:pt>
                <c:pt idx="25">
                  <c:v>-1100.2462052873086</c:v>
                </c:pt>
                <c:pt idx="26">
                  <c:v>-1146.2720486774665</c:v>
                </c:pt>
                <c:pt idx="27">
                  <c:v>-1182.9408303980251</c:v>
                </c:pt>
                <c:pt idx="28">
                  <c:v>-1208.4933453838473</c:v>
                </c:pt>
                <c:pt idx="29">
                  <c:v>-1221.4600438230061</c:v>
                </c:pt>
                <c:pt idx="30">
                  <c:v>-1220.7635548239814</c:v>
                </c:pt>
                <c:pt idx="31">
                  <c:v>-1205.7969775120305</c:v>
                </c:pt>
                <c:pt idx="32">
                  <c:v>-1176.4693262692892</c:v>
                </c:pt>
                <c:pt idx="33">
                  <c:v>-1133.2127067003655</c:v>
                </c:pt>
                <c:pt idx="34">
                  <c:v>-1076.9497677201884</c:v>
                </c:pt>
                <c:pt idx="35">
                  <c:v>-1009.0242148738598</c:v>
                </c:pt>
                <c:pt idx="36">
                  <c:v>-931.1011328038278</c:v>
                </c:pt>
                <c:pt idx="37">
                  <c:v>-845.0470466635428</c:v>
                </c:pt>
                <c:pt idx="38">
                  <c:v>-752.80166475882686</c:v>
                </c:pt>
                <c:pt idx="39">
                  <c:v>-656.25386321677229</c:v>
                </c:pt>
                <c:pt idx="40">
                  <c:v>-557.13365701545536</c:v>
                </c:pt>
                <c:pt idx="41">
                  <c:v>-456.92978478124047</c:v>
                </c:pt>
                <c:pt idx="42">
                  <c:v>-356.8393980564735</c:v>
                </c:pt>
                <c:pt idx="43">
                  <c:v>-257.75257396996943</c:v>
                </c:pt>
                <c:pt idx="44">
                  <c:v>-160.27040542604033</c:v>
                </c:pt>
                <c:pt idx="45">
                  <c:v>-64.75171861659868</c:v>
                </c:pt>
                <c:pt idx="46">
                  <c:v>28.619553708476356</c:v>
                </c:pt>
                <c:pt idx="47">
                  <c:v>119.75630166662273</c:v>
                </c:pt>
                <c:pt idx="48">
                  <c:v>208.59013824956887</c:v>
                </c:pt>
                <c:pt idx="49">
                  <c:v>295.00326987442531</c:v>
                </c:pt>
                <c:pt idx="50">
                  <c:v>378.77836242827703</c:v>
                </c:pt>
                <c:pt idx="51">
                  <c:v>459.57139822600664</c:v>
                </c:pt>
                <c:pt idx="52">
                  <c:v>536.90885839052771</c:v>
                </c:pt>
                <c:pt idx="53">
                  <c:v>610.20682384108864</c:v>
                </c:pt>
                <c:pt idx="54">
                  <c:v>678.80636986778404</c:v>
                </c:pt>
                <c:pt idx="55">
                  <c:v>742.01748940535481</c:v>
                </c:pt>
                <c:pt idx="56">
                  <c:v>799.16311533411408</c:v>
                </c:pt>
                <c:pt idx="57">
                  <c:v>849.61576470498369</c:v>
                </c:pt>
                <c:pt idx="58">
                  <c:v>892.82172951364043</c:v>
                </c:pt>
                <c:pt idx="59">
                  <c:v>928.31111579053766</c:v>
                </c:pt>
                <c:pt idx="60">
                  <c:v>955.69568086700804</c:v>
                </c:pt>
                <c:pt idx="61">
                  <c:v>974.65953929705768</c:v>
                </c:pt>
                <c:pt idx="62">
                  <c:v>984.9496815703244</c:v>
                </c:pt>
                <c:pt idx="63">
                  <c:v>986.37340588782865</c:v>
                </c:pt>
                <c:pt idx="64">
                  <c:v>978.80810424423919</c:v>
                </c:pt>
                <c:pt idx="65">
                  <c:v>962.22568770146734</c:v>
                </c:pt>
                <c:pt idx="66">
                  <c:v>936.72995969560884</c:v>
                </c:pt>
                <c:pt idx="67">
                  <c:v>902.60134229140215</c:v>
                </c:pt>
                <c:pt idx="68">
                  <c:v>860.34043153238588</c:v>
                </c:pt>
                <c:pt idx="69">
                  <c:v>810.70060804931836</c:v>
                </c:pt>
                <c:pt idx="70">
                  <c:v>754.70069658128921</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0-E407-4308-BD3C-1ADFF8D3F681}"/>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921.9387228423675</c:v>
                </c:pt>
              </c:numCache>
            </c:numRef>
          </c:xVal>
          <c:yVal>
            <c:numRef>
              <c:f>Ueberhaenge!$X$4</c:f>
              <c:numCache>
                <c:formatCode>#,##0.00</c:formatCode>
                <c:ptCount val="1"/>
                <c:pt idx="0">
                  <c:v>4046.96</c:v>
                </c:pt>
              </c:numCache>
            </c:numRef>
          </c:yVal>
          <c:smooth val="0"/>
          <c:extLst>
            <c:ext xmlns:c16="http://schemas.microsoft.com/office/drawing/2014/chart" uri="{C3380CC4-5D6E-409C-BE32-E72D297353CC}">
              <c16:uniqueId val="{00000001-E407-4308-BD3C-1ADFF8D3F681}"/>
            </c:ext>
          </c:extLst>
        </c:ser>
        <c:ser>
          <c:idx val="3"/>
          <c:order val="3"/>
          <c:tx>
            <c:v>Summe 2 Monate</c:v>
          </c:tx>
          <c:marker>
            <c:symbol val="none"/>
          </c:marker>
          <c:xVal>
            <c:numRef>
              <c:f>Ueberhaenge!$U$10:$U$210</c:f>
              <c:numCache>
                <c:formatCode>General</c:formatCode>
                <c:ptCount val="201"/>
                <c:pt idx="0">
                  <c:v>-379.52857107527666</c:v>
                </c:pt>
                <c:pt idx="1">
                  <c:v>-453.64480962274115</c:v>
                </c:pt>
                <c:pt idx="2">
                  <c:v>-529.50244628480516</c:v>
                </c:pt>
                <c:pt idx="3">
                  <c:v>-604.24380903941289</c:v>
                </c:pt>
                <c:pt idx="4">
                  <c:v>-675.2752772304184</c:v>
                </c:pt>
                <c:pt idx="5">
                  <c:v>-741.06321040197724</c:v>
                </c:pt>
                <c:pt idx="6">
                  <c:v>-801.84097774844497</c:v>
                </c:pt>
                <c:pt idx="7">
                  <c:v>-859.7899105899254</c:v>
                </c:pt>
                <c:pt idx="8">
                  <c:v>-918.41874785581115</c:v>
                </c:pt>
                <c:pt idx="9">
                  <c:v>-981.25483743513519</c:v>
                </c:pt>
                <c:pt idx="10">
                  <c:v>-1050.358062422569</c:v>
                </c:pt>
                <c:pt idx="11">
                  <c:v>-1125.3318071935519</c:v>
                </c:pt>
                <c:pt idx="12">
                  <c:v>-1203.3247491972356</c:v>
                </c:pt>
                <c:pt idx="13">
                  <c:v>-1280.0745786640437</c:v>
                </c:pt>
                <c:pt idx="14">
                  <c:v>-1351.5548526867208</c:v>
                </c:pt>
                <c:pt idx="15">
                  <c:v>-1415.4883815918738</c:v>
                </c:pt>
                <c:pt idx="16">
                  <c:v>-1472.0437343465642</c:v>
                </c:pt>
                <c:pt idx="17">
                  <c:v>-1523.4319049446049</c:v>
                </c:pt>
                <c:pt idx="18">
                  <c:v>-1572.6719035839528</c:v>
                </c:pt>
                <c:pt idx="19">
                  <c:v>-1622.1876680074688</c:v>
                </c:pt>
                <c:pt idx="20">
                  <c:v>-1672.900459997586</c:v>
                </c:pt>
                <c:pt idx="21">
                  <c:v>-1724.1094805288451</c:v>
                </c:pt>
                <c:pt idx="22">
                  <c:v>-1773.9788225220286</c:v>
                </c:pt>
                <c:pt idx="23">
                  <c:v>-1820.1853312082058</c:v>
                </c:pt>
                <c:pt idx="24">
                  <c:v>-1860.3495637452706</c:v>
                </c:pt>
                <c:pt idx="25">
                  <c:v>-1892.1408172156052</c:v>
                </c:pt>
                <c:pt idx="26">
                  <c:v>-1913.1917956920374</c:v>
                </c:pt>
                <c:pt idx="27">
                  <c:v>-1921.0470084015717</c:v>
                </c:pt>
                <c:pt idx="28">
                  <c:v>-1913.3115837659757</c:v>
                </c:pt>
                <c:pt idx="29">
                  <c:v>-1888.0344677943235</c:v>
                </c:pt>
                <c:pt idx="30">
                  <c:v>-1844.2097821308632</c:v>
                </c:pt>
                <c:pt idx="31">
                  <c:v>-1782.1652255716867</c:v>
                </c:pt>
                <c:pt idx="32">
                  <c:v>-1703.5968103411894</c:v>
                </c:pt>
                <c:pt idx="33">
                  <c:v>-1611.1484351704223</c:v>
                </c:pt>
                <c:pt idx="34">
                  <c:v>-1507.6675358705311</c:v>
                </c:pt>
                <c:pt idx="35">
                  <c:v>-1395.4484639239063</c:v>
                </c:pt>
                <c:pt idx="36">
                  <c:v>-1275.7801408632536</c:v>
                </c:pt>
                <c:pt idx="37">
                  <c:v>-1148.9521537588544</c:v>
                </c:pt>
                <c:pt idx="38">
                  <c:v>-1014.66976627492</c:v>
                </c:pt>
                <c:pt idx="39">
                  <c:v>-872.70497961785543</c:v>
                </c:pt>
                <c:pt idx="40">
                  <c:v>-723.58408225584537</c:v>
                </c:pt>
                <c:pt idx="41">
                  <c:v>-569.11263749301588</c:v>
                </c:pt>
                <c:pt idx="42">
                  <c:v>-412.51940165906115</c:v>
                </c:pt>
                <c:pt idx="43">
                  <c:v>-258.01061118250527</c:v>
                </c:pt>
                <c:pt idx="44">
                  <c:v>-109.66732450536475</c:v>
                </c:pt>
                <c:pt idx="45">
                  <c:v>30.080109996331672</c:v>
                </c:pt>
                <c:pt idx="46">
                  <c:v>161.83069956438592</c:v>
                </c:pt>
                <c:pt idx="47">
                  <c:v>289.72768280368814</c:v>
                </c:pt>
                <c:pt idx="48">
                  <c:v>420.59247428674519</c:v>
                </c:pt>
                <c:pt idx="49">
                  <c:v>561.67620633033516</c:v>
                </c:pt>
                <c:pt idx="50">
                  <c:v>717.65545034737829</c:v>
                </c:pt>
                <c:pt idx="51">
                  <c:v>887.97789237273298</c:v>
                </c:pt>
                <c:pt idx="52">
                  <c:v>1065.7682626255491</c:v>
                </c:pt>
                <c:pt idx="53">
                  <c:v>1239.0869336877317</c:v>
                </c:pt>
                <c:pt idx="54">
                  <c:v>1394.4086189686207</c:v>
                </c:pt>
                <c:pt idx="55">
                  <c:v>1521.0789529704889</c:v>
                </c:pt>
                <c:pt idx="56">
                  <c:v>1614.8370126548195</c:v>
                </c:pt>
                <c:pt idx="57">
                  <c:v>1678.8185453996971</c:v>
                </c:pt>
                <c:pt idx="58">
                  <c:v>1721.7190009558856</c:v>
                </c:pt>
                <c:pt idx="59">
                  <c:v>1754.1896506893327</c:v>
                </c:pt>
                <c:pt idx="60">
                  <c:v>1785.1238079040659</c:v>
                </c:pt>
                <c:pt idx="61">
                  <c:v>1819.0477587944622</c:v>
                </c:pt>
                <c:pt idx="62">
                  <c:v>1855.0202633261092</c:v>
                </c:pt>
                <c:pt idx="63">
                  <c:v>1887.0026058721471</c:v>
                </c:pt>
                <c:pt idx="64">
                  <c:v>1905.5923511532628</c:v>
                </c:pt>
                <c:pt idx="65">
                  <c:v>1900.7748261928818</c:v>
                </c:pt>
                <c:pt idx="66">
                  <c:v>1864.7800256846499</c:v>
                </c:pt>
                <c:pt idx="67">
                  <c:v>1793.8584758049865</c:v>
                </c:pt>
                <c:pt idx="68">
                  <c:v>1688.4173178347526</c:v>
                </c:pt>
                <c:pt idx="69">
                  <c:v>1552.1144396289947</c:v>
                </c:pt>
                <c:pt idx="70">
                  <c:v>1391.0609492524368</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4-E407-4308-BD3C-1ADFF8D3F681}"/>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STOXX_HedgeBedarf!$A$5:$A$205</c15:sqref>
                        </c15:formulaRef>
                      </c:ext>
                    </c:extLst>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xVal>
                <c:yVal>
                  <c:numRef>
                    <c:extLst>
                      <c:ext uri="{02D57815-91ED-43cb-92C2-25804820EDAC}">
                        <c15:formulaRef>
                          <c15:sqref>STOXX_HedgeBedarf!$B$5:$B$205</c15:sqref>
                        </c15:formulaRef>
                      </c:ext>
                    </c:extLst>
                    <c:numCache>
                      <c:formatCode>#,#00</c:formatCode>
                      <c:ptCount val="201"/>
                    </c:numCache>
                  </c:numRef>
                </c:yVal>
                <c:smooth val="0"/>
                <c:extLst>
                  <c:ext xmlns:c16="http://schemas.microsoft.com/office/drawing/2014/chart" uri="{C3380CC4-5D6E-409C-BE32-E72D297353CC}">
                    <c16:uniqueId val="{00000002-E407-4308-BD3C-1ADFF8D3F681}"/>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4650"/>
          <c:min val="39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out"/>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50"/>
        <c:minorUnit val="1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STOXX_HedgeBedarf!$C$5:$C$205</c:f>
              <c:numCache>
                <c:formatCode>#,#00</c:formatCode>
                <c:ptCount val="201"/>
                <c:pt idx="0">
                  <c:v>-289.67778572751018</c:v>
                </c:pt>
                <c:pt idx="1">
                  <c:v>-349.65673497221815</c:v>
                </c:pt>
                <c:pt idx="2">
                  <c:v>-409.94040886532798</c:v>
                </c:pt>
                <c:pt idx="3">
                  <c:v>-467.60205133918834</c:v>
                </c:pt>
                <c:pt idx="4">
                  <c:v>-519.96767140094619</c:v>
                </c:pt>
                <c:pt idx="5">
                  <c:v>-565.40717565297246</c:v>
                </c:pt>
                <c:pt idx="6">
                  <c:v>-604.03678081363023</c:v>
                </c:pt>
                <c:pt idx="7">
                  <c:v>-637.89598373328897</c:v>
                </c:pt>
                <c:pt idx="8">
                  <c:v>-670.32422592433306</c:v>
                </c:pt>
                <c:pt idx="9">
                  <c:v>-704.65122377704256</c:v>
                </c:pt>
                <c:pt idx="10">
                  <c:v>-742.71280141478076</c:v>
                </c:pt>
                <c:pt idx="11">
                  <c:v>-783.86755624406464</c:v>
                </c:pt>
                <c:pt idx="12">
                  <c:v>-825.00924113560609</c:v>
                </c:pt>
                <c:pt idx="13">
                  <c:v>-861.62701388105916</c:v>
                </c:pt>
                <c:pt idx="14">
                  <c:v>-889.4755537878624</c:v>
                </c:pt>
                <c:pt idx="15">
                  <c:v>-906.11871660784323</c:v>
                </c:pt>
                <c:pt idx="16">
                  <c:v>-911.6627776147817</c:v>
                </c:pt>
                <c:pt idx="17">
                  <c:v>-908.39469726598213</c:v>
                </c:pt>
                <c:pt idx="18">
                  <c:v>-899.59133232670285</c:v>
                </c:pt>
                <c:pt idx="19">
                  <c:v>-888.15791666556743</c:v>
                </c:pt>
                <c:pt idx="20">
                  <c:v>-875.75489768305499</c:v>
                </c:pt>
                <c:pt idx="21">
                  <c:v>-862.70023786445188</c:v>
                </c:pt>
                <c:pt idx="22">
                  <c:v>-848.45981156595985</c:v>
                </c:pt>
                <c:pt idx="23">
                  <c:v>-832.27593791192498</c:v>
                </c:pt>
                <c:pt idx="24">
                  <c:v>-813.55352363528959</c:v>
                </c:pt>
                <c:pt idx="25">
                  <c:v>-791.89461192829674</c:v>
                </c:pt>
                <c:pt idx="26">
                  <c:v>-766.91974701457082</c:v>
                </c:pt>
                <c:pt idx="27">
                  <c:v>-738.10617800354657</c:v>
                </c:pt>
                <c:pt idx="28">
                  <c:v>-704.81823838212847</c:v>
                </c:pt>
                <c:pt idx="29">
                  <c:v>-666.57442397131751</c:v>
                </c:pt>
                <c:pt idx="30">
                  <c:v>-623.44622730688184</c:v>
                </c:pt>
                <c:pt idx="31">
                  <c:v>-576.36824805965614</c:v>
                </c:pt>
                <c:pt idx="32">
                  <c:v>-527.1274840719002</c:v>
                </c:pt>
                <c:pt idx="33">
                  <c:v>-477.93572847005674</c:v>
                </c:pt>
                <c:pt idx="34">
                  <c:v>-430.71776815034264</c:v>
                </c:pt>
                <c:pt idx="35">
                  <c:v>-386.4242490500464</c:v>
                </c:pt>
                <c:pt idx="36">
                  <c:v>-344.67900805942588</c:v>
                </c:pt>
                <c:pt idx="37">
                  <c:v>-303.90510709531151</c:v>
                </c:pt>
                <c:pt idx="38">
                  <c:v>-261.86810151609308</c:v>
                </c:pt>
                <c:pt idx="39">
                  <c:v>-216.45111640108311</c:v>
                </c:pt>
                <c:pt idx="40">
                  <c:v>-166.45042524039005</c:v>
                </c:pt>
                <c:pt idx="41">
                  <c:v>-112.18285271177544</c:v>
                </c:pt>
                <c:pt idx="42">
                  <c:v>-55.680003602587632</c:v>
                </c:pt>
                <c:pt idx="43">
                  <c:v>-0.25803721253585771</c:v>
                </c:pt>
                <c:pt idx="44">
                  <c:v>50.603080920675588</c:v>
                </c:pt>
                <c:pt idx="45">
                  <c:v>94.831828612930352</c:v>
                </c:pt>
                <c:pt idx="46">
                  <c:v>133.21114585590956</c:v>
                </c:pt>
                <c:pt idx="47">
                  <c:v>169.97138113706541</c:v>
                </c:pt>
                <c:pt idx="48">
                  <c:v>212.00233603717635</c:v>
                </c:pt>
                <c:pt idx="49">
                  <c:v>266.67293645590985</c:v>
                </c:pt>
                <c:pt idx="50">
                  <c:v>338.87708791910126</c:v>
                </c:pt>
                <c:pt idx="51">
                  <c:v>428.40649414672635</c:v>
                </c:pt>
                <c:pt idx="52">
                  <c:v>528.85940423502143</c:v>
                </c:pt>
                <c:pt idx="53">
                  <c:v>628.88010984664311</c:v>
                </c:pt>
                <c:pt idx="54">
                  <c:v>715.60224910083662</c:v>
                </c:pt>
                <c:pt idx="55">
                  <c:v>779.06146356513398</c:v>
                </c:pt>
                <c:pt idx="56">
                  <c:v>815.67389732070546</c:v>
                </c:pt>
                <c:pt idx="57">
                  <c:v>829.2027806947134</c:v>
                </c:pt>
                <c:pt idx="58">
                  <c:v>828.89727144224514</c:v>
                </c:pt>
                <c:pt idx="59">
                  <c:v>825.8785348987949</c:v>
                </c:pt>
                <c:pt idx="60">
                  <c:v>829.42812703705772</c:v>
                </c:pt>
                <c:pt idx="61">
                  <c:v>844.38821949740452</c:v>
                </c:pt>
                <c:pt idx="62">
                  <c:v>870.07058175578481</c:v>
                </c:pt>
                <c:pt idx="63">
                  <c:v>900.62919998431846</c:v>
                </c:pt>
                <c:pt idx="64">
                  <c:v>926.78424690902352</c:v>
                </c:pt>
                <c:pt idx="65">
                  <c:v>938.54913849141462</c:v>
                </c:pt>
                <c:pt idx="66">
                  <c:v>928.05006598904117</c:v>
                </c:pt>
                <c:pt idx="67">
                  <c:v>891.25713351358445</c:v>
                </c:pt>
                <c:pt idx="68">
                  <c:v>828.07688630236669</c:v>
                </c:pt>
                <c:pt idx="69">
                  <c:v>741.41383157967618</c:v>
                </c:pt>
                <c:pt idx="70">
                  <c:v>636.36025267114769</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921.9387228423675</c:v>
                </c:pt>
              </c:numCache>
            </c:numRef>
          </c:xVal>
          <c:yVal>
            <c:numRef>
              <c:f>Ueberhaenge!$X$4</c:f>
              <c:numCache>
                <c:formatCode>#,##0.00</c:formatCode>
                <c:ptCount val="1"/>
                <c:pt idx="0">
                  <c:v>4046.96</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STOXX_HedgeBedarf!$A$5:$A$205</c15:sqref>
                        </c15:formulaRef>
                      </c:ext>
                    </c:extLst>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xVal>
                <c:yVal>
                  <c:numRef>
                    <c:extLst>
                      <c:ext uri="{02D57815-91ED-43cb-92C2-25804820EDAC}">
                        <c15:formulaRef>
                          <c15:sqref>STOXX_HedgeBedarf!$B$5:$B$205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4650"/>
          <c:min val="39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out"/>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50"/>
        <c:minorUnit val="1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cat>
          <c:val>
            <c:numRef>
              <c:f>STOXX_HedgeBedarf!$AR$5:$AR$205</c:f>
              <c:numCache>
                <c:formatCode>#,#00</c:formatCode>
                <c:ptCount val="201"/>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'STOXX_HedgeBedarf+01'!$A$5:$A$205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cat>
          <c:val>
            <c:numRef>
              <c:f>'STOXX_HedgeBedarf+01'!$AR$5:$AR$205</c:f>
              <c:numCache>
                <c:formatCode>#,#00</c:formatCode>
                <c:ptCount val="201"/>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746760</xdr:colOff>
          <xdr:row>2</xdr:row>
          <xdr:rowOff>152400</xdr:rowOff>
        </xdr:from>
        <xdr:to>
          <xdr:col>12</xdr:col>
          <xdr:colOff>0</xdr:colOff>
          <xdr:row>4</xdr:row>
          <xdr:rowOff>121920</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746760</xdr:colOff>
          <xdr:row>0</xdr:row>
          <xdr:rowOff>121920</xdr:rowOff>
        </xdr:from>
        <xdr:to>
          <xdr:col>13</xdr:col>
          <xdr:colOff>220980</xdr:colOff>
          <xdr:row>1</xdr:row>
          <xdr:rowOff>160020</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746760</xdr:colOff>
          <xdr:row>0</xdr:row>
          <xdr:rowOff>632460</xdr:rowOff>
        </xdr:from>
        <xdr:to>
          <xdr:col>12</xdr:col>
          <xdr:colOff>22860</xdr:colOff>
          <xdr:row>2</xdr:row>
          <xdr:rowOff>68580</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99060</xdr:colOff>
          <xdr:row>0</xdr:row>
          <xdr:rowOff>121920</xdr:rowOff>
        </xdr:from>
        <xdr:to>
          <xdr:col>13</xdr:col>
          <xdr:colOff>160020</xdr:colOff>
          <xdr:row>0</xdr:row>
          <xdr:rowOff>502920</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754380</xdr:colOff>
          <xdr:row>0</xdr:row>
          <xdr:rowOff>68580</xdr:rowOff>
        </xdr:from>
        <xdr:to>
          <xdr:col>26</xdr:col>
          <xdr:colOff>548640</xdr:colOff>
          <xdr:row>0</xdr:row>
          <xdr:rowOff>441960</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754380</xdr:colOff>
          <xdr:row>0</xdr:row>
          <xdr:rowOff>525780</xdr:rowOff>
        </xdr:from>
        <xdr:to>
          <xdr:col>26</xdr:col>
          <xdr:colOff>548640</xdr:colOff>
          <xdr:row>1</xdr:row>
          <xdr:rowOff>137160</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1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9</xdr:col>
          <xdr:colOff>746760</xdr:colOff>
          <xdr:row>5</xdr:row>
          <xdr:rowOff>45720</xdr:rowOff>
        </xdr:from>
        <xdr:to>
          <xdr:col>11</xdr:col>
          <xdr:colOff>746760</xdr:colOff>
          <xdr:row>6</xdr:row>
          <xdr:rowOff>220980</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182880</xdr:colOff>
          <xdr:row>0</xdr:row>
          <xdr:rowOff>121920</xdr:rowOff>
        </xdr:from>
        <xdr:to>
          <xdr:col>16</xdr:col>
          <xdr:colOff>91440</xdr:colOff>
          <xdr:row>0</xdr:row>
          <xdr:rowOff>495300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0</xdr:row>
          <xdr:rowOff>121920</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3" name="Gerader Verbinder 2">
          <a:extLst>
            <a:ext uri="{FF2B5EF4-FFF2-40B4-BE49-F238E27FC236}">
              <a16:creationId xmlns:a16="http://schemas.microsoft.com/office/drawing/2014/main" id="{00000000-0008-0000-0200-000003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3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4" name="Gerader Verbinder 3">
          <a:extLst>
            <a:ext uri="{FF2B5EF4-FFF2-40B4-BE49-F238E27FC236}">
              <a16:creationId xmlns:a16="http://schemas.microsoft.com/office/drawing/2014/main" id="{00000000-0008-0000-0300-000004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3175</xdr:colOff>
      <xdr:row>6</xdr:row>
      <xdr:rowOff>381001</xdr:rowOff>
    </xdr:from>
    <xdr:to>
      <xdr:col>9</xdr:col>
      <xdr:colOff>47625</xdr:colOff>
      <xdr:row>39</xdr:row>
      <xdr:rowOff>31751</xdr:rowOff>
    </xdr:to>
    <xdr:graphicFrame macro="">
      <xdr:nvGraphicFramePr>
        <xdr:cNvPr id="2" name="Diagram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3" name="Gerade Verbindung mit Pfeil 2">
          <a:extLst>
            <a:ext uri="{FF2B5EF4-FFF2-40B4-BE49-F238E27FC236}">
              <a16:creationId xmlns:a16="http://schemas.microsoft.com/office/drawing/2014/main" id="{00000000-0008-0000-0500-000003000000}"/>
            </a:ext>
          </a:extLst>
        </xdr:cNvPr>
        <xdr:cNvCxnSpPr/>
      </xdr:nvCxnSpPr>
      <xdr:spPr>
        <a:xfrm flipH="1">
          <a:off x="18988768" y="10271124"/>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4" name="Gerade Verbindung mit Pfeil 3">
          <a:extLst>
            <a:ext uri="{FF2B5EF4-FFF2-40B4-BE49-F238E27FC236}">
              <a16:creationId xmlns:a16="http://schemas.microsoft.com/office/drawing/2014/main" id="{00000000-0008-0000-0500-000004000000}"/>
            </a:ext>
          </a:extLst>
        </xdr:cNvPr>
        <xdr:cNvCxnSpPr/>
      </xdr:nvCxnSpPr>
      <xdr:spPr>
        <a:xfrm flipH="1">
          <a:off x="18767729" y="9611632"/>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15876</xdr:colOff>
      <xdr:row>6</xdr:row>
      <xdr:rowOff>15875</xdr:rowOff>
    </xdr:from>
    <xdr:ext cx="4841874" cy="841376"/>
    <xdr:sp macro="" textlink="">
      <xdr:nvSpPr>
        <xdr:cNvPr id="5" name="Textfeld 4">
          <a:extLst>
            <a:ext uri="{FF2B5EF4-FFF2-40B4-BE49-F238E27FC236}">
              <a16:creationId xmlns:a16="http://schemas.microsoft.com/office/drawing/2014/main" id="{00000000-0008-0000-0500-000005000000}"/>
            </a:ext>
          </a:extLst>
        </xdr:cNvPr>
        <xdr:cNvSpPr txBox="1"/>
      </xdr:nvSpPr>
      <xdr:spPr>
        <a:xfrm>
          <a:off x="3768726" y="2606675"/>
          <a:ext cx="4841874" cy="841376"/>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bg1"/>
              </a:solidFill>
              <a:effectLst/>
              <a:latin typeface="+mn-lt"/>
              <a:ea typeface="+mn-ea"/>
              <a:cs typeface="+mn-cs"/>
            </a:rPr>
            <a:t>Änderung des Hedgebedarfs für den Frontmonat (Kontrakte/P, Abschätzung)</a:t>
          </a:r>
          <a:br>
            <a:rPr lang="en-US" sz="1600" b="1" i="0" baseline="0">
              <a:solidFill>
                <a:schemeClr val="bg1"/>
              </a:solidFill>
              <a:effectLst/>
              <a:latin typeface="+mn-lt"/>
              <a:ea typeface="+mn-ea"/>
              <a:cs typeface="+mn-cs"/>
            </a:rPr>
          </a:br>
          <a:r>
            <a:rPr lang="en-US" sz="1600" b="1" i="0" baseline="0">
              <a:solidFill>
                <a:schemeClr val="bg1"/>
              </a:solidFill>
              <a:effectLst/>
              <a:latin typeface="+mn-lt"/>
              <a:ea typeface="+mn-ea"/>
              <a:cs typeface="+mn-cs"/>
            </a:rPr>
            <a:t>Faktor:50% (des theoretischen Wertes)</a:t>
          </a:r>
          <a:endParaRPr lang="de-DE" sz="1600" b="1">
            <a:solidFill>
              <a:schemeClr val="bg1"/>
            </a:solidFill>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500-000006000000}"/>
            </a:ext>
          </a:extLst>
        </xdr:cNvPr>
        <xdr:cNvCxnSpPr/>
      </xdr:nvCxnSpPr>
      <xdr:spPr>
        <a:xfrm flipV="1">
          <a:off x="17319625" y="53657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48</xdr:row>
      <xdr:rowOff>0</xdr:rowOff>
    </xdr:to>
    <xdr:sp macro="" textlink="">
      <xdr:nvSpPr>
        <xdr:cNvPr id="7" name="Rechteck 6">
          <a:extLst>
            <a:ext uri="{FF2B5EF4-FFF2-40B4-BE49-F238E27FC236}">
              <a16:creationId xmlns:a16="http://schemas.microsoft.com/office/drawing/2014/main" id="{00000000-0008-0000-0500-000007000000}"/>
            </a:ext>
          </a:extLst>
        </xdr:cNvPr>
        <xdr:cNvSpPr/>
      </xdr:nvSpPr>
      <xdr:spPr>
        <a:xfrm>
          <a:off x="23241000" y="2273300"/>
          <a:ext cx="4222750" cy="127095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457200</xdr:colOff>
      <xdr:row>45</xdr:row>
      <xdr:rowOff>114300</xdr:rowOff>
    </xdr:from>
    <xdr:to>
      <xdr:col>5</xdr:col>
      <xdr:colOff>650875</xdr:colOff>
      <xdr:row>45</xdr:row>
      <xdr:rowOff>184150</xdr:rowOff>
    </xdr:to>
    <xdr:sp macro="" textlink="">
      <xdr:nvSpPr>
        <xdr:cNvPr id="8" name="Rechteck 7">
          <a:extLst>
            <a:ext uri="{FF2B5EF4-FFF2-40B4-BE49-F238E27FC236}">
              <a16:creationId xmlns:a16="http://schemas.microsoft.com/office/drawing/2014/main" id="{00000000-0008-0000-0500-000008000000}"/>
            </a:ext>
          </a:extLst>
        </xdr:cNvPr>
        <xdr:cNvSpPr/>
      </xdr:nvSpPr>
      <xdr:spPr>
        <a:xfrm>
          <a:off x="4972050" y="143827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469900</xdr:colOff>
      <xdr:row>44</xdr:row>
      <xdr:rowOff>123825</xdr:rowOff>
    </xdr:from>
    <xdr:to>
      <xdr:col>5</xdr:col>
      <xdr:colOff>663575</xdr:colOff>
      <xdr:row>44</xdr:row>
      <xdr:rowOff>193675</xdr:rowOff>
    </xdr:to>
    <xdr:sp macro="" textlink="">
      <xdr:nvSpPr>
        <xdr:cNvPr id="9" name="Rechteck 8">
          <a:extLst>
            <a:ext uri="{FF2B5EF4-FFF2-40B4-BE49-F238E27FC236}">
              <a16:creationId xmlns:a16="http://schemas.microsoft.com/office/drawing/2014/main" id="{00000000-0008-0000-0500-000009000000}"/>
            </a:ext>
          </a:extLst>
        </xdr:cNvPr>
        <xdr:cNvSpPr/>
      </xdr:nvSpPr>
      <xdr:spPr>
        <a:xfrm>
          <a:off x="4984750" y="14154150"/>
          <a:ext cx="193675" cy="69850"/>
        </a:xfrm>
        <a:prstGeom prst="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3175</xdr:colOff>
      <xdr:row>6</xdr:row>
      <xdr:rowOff>381001</xdr:rowOff>
    </xdr:from>
    <xdr:to>
      <xdr:col>9</xdr:col>
      <xdr:colOff>47625</xdr:colOff>
      <xdr:row>39</xdr:row>
      <xdr:rowOff>31751</xdr:rowOff>
    </xdr:to>
    <xdr:graphicFrame macro="">
      <xdr:nvGraphicFramePr>
        <xdr:cNvPr id="2" name="Diagramm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6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6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6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48</xdr:row>
      <xdr:rowOff>0</xdr:rowOff>
    </xdr:to>
    <xdr:sp macro="" textlink="">
      <xdr:nvSpPr>
        <xdr:cNvPr id="3" name="Rechteck 2">
          <a:extLst>
            <a:ext uri="{FF2B5EF4-FFF2-40B4-BE49-F238E27FC236}">
              <a16:creationId xmlns:a16="http://schemas.microsoft.com/office/drawing/2014/main" id="{00000000-0008-0000-06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4</xdr:col>
      <xdr:colOff>15876</xdr:colOff>
      <xdr:row>6</xdr:row>
      <xdr:rowOff>15875</xdr:rowOff>
    </xdr:from>
    <xdr:ext cx="4841874" cy="841376"/>
    <xdr:sp macro="" textlink="">
      <xdr:nvSpPr>
        <xdr:cNvPr id="7" name="Textfeld 6">
          <a:extLst>
            <a:ext uri="{FF2B5EF4-FFF2-40B4-BE49-F238E27FC236}">
              <a16:creationId xmlns:a16="http://schemas.microsoft.com/office/drawing/2014/main" id="{00000000-0008-0000-0600-000007000000}"/>
            </a:ext>
          </a:extLst>
        </xdr:cNvPr>
        <xdr:cNvSpPr txBox="1"/>
      </xdr:nvSpPr>
      <xdr:spPr>
        <a:xfrm>
          <a:off x="3762376" y="2159000"/>
          <a:ext cx="4841874" cy="841376"/>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bg1"/>
              </a:solidFill>
              <a:effectLst/>
              <a:latin typeface="+mn-lt"/>
              <a:ea typeface="+mn-ea"/>
              <a:cs typeface="+mn-cs"/>
            </a:rPr>
            <a:t>Änderung des Hedgebedarfs für den Frontmonat (Kontrakte/P, Abschätzung)</a:t>
          </a:r>
          <a:br>
            <a:rPr lang="en-US" sz="1600" b="1" i="0" baseline="0">
              <a:solidFill>
                <a:schemeClr val="bg1"/>
              </a:solidFill>
              <a:effectLst/>
              <a:latin typeface="+mn-lt"/>
              <a:ea typeface="+mn-ea"/>
              <a:cs typeface="+mn-cs"/>
            </a:rPr>
          </a:br>
          <a:r>
            <a:rPr lang="en-US" sz="1600" b="1" i="0" baseline="0">
              <a:solidFill>
                <a:schemeClr val="bg1"/>
              </a:solidFill>
              <a:effectLst/>
              <a:latin typeface="+mn-lt"/>
              <a:ea typeface="+mn-ea"/>
              <a:cs typeface="+mn-cs"/>
            </a:rPr>
            <a:t>Faktor:50% (des theoretischen Wertes)</a:t>
          </a:r>
          <a:endParaRPr lang="de-DE" sz="1600" b="1">
            <a:solidFill>
              <a:schemeClr val="bg1"/>
            </a:solidFill>
            <a:effectLst/>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3" connectionId="3" xr16:uid="{3B996B97-E06D-41CC-B7FD-206A2F15D1AE}" autoFormatId="16" applyNumberFormats="0" applyBorderFormats="0" applyFontFormats="0" applyPatternFormats="0" applyAlignmentFormats="0" applyWidthHeightFormats="0">
  <queryTableRefresh nextId="786">
    <queryTableFields count="6">
      <queryTableField id="774" name="Column1" tableColumnId="1"/>
      <queryTableField id="784" name="18-10-2023" tableColumnId="9"/>
      <queryTableField id="782" name="17-10-2023" tableColumnId="8"/>
      <queryTableField id="780" name="16-10-2023" tableColumnId="7"/>
      <queryTableField id="775" name="13-10-2023" tableColumnId="2"/>
      <queryTableField id="776" name="12-10-2023"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 xr16:uid="{53855074-DCB6-4CD2-81D7-F51113CF451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4" xr16:uid="{3B03E782-8878-4D07-B969-9A8941D817AF}" autoFormatId="16" applyNumberFormats="0" applyBorderFormats="0" applyFontFormats="0" applyPatternFormats="0" applyAlignmentFormats="0" applyWidthHeightFormats="0">
  <queryTableRefresh nextId="5">
    <queryTableFields count="4">
      <queryTableField id="1" name="Indizes EU / USA / INT" tableColumnId="5"/>
      <queryTableField id="2" name="Kurs" tableColumnId="2"/>
      <queryTableField id="3" name="%" tableColumnId="3"/>
      <queryTableField id="4" name="Zeit"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0AEA0782-F919-4C0E-ACF1-A3D48152B9B3}" autoFormatId="16" applyNumberFormats="0" applyBorderFormats="0" applyFontFormats="0" applyPatternFormats="0" applyAlignmentFormats="0" applyWidthHeightFormats="0">
  <queryTableRefresh nextId="6">
    <queryTableFields count="5">
      <queryTableField id="1" name="Product" tableColumnId="6"/>
      <queryTableField id="2" name="Diff. to prev. day last" tableColumnId="2"/>
      <queryTableField id="3" name="Last price" tableColumnId="3"/>
      <queryTableField id="4" name="Contracts" tableColumnId="4"/>
      <queryTableField id="5" name="Time"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2" xr16:uid="{81C52E81-01D5-4BCE-8194-5CF43C5F1987}"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6" xr16:uid="{6CFEBD47-7593-480A-B23E-CCC6265CA497}" autoFormatId="16" applyNumberFormats="0" applyBorderFormats="0" applyFontFormats="0" applyPatternFormats="0" applyAlignmentFormats="0" applyWidthHeightFormats="0">
  <queryTableRefresh nextId="4" unboundColumnsRight="1">
    <queryTableFields count="3">
      <queryTableField id="1" name="Column1" tableColumnId="3"/>
      <queryTableField id="2" name="Column2" tableColumnId="2"/>
      <queryTableField id="3" dataBound="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983621-AC03-41CE-853C-1893824BA46C}" name="Libor" displayName="Libor" ref="A13:F15" tableType="queryTable" totalsRowShown="0">
  <autoFilter ref="A13:F15" xr:uid="{DE0D870F-632C-4D0D-90C3-5295F2591B9E}"/>
  <tableColumns count="6">
    <tableColumn id="1" xr3:uid="{BD9C062E-02CC-46BD-9FC5-B6E5955B30C6}" uniqueName="1" name="Column1" queryTableFieldId="774" dataDxfId="9"/>
    <tableColumn id="9" xr3:uid="{A06123A2-7999-4681-B535-B72E6DA31F91}" uniqueName="9" name="18-10-2023" queryTableFieldId="784" dataDxfId="8"/>
    <tableColumn id="8" xr3:uid="{9C5D1DB8-1484-4684-8EA0-6C2449C0F9EF}" uniqueName="8" name="17-10-2023" queryTableFieldId="782" dataDxfId="7"/>
    <tableColumn id="7" xr3:uid="{C506C85B-5CD9-4B2C-A59A-1FEF8952099D}" uniqueName="7" name="16-10-2023" queryTableFieldId="780" dataDxfId="6"/>
    <tableColumn id="2" xr3:uid="{F5313521-C567-4CB3-A9E6-BF9BEC0DD2B8}" uniqueName="2" name="13-10-2023" queryTableFieldId="775" dataDxfId="5"/>
    <tableColumn id="3" xr3:uid="{9AF347E1-B950-477D-88E5-39D1380A92EE}" uniqueName="3" name="12-10-2023" queryTableFieldId="776" dataDxf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0BFE0C-63D3-448D-B265-0D6C0E173DE4}" name="Stoxx_50" displayName="Stoxx_50" ref="A1:F6" totalsRowShown="0">
  <autoFilter ref="A1:F6" xr:uid="{3F296FF5-133E-4B0D-AF46-3C8E344F3391}"/>
  <tableColumns count="6">
    <tableColumn id="7" xr3:uid="{E63EA544-83C5-40AA-853C-15CDD9C5B172}" name="Name" dataDxfId="62"/>
    <tableColumn id="2" xr3:uid="{4836B549-2264-4702-85CB-9CD14219D157}" name="Kurs" dataDxfId="61"/>
    <tableColumn id="3" xr3:uid="{A6B72ED6-3E02-4C39-A28C-C02160AC051D}" name="Vortag" dataDxfId="60"/>
    <tableColumn id="4" xr3:uid="{B259CF6A-A4E8-48E4-AD1D-7E60A0B2D621}" name="+/- %" dataDxfId="59"/>
    <tableColumn id="5" xr3:uid="{99FD36CA-0861-483C-979E-0C568C89F395}" name="+/- abs." dataDxfId="58"/>
    <tableColumn id="6" xr3:uid="{6843929D-3A62-4A7B-807D-38411E4029B8}" name="Zeit" dataDxfId="5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48CBE32-02CE-4B14-88AF-525DF5C6A86B}" name="Euribor3M" displayName="Euribor3M" ref="A1:B11" tableType="queryTable" totalsRowShown="0">
  <autoFilter ref="A1:B11" xr:uid="{1B45263B-9136-466D-B606-B5673B558942}"/>
  <tableColumns count="2">
    <tableColumn id="3" xr3:uid="{4480C294-A250-4644-A250-4CCB84A484FA}" uniqueName="3" name="Column1" queryTableFieldId="1" dataDxfId="56"/>
    <tableColumn id="2" xr3:uid="{195A9FF9-9CB9-4944-A007-0BC6AF504FA5}" uniqueName="2" name="Column2" queryTableFieldId="2" dataDxfId="5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7F08406-0517-4B26-A8DD-B8C911029751}" name="Euro_Stoxx_50_tägliche_Kurse" displayName="Euro_Stoxx_50_tägliche_Kurse" ref="A1:F11" totalsRowShown="0">
  <autoFilter ref="A1:F11" xr:uid="{294964D2-0A27-469E-9F5A-543FA616C677}"/>
  <tableColumns count="6">
    <tableColumn id="7" xr3:uid="{1AFCE216-63C1-46C5-AD1E-06E579E4A2FA}" name="Datum" dataDxfId="54"/>
    <tableColumn id="2" xr3:uid="{CD079CA8-D659-4924-A4DF-299B316EAF30}" name="Erster _x000a_                    Schluss" dataDxfId="53"/>
    <tableColumn id="3" xr3:uid="{DE9E822F-084C-4C4C-9D0A-D3C34BD980A3}" name="Hoch _x000a_                    Tief" dataDxfId="52"/>
    <tableColumn id="4" xr3:uid="{F71D31BD-0208-4F54-A5E2-47D12B1916A4}" name="Tief" dataDxfId="51"/>
    <tableColumn id="5" xr3:uid="{5EC24D7A-587A-4906-B26D-0F982C0F5781}" name="Schluss" dataDxfId="50"/>
    <tableColumn id="6" xr3:uid="{CE18D162-1687-4004-9DA6-54FDAB5147AB}" name="%" dataDxfId="4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6941D5-89E4-488E-BA32-F8D05C6A01D0}" name="Historische_Kurse" displayName="Historische_Kurse" ref="A1:G21" totalsRowShown="0">
  <autoFilter ref="A1:G21" xr:uid="{19434EE6-9D13-4884-BBEB-2D00C6ED976D}"/>
  <tableColumns count="7">
    <tableColumn id="9" xr3:uid="{B771E8DA-E8A4-48A3-8C55-A286AD9D4569}" name="Column1" dataDxfId="48"/>
    <tableColumn id="2" xr3:uid="{4407E966-BCE3-43E4-91FA-2840D9A306BF}" name="Datum" dataDxfId="47"/>
    <tableColumn id="3" xr3:uid="{0E902EF8-3548-400D-930B-1C46E9244785}" name="Eröffnung" dataDxfId="46"/>
    <tableColumn id="4" xr3:uid="{21E541E3-E868-409F-8F0C-C204C1463CE9}" name="Hoch" dataDxfId="45"/>
    <tableColumn id="5" xr3:uid="{F08A1315-8DCE-4A73-8F7C-1B3CFD61C706}" name="Tief" dataDxfId="44"/>
    <tableColumn id="6" xr3:uid="{A4A2DCDD-747B-4944-98DD-B7547F5CF950}" name="Schlusskurs" dataDxfId="43"/>
    <tableColumn id="7" xr3:uid="{AE0D68A8-27D0-4AE0-92CC-650ED08F3DF2}" name="Volumen" dataDxfId="4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107E6D-EDE1-48EE-A6C1-CD83F8898578}" name="VSTOXX" displayName="VSTOXX" ref="A1:C5" totalsRowShown="0">
  <autoFilter ref="A1:C5" xr:uid="{31207650-D9EC-4760-8F98-23DBD7310279}"/>
  <tableColumns count="3">
    <tableColumn id="4" xr3:uid="{B4098B7F-1F37-46B6-9766-63C78012ABDF}" name="Column1" dataDxfId="41"/>
    <tableColumn id="2" xr3:uid="{CC877C1C-85A7-43DF-A602-7C812A1297C4}" name="Column2" dataDxfId="40"/>
    <tableColumn id="3" xr3:uid="{FB84A096-A148-4823-AA99-61D96C8C9048}" name="Column3" dataDxfId="3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5B9C457-9497-478F-90BD-05FD6C42A0F1}" name="Stuttgart" displayName="Stuttgart" ref="A1:D9" tableType="queryTable" totalsRowShown="0">
  <autoFilter ref="A1:D9" xr:uid="{35B9C457-9497-478F-90BD-05FD6C42A0F1}"/>
  <tableColumns count="4">
    <tableColumn id="5" xr3:uid="{FE655A4C-ABB3-4E64-AAE3-7785577AF8D6}" uniqueName="5" name="Indizes EU / USA / INT" queryTableFieldId="1" dataDxfId="38"/>
    <tableColumn id="2" xr3:uid="{5F796065-2DFE-4864-B4F4-DAA2E697ACA7}" uniqueName="2" name="Kurs" queryTableFieldId="2" dataDxfId="37"/>
    <tableColumn id="3" xr3:uid="{73973967-88D9-47AE-B504-BE826DC9036A}" uniqueName="3" name="%" queryTableFieldId="3" dataDxfId="36"/>
    <tableColumn id="4" xr3:uid="{2B81C345-4191-47AA-B012-6858EE615407}" uniqueName="4" name="Zeit" queryTableFieldId="4" dataDxf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5FC45F5-5219-4A15-B3EF-70E023FFFB73}" name="VSTOXX_EUREX" displayName="VSTOXX_EUREX" ref="A1:E2" tableType="queryTable" totalsRowShown="0">
  <autoFilter ref="A1:E2" xr:uid="{35FC45F5-5219-4A15-B3EF-70E023FFFB73}"/>
  <tableColumns count="5">
    <tableColumn id="6" xr3:uid="{4A81FF87-088C-4911-BB2F-0427749805D2}" uniqueName="6" name="Product" queryTableFieldId="1" dataDxfId="35"/>
    <tableColumn id="2" xr3:uid="{9C3DF750-83B7-43F3-8247-C59CD80C02FF}" uniqueName="2" name="Diff. to prev. day last" queryTableFieldId="2" dataDxfId="34"/>
    <tableColumn id="3" xr3:uid="{228EAF8D-A111-48B7-A564-EF75E4721787}" uniqueName="3" name="Last price" queryTableFieldId="3" dataDxfId="33"/>
    <tableColumn id="4" xr3:uid="{AEDC5A81-74A7-4482-90AD-47A7B4E87D0D}" uniqueName="4" name="Contracts" queryTableFieldId="4" dataDxfId="32"/>
    <tableColumn id="5" xr3:uid="{E6C60813-5E6B-4275-8D15-46017A498FCD}" uniqueName="5" name="Time" queryTableFieldId="5" dataDxf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DACB8BC-9228-4BAC-9B20-A912E73C3F19}" name="Historische_Kurse_VSTOXX" displayName="Historische_Kurse_VSTOXX" ref="A1:C24" tableType="queryTable" totalsRowShown="0">
  <autoFilter ref="A1:C24" xr:uid="{FDACB8BC-9228-4BAC-9B20-A912E73C3F19}"/>
  <tableColumns count="3">
    <tableColumn id="4" xr3:uid="{E0BD8840-8CB5-45F3-9FC6-C9D750591C43}" uniqueName="4" name="Datum" queryTableFieldId="1" dataDxfId="30"/>
    <tableColumn id="2" xr3:uid="{6B2DBCE0-5075-410F-8E89-DCA39DCCA4A6}" uniqueName="2" name="Eröffnung" queryTableFieldId="2" dataDxfId="29"/>
    <tableColumn id="3" xr3:uid="{43507E11-60F9-4D4C-A47C-6FDA02951413}" uniqueName="3" name="Schluss" queryTableFieldId="3" dataDxfId="2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E035955-7D2A-43C1-9AFE-E34DA0C34CFD}" name="VSTOXX_Finanzen" displayName="VSTOXX_Finanzen" ref="A1:C8" tableType="queryTable" totalsRowShown="0">
  <autoFilter ref="A1:C8" xr:uid="{FE035955-7D2A-43C1-9AFE-E34DA0C34CFD}"/>
  <tableColumns count="3">
    <tableColumn id="3" xr3:uid="{CD5B1022-6A98-4F90-B203-08790CA2DAE9}" uniqueName="3" name="Column1" queryTableFieldId="1" dataDxfId="2"/>
    <tableColumn id="2" xr3:uid="{FE768098-C1A6-490F-AE6E-AEDF6C9ACDAE}" uniqueName="2" name="Column2" queryTableFieldId="2" dataDxfId="1"/>
    <tableColumn id="4" xr3:uid="{5B4A9399-9E70-4187-A354-9CED572E9BC6}" uniqueName="4" name="Column3" queryTableFieldId="3" dataDxfId="0">
      <calculatedColumnFormula>1*(LEFT(VSTOXX_Finanzen[[#This Row],[Column2]],5))</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hyperlink" Target="https://www.eurexchange.com/exchange-de/marktdaten/statistik/online-marktstatistiken/4302!onlineStats?productGroupId=13370&amp;productId=69660&amp;viewType=3&amp;cp=Put&amp;month=6&amp;year=2019&amp;busDate=20190517"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boerse-frankfurt.de/index/VDAX-NEW-12M" TargetMode="External"/><Relationship Id="rId4"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F19"/>
  <sheetViews>
    <sheetView workbookViewId="0">
      <selection activeCell="C5" sqref="C5"/>
    </sheetView>
  </sheetViews>
  <sheetFormatPr baseColWidth="10" defaultColWidth="11.44140625" defaultRowHeight="14.4" x14ac:dyDescent="0.3"/>
  <cols>
    <col min="1" max="2" width="11.44140625" style="74"/>
    <col min="3" max="3" width="11.44140625" style="75"/>
    <col min="4" max="4" width="11.44140625" style="74"/>
    <col min="5" max="5" width="104.44140625" style="74" customWidth="1"/>
    <col min="6" max="16384" width="11.44140625" style="74"/>
  </cols>
  <sheetData>
    <row r="2" spans="1:6" x14ac:dyDescent="0.3">
      <c r="B2" s="74" t="s">
        <v>44</v>
      </c>
      <c r="C2" s="75" t="s">
        <v>45</v>
      </c>
      <c r="D2" s="74" t="s">
        <v>46</v>
      </c>
      <c r="E2" s="74" t="s">
        <v>26</v>
      </c>
    </row>
    <row r="3" spans="1:6" customFormat="1" x14ac:dyDescent="0.3">
      <c r="A3" t="s">
        <v>53</v>
      </c>
      <c r="B3" s="41">
        <v>45151</v>
      </c>
      <c r="C3" s="93" t="s">
        <v>246</v>
      </c>
      <c r="D3" t="s">
        <v>47</v>
      </c>
      <c r="E3" t="s">
        <v>247</v>
      </c>
      <c r="F3" s="41"/>
    </row>
    <row r="4" spans="1:6" x14ac:dyDescent="0.3">
      <c r="B4" s="76">
        <v>44604</v>
      </c>
      <c r="C4" s="75" t="s">
        <v>200</v>
      </c>
      <c r="D4" s="74" t="s">
        <v>47</v>
      </c>
    </row>
    <row r="5" spans="1:6" x14ac:dyDescent="0.3">
      <c r="B5" s="76">
        <v>44342</v>
      </c>
      <c r="C5" s="75" t="s">
        <v>137</v>
      </c>
      <c r="D5" s="74" t="s">
        <v>47</v>
      </c>
      <c r="E5" s="77" t="s">
        <v>138</v>
      </c>
    </row>
    <row r="6" spans="1:6" ht="57.6" x14ac:dyDescent="0.3">
      <c r="B6" s="76">
        <v>44342</v>
      </c>
      <c r="C6" s="75" t="s">
        <v>122</v>
      </c>
      <c r="D6" s="74" t="s">
        <v>47</v>
      </c>
      <c r="E6" s="77" t="s">
        <v>139</v>
      </c>
    </row>
    <row r="7" spans="1:6" x14ac:dyDescent="0.3">
      <c r="B7" s="76">
        <v>44208</v>
      </c>
      <c r="C7" s="75" t="s">
        <v>114</v>
      </c>
      <c r="D7" s="74" t="s">
        <v>47</v>
      </c>
      <c r="E7" s="74" t="s">
        <v>115</v>
      </c>
    </row>
    <row r="8" spans="1:6" x14ac:dyDescent="0.3">
      <c r="B8" s="76">
        <v>43605</v>
      </c>
      <c r="C8" s="75" t="s">
        <v>111</v>
      </c>
      <c r="D8" s="74" t="s">
        <v>47</v>
      </c>
      <c r="E8" s="74" t="s">
        <v>112</v>
      </c>
    </row>
    <row r="9" spans="1:6" x14ac:dyDescent="0.3">
      <c r="B9" s="76">
        <v>43605</v>
      </c>
      <c r="C9" s="75" t="s">
        <v>102</v>
      </c>
      <c r="D9" s="74" t="s">
        <v>47</v>
      </c>
      <c r="E9" s="74" t="s">
        <v>110</v>
      </c>
    </row>
    <row r="10" spans="1:6" x14ac:dyDescent="0.3">
      <c r="B10" s="76">
        <v>43603</v>
      </c>
      <c r="C10" s="75" t="s">
        <v>102</v>
      </c>
      <c r="D10" s="74" t="s">
        <v>47</v>
      </c>
      <c r="E10" s="74" t="s">
        <v>107</v>
      </c>
    </row>
    <row r="11" spans="1:6" x14ac:dyDescent="0.3">
      <c r="B11" s="76">
        <v>43508</v>
      </c>
      <c r="C11" s="78" t="s">
        <v>83</v>
      </c>
      <c r="D11" s="74" t="s">
        <v>47</v>
      </c>
      <c r="E11" s="74" t="s">
        <v>84</v>
      </c>
    </row>
    <row r="12" spans="1:6" x14ac:dyDescent="0.3">
      <c r="B12" s="76">
        <v>43499</v>
      </c>
      <c r="C12" s="75" t="s">
        <v>80</v>
      </c>
      <c r="D12" s="74" t="s">
        <v>47</v>
      </c>
      <c r="E12" s="74" t="s">
        <v>82</v>
      </c>
    </row>
    <row r="13" spans="1:6" x14ac:dyDescent="0.3">
      <c r="B13" s="76">
        <v>43483</v>
      </c>
      <c r="C13" s="75" t="s">
        <v>77</v>
      </c>
      <c r="D13" s="74" t="s">
        <v>47</v>
      </c>
      <c r="E13" s="74" t="s">
        <v>76</v>
      </c>
    </row>
    <row r="14" spans="1:6" x14ac:dyDescent="0.3">
      <c r="B14" s="76">
        <v>43479</v>
      </c>
      <c r="C14" s="75" t="s">
        <v>72</v>
      </c>
      <c r="D14" s="74" t="s">
        <v>47</v>
      </c>
      <c r="E14" s="74" t="s">
        <v>78</v>
      </c>
    </row>
    <row r="15" spans="1:6" x14ac:dyDescent="0.3">
      <c r="B15" s="76">
        <v>43477</v>
      </c>
      <c r="C15" s="75" t="s">
        <v>70</v>
      </c>
      <c r="D15" s="74" t="s">
        <v>47</v>
      </c>
      <c r="E15" s="74" t="s">
        <v>79</v>
      </c>
    </row>
    <row r="16" spans="1:6" x14ac:dyDescent="0.3">
      <c r="B16" s="76">
        <v>43476</v>
      </c>
      <c r="C16" s="75" t="s">
        <v>56</v>
      </c>
      <c r="D16" s="74" t="s">
        <v>47</v>
      </c>
      <c r="E16" s="74" t="s">
        <v>57</v>
      </c>
    </row>
    <row r="17" spans="2:5" x14ac:dyDescent="0.3">
      <c r="B17" s="76">
        <v>43474</v>
      </c>
      <c r="C17" s="78" t="s">
        <v>51</v>
      </c>
      <c r="D17" s="74" t="s">
        <v>47</v>
      </c>
      <c r="E17" s="74" t="s">
        <v>52</v>
      </c>
    </row>
    <row r="18" spans="2:5" x14ac:dyDescent="0.3">
      <c r="B18" s="76">
        <v>43446</v>
      </c>
      <c r="C18" s="75" t="s">
        <v>50</v>
      </c>
      <c r="D18" s="74" t="s">
        <v>47</v>
      </c>
      <c r="E18" s="74" t="s">
        <v>49</v>
      </c>
    </row>
    <row r="19" spans="2:5" x14ac:dyDescent="0.3">
      <c r="B19" s="76">
        <v>43443</v>
      </c>
      <c r="C19" s="75" t="s">
        <v>43</v>
      </c>
      <c r="D19" s="74" t="s">
        <v>47</v>
      </c>
      <c r="E19" s="74" t="s">
        <v>48</v>
      </c>
    </row>
  </sheetData>
  <sortState xmlns:xlrd2="http://schemas.microsoft.com/office/spreadsheetml/2017/richdata2" ref="B5:E7">
    <sortCondition descending="1" ref="C5:C7"/>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dimension ref="A1:AE210"/>
  <sheetViews>
    <sheetView tabSelected="1" zoomScale="60" zoomScaleNormal="60" workbookViewId="0">
      <pane ySplit="9" topLeftCell="A10" activePane="bottomLeft" state="frozen"/>
      <selection pane="bottomLeft" activeCell="G6" sqref="G6"/>
    </sheetView>
  </sheetViews>
  <sheetFormatPr baseColWidth="10" defaultRowHeight="14.4" x14ac:dyDescent="0.3"/>
  <cols>
    <col min="1" max="1" width="14.6640625" customWidth="1"/>
    <col min="2" max="2" width="12.6640625" customWidth="1"/>
    <col min="3" max="3" width="12.5546875" customWidth="1"/>
    <col min="7" max="7" width="11.6640625" customWidth="1"/>
    <col min="13" max="13" width="21.5546875" customWidth="1"/>
    <col min="14" max="14" width="12.6640625" customWidth="1"/>
    <col min="15" max="15" width="12" customWidth="1"/>
    <col min="18" max="18" width="14.33203125" customWidth="1"/>
    <col min="21" max="21" width="16.6640625" customWidth="1"/>
    <col min="23" max="23" width="15" customWidth="1"/>
    <col min="24" max="24" width="14.33203125" customWidth="1"/>
    <col min="25" max="25" width="13.88671875" customWidth="1"/>
    <col min="30" max="30" width="15.33203125" customWidth="1"/>
  </cols>
  <sheetData>
    <row r="1" spans="1:31" ht="60.75" customHeight="1" thickBot="1" x14ac:dyDescent="0.35">
      <c r="A1" s="101" t="s">
        <v>21</v>
      </c>
      <c r="B1" s="101"/>
      <c r="C1" s="101"/>
      <c r="D1" s="101"/>
      <c r="E1" s="101"/>
      <c r="F1" s="101"/>
      <c r="G1" s="102">
        <f>G5</f>
        <v>45222</v>
      </c>
      <c r="H1" s="103"/>
      <c r="R1" s="104" t="s">
        <v>266</v>
      </c>
      <c r="S1" s="104"/>
    </row>
    <row r="2" spans="1:31" s="9" customFormat="1" ht="16.2" thickBot="1" x14ac:dyDescent="0.35">
      <c r="B2" s="9" t="s">
        <v>15</v>
      </c>
      <c r="C2" s="10">
        <v>20231020</v>
      </c>
      <c r="D2" s="9" t="s">
        <v>16</v>
      </c>
      <c r="G2" s="15">
        <f>G3-G5</f>
        <v>25</v>
      </c>
      <c r="H2" s="9" t="s">
        <v>17</v>
      </c>
      <c r="M2" s="44"/>
      <c r="N2" s="50"/>
      <c r="W2" s="9" t="s">
        <v>45</v>
      </c>
      <c r="X2" s="43" t="str">
        <f>Version!C4</f>
        <v>8.15</v>
      </c>
      <c r="AD2" s="9" t="s">
        <v>123</v>
      </c>
      <c r="AE2" s="9">
        <f>MAX(STOXX_HedgeBedarf!C5:C205)</f>
        <v>938.54913849141462</v>
      </c>
    </row>
    <row r="3" spans="1:31" s="9" customFormat="1" ht="16.2" thickBot="1" x14ac:dyDescent="0.35">
      <c r="B3" s="9" t="s">
        <v>4</v>
      </c>
      <c r="C3" s="11">
        <v>4300</v>
      </c>
      <c r="G3" s="16">
        <f>STOXX_Infos!S34</f>
        <v>45247</v>
      </c>
      <c r="H3" s="9" t="s">
        <v>22</v>
      </c>
      <c r="N3" s="12">
        <f>Euribor3M!B2</f>
        <v>3.993E-2</v>
      </c>
      <c r="O3" s="9" t="s">
        <v>18</v>
      </c>
      <c r="AD3" s="9" t="s">
        <v>124</v>
      </c>
      <c r="AE3" s="9">
        <f>MIN(STOXX_HedgeBedarf!C5:C205)</f>
        <v>-911.6627776147817</v>
      </c>
    </row>
    <row r="4" spans="1:31" s="9" customFormat="1" ht="16.2" thickBot="1" x14ac:dyDescent="0.35">
      <c r="B4" s="9" t="s">
        <v>5</v>
      </c>
      <c r="C4" s="11">
        <v>700</v>
      </c>
      <c r="D4" s="9" t="s">
        <v>7</v>
      </c>
      <c r="G4" s="89">
        <f>WORKDAY(G5,1)</f>
        <v>45223</v>
      </c>
      <c r="H4" s="9" t="s">
        <v>178</v>
      </c>
      <c r="N4" s="73">
        <f>O8</f>
        <v>0.223</v>
      </c>
      <c r="O4" s="51" t="s">
        <v>19</v>
      </c>
      <c r="P4" s="51" t="s">
        <v>63</v>
      </c>
      <c r="Q4" s="51"/>
      <c r="R4" s="19" t="str">
        <f>TEXT(G5,"TTTT")</f>
        <v>Montag</v>
      </c>
      <c r="S4" s="9" t="s">
        <v>25</v>
      </c>
      <c r="W4" s="9" t="s">
        <v>100</v>
      </c>
      <c r="X4" s="42">
        <f>Y8*1</f>
        <v>4046.96</v>
      </c>
      <c r="Y4" s="9">
        <v>829.42812703705772</v>
      </c>
      <c r="Z4" s="9">
        <f>0.05*AE4+Y4</f>
        <v>921.9387228423675</v>
      </c>
      <c r="AD4" s="9" t="s">
        <v>5</v>
      </c>
      <c r="AE4" s="9">
        <f>ABS(AE2)+ABS(AE3)</f>
        <v>1850.2119161061964</v>
      </c>
    </row>
    <row r="5" spans="1:31" s="9" customFormat="1" ht="16.2" thickBot="1" x14ac:dyDescent="0.35">
      <c r="B5" s="9" t="s">
        <v>6</v>
      </c>
      <c r="C5" s="10">
        <v>25</v>
      </c>
      <c r="D5" s="9" t="s">
        <v>7</v>
      </c>
      <c r="G5" s="17">
        <v>45222</v>
      </c>
      <c r="H5" s="9" t="s">
        <v>23</v>
      </c>
      <c r="N5" s="19">
        <v>20231019</v>
      </c>
      <c r="O5" s="9" t="s">
        <v>24</v>
      </c>
      <c r="R5" s="15">
        <f>R6-G5</f>
        <v>53</v>
      </c>
      <c r="S5" s="9" t="s">
        <v>34</v>
      </c>
      <c r="X5" s="9">
        <f>ROUND((C3+(0.5*C4)-X4)/10,0)</f>
        <v>60</v>
      </c>
      <c r="Y5" s="9">
        <v>1785.1238079040659</v>
      </c>
      <c r="Z5" s="9">
        <f>Y5*1.1</f>
        <v>1963.6361886944726</v>
      </c>
    </row>
    <row r="6" spans="1:31" s="9" customFormat="1" ht="16.2" thickBot="1" x14ac:dyDescent="0.35">
      <c r="A6" s="9" t="s">
        <v>105</v>
      </c>
      <c r="B6" s="9" t="s">
        <v>106</v>
      </c>
      <c r="C6" s="10">
        <v>1</v>
      </c>
      <c r="G6" s="40"/>
      <c r="N6" s="9">
        <v>365</v>
      </c>
      <c r="O6" s="9" t="s">
        <v>39</v>
      </c>
      <c r="R6" s="16">
        <f>STOXX_Infos!S36</f>
        <v>45275</v>
      </c>
      <c r="S6" s="9" t="s">
        <v>35</v>
      </c>
      <c r="X6" s="9" t="s">
        <v>59</v>
      </c>
      <c r="Y6" s="9" t="s">
        <v>60</v>
      </c>
      <c r="Z6" s="9" t="s">
        <v>61</v>
      </c>
      <c r="AA6" s="9" t="s">
        <v>62</v>
      </c>
    </row>
    <row r="7" spans="1:31" s="9" customFormat="1" ht="26.25" customHeight="1" x14ac:dyDescent="0.3">
      <c r="B7" s="9" t="s">
        <v>2</v>
      </c>
      <c r="N7" s="50"/>
      <c r="X7" s="9" t="str">
        <f>SUBSTITUTE(X8,".",",")</f>
        <v>4268,28</v>
      </c>
      <c r="Y7" s="45"/>
    </row>
    <row r="8" spans="1:31" s="9" customFormat="1" ht="15.6" x14ac:dyDescent="0.3">
      <c r="C8" s="13"/>
      <c r="D8" s="13" t="str">
        <f>STOXX_Infos!B31</f>
        <v>2023-11</v>
      </c>
      <c r="E8" s="13" t="str">
        <f>STOXX_Infos!B32</f>
        <v>2023-12</v>
      </c>
      <c r="F8" s="13" t="str">
        <f>STOXX_Infos!O38&amp;"-"&amp;STOXX_Infos!P38</f>
        <v>2023-11</v>
      </c>
      <c r="G8" s="13" t="str">
        <f>STOXX_Infos!O40&amp;"-"&amp;STOXX_Infos!P40</f>
        <v>2023-11</v>
      </c>
      <c r="H8" s="13" t="str">
        <f>STOXX_Infos!O42&amp;"-"&amp;STOXX_Infos!P42</f>
        <v>2023-11</v>
      </c>
      <c r="I8" s="13" t="str">
        <f>STOXX_Infos!O44&amp;"-"&amp;STOXX_Infos!P44</f>
        <v>-</v>
      </c>
      <c r="N8" s="50" t="s">
        <v>209</v>
      </c>
      <c r="O8" s="91">
        <f>VSTOXX_Finanzen!C2/100</f>
        <v>0.223</v>
      </c>
      <c r="V8" s="9" t="s">
        <v>199</v>
      </c>
      <c r="X8" s="9" t="str">
        <f>SUBSTITUTE(X9,",","")</f>
        <v>4268.28</v>
      </c>
      <c r="Y8" s="53">
        <f>STOXX_CITI!B2</f>
        <v>4046.96</v>
      </c>
    </row>
    <row r="9" spans="1:31" s="9" customFormat="1" ht="16.2" thickBot="1" x14ac:dyDescent="0.35">
      <c r="A9" s="9" t="s">
        <v>1</v>
      </c>
      <c r="C9" s="13" t="s">
        <v>20</v>
      </c>
      <c r="D9" s="13" t="s">
        <v>3</v>
      </c>
      <c r="E9" s="14" t="s">
        <v>8</v>
      </c>
      <c r="F9" s="14" t="s">
        <v>9</v>
      </c>
      <c r="G9" s="13" t="s">
        <v>10</v>
      </c>
      <c r="H9" s="13" t="s">
        <v>11</v>
      </c>
      <c r="I9" s="13" t="s">
        <v>37</v>
      </c>
      <c r="N9" s="66"/>
      <c r="U9" s="9" t="s">
        <v>36</v>
      </c>
      <c r="V9" s="9" t="s">
        <v>64</v>
      </c>
      <c r="W9" s="9" t="s">
        <v>99</v>
      </c>
      <c r="X9" s="9" t="str">
        <f>LEFT(Stoxx50!B6,8)</f>
        <v>4,268.28</v>
      </c>
      <c r="Y9" s="9">
        <f>Stoxx50!F6</f>
        <v>0</v>
      </c>
      <c r="Z9" s="68"/>
    </row>
    <row r="10" spans="1:31" x14ac:dyDescent="0.3">
      <c r="A10" s="1">
        <v>4650</v>
      </c>
      <c r="B10" s="1"/>
      <c r="C10" s="6">
        <v>-26958</v>
      </c>
      <c r="D10" s="1">
        <v>-24131</v>
      </c>
      <c r="E10" s="1">
        <v>-2827</v>
      </c>
      <c r="F10" s="1"/>
      <c r="G10" s="1"/>
      <c r="H10" s="1"/>
      <c r="I10" s="1"/>
      <c r="J10" s="1"/>
      <c r="K10" s="1"/>
      <c r="L10" s="1"/>
      <c r="M10" s="1"/>
      <c r="N10" s="1"/>
      <c r="O10" s="1"/>
      <c r="P10" s="1"/>
      <c r="Q10" s="1"/>
      <c r="R10" s="1"/>
      <c r="S10" s="1"/>
      <c r="U10">
        <f>STOXX_HedgeBedarf!C5+'STOXX_HedgeBedarf+01'!C5</f>
        <v>-379.52857107527666</v>
      </c>
    </row>
    <row r="11" spans="1:31" x14ac:dyDescent="0.3">
      <c r="A11" s="1">
        <v>4625</v>
      </c>
      <c r="B11" s="1"/>
      <c r="C11" s="7">
        <v>-6049</v>
      </c>
      <c r="D11" s="1">
        <v>-4382</v>
      </c>
      <c r="E11" s="1">
        <v>-1667</v>
      </c>
      <c r="F11" s="1"/>
      <c r="G11" s="1"/>
      <c r="H11" s="1"/>
      <c r="I11" s="1"/>
      <c r="J11" s="1"/>
      <c r="K11" s="1"/>
      <c r="L11" s="1"/>
      <c r="M11" s="1"/>
      <c r="N11" s="1"/>
      <c r="O11" s="1"/>
      <c r="P11" s="1"/>
      <c r="Q11" s="1"/>
      <c r="R11" s="1"/>
      <c r="S11" s="1"/>
      <c r="U11">
        <f>STOXX_HedgeBedarf!C6+'STOXX_HedgeBedarf+01'!C6</f>
        <v>-453.64480962274115</v>
      </c>
    </row>
    <row r="12" spans="1:31" x14ac:dyDescent="0.3">
      <c r="A12" s="1">
        <v>4600</v>
      </c>
      <c r="B12" s="1"/>
      <c r="C12" s="7">
        <v>-81528</v>
      </c>
      <c r="D12" s="1">
        <v>-58512</v>
      </c>
      <c r="E12" s="1">
        <v>-23016</v>
      </c>
      <c r="F12" s="1"/>
      <c r="G12" s="1"/>
      <c r="H12" s="1"/>
      <c r="I12" s="1"/>
      <c r="J12" s="1"/>
      <c r="K12" s="1"/>
      <c r="L12" s="1"/>
      <c r="M12" s="1"/>
      <c r="N12" s="1"/>
      <c r="O12" s="1"/>
      <c r="P12" s="1"/>
      <c r="Q12" s="1"/>
      <c r="R12" s="1"/>
      <c r="S12" s="1"/>
      <c r="U12">
        <f>STOXX_HedgeBedarf!C7+'STOXX_HedgeBedarf+01'!C7</f>
        <v>-529.50244628480516</v>
      </c>
    </row>
    <row r="13" spans="1:31" x14ac:dyDescent="0.3">
      <c r="A13" s="1">
        <v>4575</v>
      </c>
      <c r="B13" s="1"/>
      <c r="C13" s="7">
        <v>-20468</v>
      </c>
      <c r="D13" s="1">
        <v>-17133</v>
      </c>
      <c r="E13" s="1">
        <v>-3335</v>
      </c>
      <c r="F13" s="1"/>
      <c r="G13" s="1"/>
      <c r="H13" s="1"/>
      <c r="I13" s="1"/>
      <c r="J13" s="1"/>
      <c r="K13" s="1"/>
      <c r="L13" s="1"/>
      <c r="M13" s="1"/>
      <c r="N13" s="1"/>
      <c r="O13" s="1"/>
      <c r="P13" s="1"/>
      <c r="Q13" s="1"/>
      <c r="R13" s="1"/>
      <c r="S13" s="1"/>
      <c r="U13">
        <f>STOXX_HedgeBedarf!C8+'STOXX_HedgeBedarf+01'!C8</f>
        <v>-604.24380903941289</v>
      </c>
    </row>
    <row r="14" spans="1:31" x14ac:dyDescent="0.3">
      <c r="A14" s="1">
        <v>4550</v>
      </c>
      <c r="B14" s="1"/>
      <c r="C14" s="7">
        <v>-42992</v>
      </c>
      <c r="D14" s="1">
        <v>-33666</v>
      </c>
      <c r="E14" s="1">
        <v>-9326</v>
      </c>
      <c r="F14" s="1"/>
      <c r="G14" s="1"/>
      <c r="H14" s="1"/>
      <c r="I14" s="1"/>
      <c r="J14" s="2"/>
      <c r="K14" s="1"/>
      <c r="L14" s="1"/>
      <c r="M14" s="1"/>
      <c r="N14" s="1"/>
      <c r="O14" s="1"/>
      <c r="P14" s="1"/>
      <c r="Q14" s="1"/>
      <c r="R14" s="1"/>
      <c r="S14" s="1"/>
      <c r="U14">
        <f>STOXX_HedgeBedarf!C9+'STOXX_HedgeBedarf+01'!C9</f>
        <v>-675.2752772304184</v>
      </c>
    </row>
    <row r="15" spans="1:31" x14ac:dyDescent="0.3">
      <c r="A15" s="1">
        <v>4525</v>
      </c>
      <c r="B15" s="1"/>
      <c r="C15" s="7">
        <v>-46452</v>
      </c>
      <c r="D15" s="1">
        <v>-41277</v>
      </c>
      <c r="E15" s="1">
        <v>-5175</v>
      </c>
      <c r="F15" s="1"/>
      <c r="G15" s="1"/>
      <c r="H15" s="1"/>
      <c r="I15" s="1"/>
      <c r="J15" s="2"/>
      <c r="K15" s="1"/>
      <c r="L15" s="1"/>
      <c r="M15" s="1"/>
      <c r="N15" s="1"/>
      <c r="O15" s="1"/>
      <c r="P15" s="1"/>
      <c r="Q15" s="1"/>
      <c r="R15" s="1"/>
      <c r="S15" s="1"/>
      <c r="U15">
        <f>STOXX_HedgeBedarf!C10+'STOXX_HedgeBedarf+01'!C10</f>
        <v>-741.06321040197724</v>
      </c>
    </row>
    <row r="16" spans="1:31" x14ac:dyDescent="0.3">
      <c r="A16" s="1">
        <v>4500</v>
      </c>
      <c r="B16" s="1"/>
      <c r="C16" s="7">
        <v>-129655</v>
      </c>
      <c r="D16" s="1">
        <v>-72502</v>
      </c>
      <c r="E16" s="1">
        <v>-57153</v>
      </c>
      <c r="F16" s="1"/>
      <c r="G16" s="1"/>
      <c r="H16" s="1"/>
      <c r="I16" s="1"/>
      <c r="J16" s="2"/>
      <c r="K16" s="1"/>
      <c r="L16" s="1"/>
      <c r="M16" s="1"/>
      <c r="N16" s="1"/>
      <c r="O16" s="1"/>
      <c r="P16" s="1"/>
      <c r="Q16" s="1"/>
      <c r="R16" s="1"/>
      <c r="S16" s="1"/>
      <c r="U16">
        <f>STOXX_HedgeBedarf!C11+'STOXX_HedgeBedarf+01'!C11</f>
        <v>-801.84097774844497</v>
      </c>
    </row>
    <row r="17" spans="1:21" x14ac:dyDescent="0.3">
      <c r="A17" s="1">
        <v>4475</v>
      </c>
      <c r="B17" s="1"/>
      <c r="C17" s="7">
        <v>-39566</v>
      </c>
      <c r="D17" s="1">
        <v>-19983</v>
      </c>
      <c r="E17" s="1">
        <v>-19583</v>
      </c>
      <c r="F17" s="1"/>
      <c r="G17" s="1"/>
      <c r="H17" s="1"/>
      <c r="I17" s="1"/>
      <c r="J17" s="2"/>
      <c r="K17" s="1"/>
      <c r="L17" s="1"/>
      <c r="M17" s="1"/>
      <c r="N17" s="1"/>
      <c r="O17" s="1"/>
      <c r="P17" s="1"/>
      <c r="Q17" s="1"/>
      <c r="R17" s="1"/>
      <c r="S17" s="1"/>
      <c r="U17">
        <f>STOXX_HedgeBedarf!C12+'STOXX_HedgeBedarf+01'!C12</f>
        <v>-859.7899105899254</v>
      </c>
    </row>
    <row r="18" spans="1:21" x14ac:dyDescent="0.3">
      <c r="A18" s="1">
        <v>4450</v>
      </c>
      <c r="B18" s="1"/>
      <c r="C18" s="7">
        <v>-75256</v>
      </c>
      <c r="D18" s="1">
        <v>-60591</v>
      </c>
      <c r="E18" s="1">
        <v>-14665</v>
      </c>
      <c r="F18" s="1"/>
      <c r="G18" s="1"/>
      <c r="H18" s="1"/>
      <c r="I18" s="1"/>
      <c r="J18" s="2"/>
      <c r="K18" s="1"/>
      <c r="L18" s="1"/>
      <c r="M18" s="1"/>
      <c r="N18" s="1"/>
      <c r="O18" s="1"/>
      <c r="P18" s="1"/>
      <c r="Q18" s="1"/>
      <c r="R18" s="1"/>
      <c r="S18" s="1"/>
      <c r="U18">
        <f>STOXX_HedgeBedarf!C13+'STOXX_HedgeBedarf+01'!C13</f>
        <v>-918.41874785581115</v>
      </c>
    </row>
    <row r="19" spans="1:21" x14ac:dyDescent="0.3">
      <c r="A19" s="1">
        <v>4425</v>
      </c>
      <c r="B19" s="1"/>
      <c r="C19" s="7">
        <v>-64016</v>
      </c>
      <c r="D19" s="1">
        <v>-33022</v>
      </c>
      <c r="E19" s="1">
        <v>-30994</v>
      </c>
      <c r="F19" s="1"/>
      <c r="G19" s="1"/>
      <c r="H19" s="1"/>
      <c r="I19" s="1"/>
      <c r="J19" s="2"/>
      <c r="K19" s="1"/>
      <c r="L19" s="1"/>
      <c r="M19" s="1"/>
      <c r="N19" s="1"/>
      <c r="O19" s="1"/>
      <c r="P19" s="1"/>
      <c r="Q19" s="1"/>
      <c r="R19" s="1"/>
      <c r="S19" s="1"/>
      <c r="U19">
        <f>STOXX_HedgeBedarf!C14+'STOXX_HedgeBedarf+01'!C14</f>
        <v>-981.25483743513519</v>
      </c>
    </row>
    <row r="20" spans="1:21" x14ac:dyDescent="0.3">
      <c r="A20" s="1">
        <v>4400</v>
      </c>
      <c r="B20" s="1"/>
      <c r="C20" s="7">
        <v>-115028</v>
      </c>
      <c r="D20" s="1">
        <v>-47648</v>
      </c>
      <c r="E20" s="1">
        <v>-67380</v>
      </c>
      <c r="F20" s="1"/>
      <c r="G20" s="1"/>
      <c r="H20" s="1"/>
      <c r="I20" s="1"/>
      <c r="J20" s="2"/>
      <c r="K20" s="1"/>
      <c r="L20" s="1"/>
      <c r="M20" s="1"/>
      <c r="N20" s="1"/>
      <c r="O20" s="1"/>
      <c r="P20" s="1"/>
      <c r="Q20" s="1"/>
      <c r="R20" s="1"/>
      <c r="S20" s="1"/>
      <c r="U20">
        <f>STOXX_HedgeBedarf!C15+'STOXX_HedgeBedarf+01'!C15</f>
        <v>-1050.358062422569</v>
      </c>
    </row>
    <row r="21" spans="1:21" x14ac:dyDescent="0.3">
      <c r="A21" s="1">
        <v>4375</v>
      </c>
      <c r="B21" s="1"/>
      <c r="C21" s="7">
        <v>-182157</v>
      </c>
      <c r="D21" s="1">
        <v>-29622</v>
      </c>
      <c r="E21" s="1">
        <v>-152535</v>
      </c>
      <c r="F21" s="1"/>
      <c r="G21" s="1"/>
      <c r="H21" s="1"/>
      <c r="I21" s="1"/>
      <c r="J21" s="2"/>
      <c r="K21" s="1"/>
      <c r="L21" s="1"/>
      <c r="M21" s="1"/>
      <c r="N21" s="1"/>
      <c r="O21" s="1"/>
      <c r="P21" s="1"/>
      <c r="Q21" s="1"/>
      <c r="R21" s="1"/>
      <c r="S21" s="1"/>
      <c r="U21">
        <f>STOXX_HedgeBedarf!C16+'STOXX_HedgeBedarf+01'!C16</f>
        <v>-1125.3318071935519</v>
      </c>
    </row>
    <row r="22" spans="1:21" x14ac:dyDescent="0.3">
      <c r="A22" s="1">
        <v>4350</v>
      </c>
      <c r="B22" s="1"/>
      <c r="C22" s="7">
        <v>-185572</v>
      </c>
      <c r="D22" s="1">
        <v>-42906</v>
      </c>
      <c r="E22" s="1">
        <v>-142666</v>
      </c>
      <c r="F22" s="1"/>
      <c r="G22" s="1"/>
      <c r="H22" s="1"/>
      <c r="I22" s="1"/>
      <c r="J22" s="2"/>
      <c r="K22" s="1"/>
      <c r="L22" s="1"/>
      <c r="M22" s="1"/>
      <c r="N22" s="1"/>
      <c r="O22" s="1"/>
      <c r="P22" s="1"/>
      <c r="Q22" s="1"/>
      <c r="R22" s="1"/>
      <c r="S22" s="1"/>
      <c r="U22">
        <f>STOXX_HedgeBedarf!C17+'STOXX_HedgeBedarf+01'!C17</f>
        <v>-1203.3247491972356</v>
      </c>
    </row>
    <row r="23" spans="1:21" x14ac:dyDescent="0.3">
      <c r="A23" s="1">
        <v>4325</v>
      </c>
      <c r="B23" s="1"/>
      <c r="C23" s="7">
        <v>-22662</v>
      </c>
      <c r="D23" s="1">
        <v>-16906</v>
      </c>
      <c r="E23" s="1">
        <v>-5756</v>
      </c>
      <c r="F23" s="1"/>
      <c r="G23" s="1"/>
      <c r="H23" s="1"/>
      <c r="I23" s="1"/>
      <c r="J23" s="2"/>
      <c r="K23" s="1"/>
      <c r="L23" s="1"/>
      <c r="M23" s="1"/>
      <c r="N23" s="1"/>
      <c r="O23" s="1"/>
      <c r="P23" s="1"/>
      <c r="Q23" s="1"/>
      <c r="R23" s="1"/>
      <c r="S23" s="1"/>
      <c r="U23">
        <f>STOXX_HedgeBedarf!C18+'STOXX_HedgeBedarf+01'!C18</f>
        <v>-1280.0745786640437</v>
      </c>
    </row>
    <row r="24" spans="1:21" x14ac:dyDescent="0.3">
      <c r="A24" s="1">
        <v>4300</v>
      </c>
      <c r="B24" s="1"/>
      <c r="C24" s="7">
        <v>-103010</v>
      </c>
      <c r="D24" s="1">
        <v>-18740</v>
      </c>
      <c r="E24" s="1">
        <v>-84270</v>
      </c>
      <c r="F24" s="1"/>
      <c r="G24" s="1"/>
      <c r="H24" s="1"/>
      <c r="I24" s="1"/>
      <c r="J24" s="2"/>
      <c r="K24" s="1"/>
      <c r="L24" s="1"/>
      <c r="M24" s="1"/>
      <c r="N24" s="1"/>
      <c r="O24" s="1"/>
      <c r="P24" s="1"/>
      <c r="Q24" s="1"/>
      <c r="R24" s="1"/>
      <c r="S24" s="1"/>
      <c r="U24">
        <f>STOXX_HedgeBedarf!C19+'STOXX_HedgeBedarf+01'!C19</f>
        <v>-1351.5548526867208</v>
      </c>
    </row>
    <row r="25" spans="1:21" x14ac:dyDescent="0.3">
      <c r="A25" s="1">
        <v>4275</v>
      </c>
      <c r="B25" s="1"/>
      <c r="C25" s="7">
        <v>-26707</v>
      </c>
      <c r="D25" s="1">
        <v>-15097</v>
      </c>
      <c r="E25" s="1">
        <v>-11610</v>
      </c>
      <c r="F25" s="1"/>
      <c r="G25" s="1"/>
      <c r="H25" s="1"/>
      <c r="I25" s="1"/>
      <c r="J25" s="2"/>
      <c r="K25" s="1"/>
      <c r="L25" s="1"/>
      <c r="M25" s="1"/>
      <c r="N25" s="1"/>
      <c r="O25" s="1"/>
      <c r="P25" s="1"/>
      <c r="Q25" s="1"/>
      <c r="R25" s="1"/>
      <c r="S25" s="1"/>
      <c r="U25">
        <f>STOXX_HedgeBedarf!C20+'STOXX_HedgeBedarf+01'!C20</f>
        <v>-1415.4883815918738</v>
      </c>
    </row>
    <row r="26" spans="1:21" x14ac:dyDescent="0.3">
      <c r="A26" s="1">
        <v>4250</v>
      </c>
      <c r="B26" s="1"/>
      <c r="C26" s="7">
        <v>-4129</v>
      </c>
      <c r="D26" s="1">
        <v>-11270</v>
      </c>
      <c r="E26" s="1">
        <v>7141</v>
      </c>
      <c r="F26" s="1"/>
      <c r="G26" s="1"/>
      <c r="H26" s="1"/>
      <c r="I26" s="1"/>
      <c r="J26" s="2"/>
      <c r="K26" s="1"/>
      <c r="L26" s="1"/>
      <c r="M26" s="1"/>
      <c r="N26" s="1"/>
      <c r="O26" s="1"/>
      <c r="P26" s="1"/>
      <c r="Q26" s="1"/>
      <c r="R26" s="1"/>
      <c r="S26" s="1"/>
      <c r="U26">
        <f>STOXX_HedgeBedarf!C21+'STOXX_HedgeBedarf+01'!C21</f>
        <v>-1472.0437343465642</v>
      </c>
    </row>
    <row r="27" spans="1:21" x14ac:dyDescent="0.3">
      <c r="A27" s="1">
        <v>4225</v>
      </c>
      <c r="B27" s="1"/>
      <c r="C27" s="7">
        <v>107</v>
      </c>
      <c r="D27" s="1">
        <v>-4705</v>
      </c>
      <c r="E27" s="1">
        <v>4812</v>
      </c>
      <c r="F27" s="1"/>
      <c r="G27" s="1"/>
      <c r="H27" s="1"/>
      <c r="I27" s="1"/>
      <c r="J27" s="2"/>
      <c r="K27" s="1"/>
      <c r="L27" s="1"/>
      <c r="M27" s="1"/>
      <c r="N27" s="1"/>
      <c r="O27" s="1"/>
      <c r="P27" s="1"/>
      <c r="Q27" s="1"/>
      <c r="R27" s="1"/>
      <c r="S27" s="1"/>
      <c r="U27">
        <f>STOXX_HedgeBedarf!C22+'STOXX_HedgeBedarf+01'!C22</f>
        <v>-1523.4319049446049</v>
      </c>
    </row>
    <row r="28" spans="1:21" x14ac:dyDescent="0.3">
      <c r="A28" s="1">
        <v>4200</v>
      </c>
      <c r="B28" s="1"/>
      <c r="C28" s="7">
        <v>8605</v>
      </c>
      <c r="D28" s="1">
        <v>18991</v>
      </c>
      <c r="E28" s="1">
        <v>-10386</v>
      </c>
      <c r="F28" s="1"/>
      <c r="G28" s="1"/>
      <c r="H28" s="1"/>
      <c r="I28" s="1"/>
      <c r="J28" s="2"/>
      <c r="K28" s="1"/>
      <c r="L28" s="1"/>
      <c r="M28" s="1"/>
      <c r="N28" s="1"/>
      <c r="O28" s="1"/>
      <c r="P28" s="1"/>
      <c r="Q28" s="1"/>
      <c r="R28" s="1"/>
      <c r="S28" s="1"/>
      <c r="U28">
        <f>STOXX_HedgeBedarf!C23+'STOXX_HedgeBedarf+01'!C23</f>
        <v>-1572.6719035839528</v>
      </c>
    </row>
    <row r="29" spans="1:21" x14ac:dyDescent="0.3">
      <c r="A29" s="1">
        <v>4175</v>
      </c>
      <c r="B29" s="1"/>
      <c r="C29" s="7">
        <v>4046</v>
      </c>
      <c r="D29" s="1">
        <v>3834</v>
      </c>
      <c r="E29" s="1">
        <v>212</v>
      </c>
      <c r="F29" s="1"/>
      <c r="G29" s="1"/>
      <c r="H29" s="1"/>
      <c r="I29" s="1"/>
      <c r="J29" s="2"/>
      <c r="K29" s="1"/>
      <c r="L29" s="1"/>
      <c r="M29" s="1"/>
      <c r="N29" s="1"/>
      <c r="O29" s="1"/>
      <c r="P29" s="1"/>
      <c r="Q29" s="1"/>
      <c r="R29" s="1"/>
      <c r="S29" s="1"/>
      <c r="U29">
        <f>STOXX_HedgeBedarf!C24+'STOXX_HedgeBedarf+01'!C24</f>
        <v>-1622.1876680074688</v>
      </c>
    </row>
    <row r="30" spans="1:21" x14ac:dyDescent="0.3">
      <c r="A30" s="1">
        <v>4150</v>
      </c>
      <c r="B30" s="1"/>
      <c r="C30" s="7">
        <v>37433</v>
      </c>
      <c r="D30" s="1">
        <v>3161</v>
      </c>
      <c r="E30" s="1">
        <v>34272</v>
      </c>
      <c r="F30" s="1"/>
      <c r="G30" s="1"/>
      <c r="H30" s="1"/>
      <c r="I30" s="1"/>
      <c r="J30" s="2"/>
      <c r="K30" s="1"/>
      <c r="L30" s="1"/>
      <c r="M30" s="1"/>
      <c r="N30" s="1"/>
      <c r="O30" s="1"/>
      <c r="P30" s="1"/>
      <c r="Q30" s="1"/>
      <c r="R30" s="1"/>
      <c r="S30" s="1"/>
      <c r="U30">
        <f>STOXX_HedgeBedarf!C25+'STOXX_HedgeBedarf+01'!C25</f>
        <v>-1672.900459997586</v>
      </c>
    </row>
    <row r="31" spans="1:21" x14ac:dyDescent="0.3">
      <c r="A31" s="1">
        <v>4125</v>
      </c>
      <c r="B31" s="1"/>
      <c r="C31" s="7">
        <v>29636</v>
      </c>
      <c r="D31" s="1">
        <v>22686</v>
      </c>
      <c r="E31" s="1">
        <v>6950</v>
      </c>
      <c r="F31" s="1"/>
      <c r="G31" s="1"/>
      <c r="H31" s="1"/>
      <c r="I31" s="1"/>
      <c r="J31" s="2"/>
      <c r="K31" s="1"/>
      <c r="L31" s="1"/>
      <c r="M31" s="1"/>
      <c r="N31" s="1"/>
      <c r="O31" s="1"/>
      <c r="P31" s="1"/>
      <c r="Q31" s="1"/>
      <c r="R31" s="1"/>
      <c r="S31" s="1"/>
      <c r="U31">
        <f>STOXX_HedgeBedarf!C26+'STOXX_HedgeBedarf+01'!C26</f>
        <v>-1724.1094805288451</v>
      </c>
    </row>
    <row r="32" spans="1:21" x14ac:dyDescent="0.3">
      <c r="A32" s="1">
        <v>4100</v>
      </c>
      <c r="B32" s="1"/>
      <c r="C32" s="7">
        <v>212511</v>
      </c>
      <c r="D32" s="1">
        <v>79063</v>
      </c>
      <c r="E32" s="1">
        <v>133448</v>
      </c>
      <c r="F32" s="1"/>
      <c r="G32" s="1"/>
      <c r="H32" s="1"/>
      <c r="I32" s="1"/>
      <c r="J32" s="2"/>
      <c r="K32" s="1"/>
      <c r="L32" s="1"/>
      <c r="M32" s="1"/>
      <c r="N32" s="1"/>
      <c r="O32" s="1"/>
      <c r="P32" s="1"/>
      <c r="Q32" s="1"/>
      <c r="R32" s="1"/>
      <c r="S32" s="1"/>
      <c r="U32">
        <f>STOXX_HedgeBedarf!C27+'STOXX_HedgeBedarf+01'!C27</f>
        <v>-1773.9788225220286</v>
      </c>
    </row>
    <row r="33" spans="1:21" x14ac:dyDescent="0.3">
      <c r="A33" s="1">
        <v>4075</v>
      </c>
      <c r="B33" s="1"/>
      <c r="C33" s="7">
        <v>48521</v>
      </c>
      <c r="D33" s="1">
        <v>19547</v>
      </c>
      <c r="E33" s="1">
        <v>28974</v>
      </c>
      <c r="F33" s="1"/>
      <c r="G33" s="1"/>
      <c r="H33" s="1"/>
      <c r="I33" s="1"/>
      <c r="J33" s="2"/>
      <c r="K33" s="1"/>
      <c r="L33" s="1"/>
      <c r="M33" s="1"/>
      <c r="N33" s="1"/>
      <c r="O33" s="1"/>
      <c r="P33" s="1"/>
      <c r="Q33" s="1"/>
      <c r="R33" s="1"/>
      <c r="S33" s="1"/>
      <c r="U33">
        <f>STOXX_HedgeBedarf!C28+'STOXX_HedgeBedarf+01'!C28</f>
        <v>-1820.1853312082058</v>
      </c>
    </row>
    <row r="34" spans="1:21" x14ac:dyDescent="0.3">
      <c r="A34" s="1">
        <v>4050</v>
      </c>
      <c r="B34" s="1"/>
      <c r="C34" s="7">
        <v>98053</v>
      </c>
      <c r="D34" s="1">
        <v>50970</v>
      </c>
      <c r="E34" s="1">
        <v>47083</v>
      </c>
      <c r="F34" s="1"/>
      <c r="G34" s="1"/>
      <c r="H34" s="1"/>
      <c r="I34" s="1"/>
      <c r="J34" s="2"/>
      <c r="K34" s="1"/>
      <c r="L34" s="1"/>
      <c r="M34" s="1"/>
      <c r="N34" s="1"/>
      <c r="O34" s="1"/>
      <c r="P34" s="1"/>
      <c r="Q34" s="1"/>
      <c r="R34" s="1"/>
      <c r="S34" s="1"/>
      <c r="U34">
        <f>STOXX_HedgeBedarf!C29+'STOXX_HedgeBedarf+01'!C29</f>
        <v>-1860.3495637452706</v>
      </c>
    </row>
    <row r="35" spans="1:21" x14ac:dyDescent="0.3">
      <c r="A35" s="1">
        <v>4025</v>
      </c>
      <c r="B35" s="1"/>
      <c r="C35" s="7">
        <v>31992</v>
      </c>
      <c r="D35" s="1">
        <v>21011</v>
      </c>
      <c r="E35" s="1">
        <v>10981</v>
      </c>
      <c r="F35" s="1"/>
      <c r="G35" s="1"/>
      <c r="H35" s="1"/>
      <c r="I35" s="1"/>
      <c r="J35" s="2"/>
      <c r="K35" s="1"/>
      <c r="L35" s="1"/>
      <c r="M35" s="1"/>
      <c r="N35" s="1"/>
      <c r="O35" s="1"/>
      <c r="P35" s="1"/>
      <c r="Q35" s="1"/>
      <c r="R35" s="1"/>
      <c r="S35" s="1"/>
      <c r="U35">
        <f>STOXX_HedgeBedarf!C30+'STOXX_HedgeBedarf+01'!C30</f>
        <v>-1892.1408172156052</v>
      </c>
    </row>
    <row r="36" spans="1:21" x14ac:dyDescent="0.3">
      <c r="A36" s="1">
        <v>4000</v>
      </c>
      <c r="B36" s="1"/>
      <c r="C36" s="7">
        <v>224558</v>
      </c>
      <c r="D36" s="1">
        <v>82289</v>
      </c>
      <c r="E36" s="1">
        <v>142269</v>
      </c>
      <c r="F36" s="1"/>
      <c r="G36" s="1"/>
      <c r="H36" s="1"/>
      <c r="I36" s="1"/>
      <c r="J36" s="2"/>
      <c r="K36" s="1"/>
      <c r="L36" s="1"/>
      <c r="M36" s="1"/>
      <c r="N36" s="1"/>
      <c r="O36" s="1"/>
      <c r="P36" s="1"/>
      <c r="Q36" s="1"/>
      <c r="R36" s="1"/>
      <c r="S36" s="1"/>
      <c r="U36">
        <f>STOXX_HedgeBedarf!C31+'STOXX_HedgeBedarf+01'!C31</f>
        <v>-1913.1917956920374</v>
      </c>
    </row>
    <row r="37" spans="1:21" x14ac:dyDescent="0.3">
      <c r="A37" s="1">
        <v>3975</v>
      </c>
      <c r="B37" s="1"/>
      <c r="C37" s="7">
        <v>48853</v>
      </c>
      <c r="D37" s="1">
        <v>28533</v>
      </c>
      <c r="E37" s="1">
        <v>20320</v>
      </c>
      <c r="F37" s="1"/>
      <c r="G37" s="1"/>
      <c r="H37" s="1"/>
      <c r="I37" s="1"/>
      <c r="J37" s="2"/>
      <c r="K37" s="1"/>
      <c r="L37" s="1"/>
      <c r="M37" s="1"/>
      <c r="N37" s="1"/>
      <c r="O37" s="1"/>
      <c r="P37" s="1"/>
      <c r="Q37" s="1"/>
      <c r="R37" s="1"/>
      <c r="S37" s="1"/>
      <c r="U37">
        <f>STOXX_HedgeBedarf!C32+'STOXX_HedgeBedarf+01'!C32</f>
        <v>-1921.0470084015717</v>
      </c>
    </row>
    <row r="38" spans="1:21" x14ac:dyDescent="0.3">
      <c r="A38" s="1">
        <v>3950</v>
      </c>
      <c r="B38" s="1"/>
      <c r="C38" s="7">
        <v>114660</v>
      </c>
      <c r="D38" s="1">
        <v>54186</v>
      </c>
      <c r="E38" s="1">
        <v>60474</v>
      </c>
      <c r="F38" s="1"/>
      <c r="G38" s="1"/>
      <c r="H38" s="1"/>
      <c r="I38" s="1"/>
      <c r="J38" s="2"/>
      <c r="K38" s="1"/>
      <c r="L38" s="1"/>
      <c r="M38" s="1"/>
      <c r="N38" s="1"/>
      <c r="O38" s="1"/>
      <c r="P38" s="1"/>
      <c r="Q38" s="1"/>
      <c r="R38" s="1"/>
      <c r="S38" s="1"/>
      <c r="U38">
        <f>STOXX_HedgeBedarf!C33+'STOXX_HedgeBedarf+01'!C33</f>
        <v>-1913.3115837659757</v>
      </c>
    </row>
    <row r="39" spans="1:21" x14ac:dyDescent="0.3">
      <c r="A39" s="1"/>
      <c r="B39" s="1"/>
      <c r="C39" s="7"/>
      <c r="D39" s="1"/>
      <c r="E39" s="1"/>
      <c r="F39" s="1"/>
      <c r="G39" s="1"/>
      <c r="H39" s="1"/>
      <c r="I39" s="1"/>
      <c r="J39" s="2"/>
      <c r="K39" s="1"/>
      <c r="L39" s="1"/>
      <c r="M39" s="1"/>
      <c r="N39" s="1"/>
      <c r="O39" s="1"/>
      <c r="P39" s="1"/>
      <c r="Q39" s="1"/>
      <c r="R39" s="1"/>
      <c r="S39" s="1"/>
      <c r="U39">
        <f>STOXX_HedgeBedarf!C34+'STOXX_HedgeBedarf+01'!C34</f>
        <v>-1888.0344677943235</v>
      </c>
    </row>
    <row r="40" spans="1:21" x14ac:dyDescent="0.3">
      <c r="A40" s="1"/>
      <c r="B40" s="1"/>
      <c r="C40" s="7"/>
      <c r="D40" s="1"/>
      <c r="E40" s="1"/>
      <c r="F40" s="1"/>
      <c r="G40" s="1"/>
      <c r="H40" s="1"/>
      <c r="I40" s="1"/>
      <c r="J40" s="2"/>
      <c r="K40" s="1"/>
      <c r="L40" s="1"/>
      <c r="M40" s="1"/>
      <c r="N40" s="1"/>
      <c r="O40" s="1"/>
      <c r="P40" s="1"/>
      <c r="Q40" s="1"/>
      <c r="R40" s="1"/>
      <c r="S40" s="1"/>
      <c r="U40">
        <f>STOXX_HedgeBedarf!C35+'STOXX_HedgeBedarf+01'!C35</f>
        <v>-1844.2097821308632</v>
      </c>
    </row>
    <row r="41" spans="1:21" x14ac:dyDescent="0.3">
      <c r="A41" s="1"/>
      <c r="B41" s="1"/>
      <c r="C41" s="7"/>
      <c r="D41" s="1"/>
      <c r="E41" s="1"/>
      <c r="F41" s="1"/>
      <c r="G41" s="1"/>
      <c r="H41" s="1"/>
      <c r="I41" s="1"/>
      <c r="J41" s="2"/>
      <c r="K41" s="1"/>
      <c r="L41" s="1"/>
      <c r="M41" s="1"/>
      <c r="N41" s="1"/>
      <c r="O41" s="1"/>
      <c r="P41" s="1"/>
      <c r="Q41" s="1"/>
      <c r="R41" s="1"/>
      <c r="S41" s="1"/>
      <c r="U41">
        <f>STOXX_HedgeBedarf!C36+'STOXX_HedgeBedarf+01'!C36</f>
        <v>-1782.1652255716867</v>
      </c>
    </row>
    <row r="42" spans="1:21" x14ac:dyDescent="0.3">
      <c r="A42" s="1"/>
      <c r="B42" s="1"/>
      <c r="C42" s="7"/>
      <c r="D42" s="1"/>
      <c r="E42" s="1"/>
      <c r="F42" s="1"/>
      <c r="G42" s="1"/>
      <c r="H42" s="1"/>
      <c r="I42" s="1"/>
      <c r="J42" s="2"/>
      <c r="K42" s="1"/>
      <c r="L42" s="1"/>
      <c r="M42" s="1"/>
      <c r="N42" s="1"/>
      <c r="O42" s="1"/>
      <c r="P42" s="1"/>
      <c r="Q42" s="1"/>
      <c r="R42" s="1"/>
      <c r="S42" s="1"/>
      <c r="U42">
        <f>STOXX_HedgeBedarf!C37+'STOXX_HedgeBedarf+01'!C37</f>
        <v>-1703.5968103411894</v>
      </c>
    </row>
    <row r="43" spans="1:21" x14ac:dyDescent="0.3">
      <c r="A43" s="1"/>
      <c r="B43" s="1"/>
      <c r="C43" s="7"/>
      <c r="D43" s="1"/>
      <c r="E43" s="1"/>
      <c r="F43" s="1"/>
      <c r="G43" s="1"/>
      <c r="H43" s="1"/>
      <c r="I43" s="1"/>
      <c r="J43" s="2"/>
      <c r="K43" s="1"/>
      <c r="L43" s="1"/>
      <c r="M43" s="1"/>
      <c r="N43" s="1"/>
      <c r="O43" s="1"/>
      <c r="P43" s="1"/>
      <c r="Q43" s="1"/>
      <c r="R43" s="1"/>
      <c r="S43" s="1"/>
      <c r="U43">
        <f>STOXX_HedgeBedarf!C38+'STOXX_HedgeBedarf+01'!C38</f>
        <v>-1611.1484351704223</v>
      </c>
    </row>
    <row r="44" spans="1:21" x14ac:dyDescent="0.3">
      <c r="A44" s="1"/>
      <c r="B44" s="1"/>
      <c r="C44" s="7"/>
      <c r="D44" s="1"/>
      <c r="E44" s="1"/>
      <c r="F44" s="1"/>
      <c r="G44" s="1"/>
      <c r="H44" s="1"/>
      <c r="I44" s="1"/>
      <c r="J44" s="2"/>
      <c r="K44" s="1"/>
      <c r="L44" s="1"/>
      <c r="M44" s="1"/>
      <c r="N44" s="1"/>
      <c r="O44" s="1"/>
      <c r="P44" s="1"/>
      <c r="Q44" s="1"/>
      <c r="R44" s="1"/>
      <c r="S44" s="1"/>
      <c r="U44">
        <f>STOXX_HedgeBedarf!C39+'STOXX_HedgeBedarf+01'!C39</f>
        <v>-1507.6675358705311</v>
      </c>
    </row>
    <row r="45" spans="1:21" x14ac:dyDescent="0.3">
      <c r="A45" s="1"/>
      <c r="B45" s="1"/>
      <c r="C45" s="7"/>
      <c r="D45" s="1"/>
      <c r="E45" s="1"/>
      <c r="F45" s="1"/>
      <c r="G45" s="1"/>
      <c r="H45" s="1"/>
      <c r="I45" s="1"/>
      <c r="J45" s="2"/>
      <c r="K45" s="1"/>
      <c r="L45" s="1"/>
      <c r="M45" s="1"/>
      <c r="N45" s="1"/>
      <c r="O45" s="1"/>
      <c r="P45" s="1"/>
      <c r="Q45" s="1"/>
      <c r="R45" s="1"/>
      <c r="S45" s="1"/>
      <c r="U45">
        <f>STOXX_HedgeBedarf!C40+'STOXX_HedgeBedarf+01'!C40</f>
        <v>-1395.4484639239063</v>
      </c>
    </row>
    <row r="46" spans="1:21" x14ac:dyDescent="0.3">
      <c r="A46" s="1"/>
      <c r="B46" s="1"/>
      <c r="C46" s="7"/>
      <c r="D46" s="1"/>
      <c r="E46" s="1"/>
      <c r="F46" s="1"/>
      <c r="G46" s="1"/>
      <c r="H46" s="1"/>
      <c r="I46" s="1"/>
      <c r="J46" s="2"/>
      <c r="K46" s="1"/>
      <c r="L46" s="1"/>
      <c r="M46" s="1"/>
      <c r="N46" s="1"/>
      <c r="O46" s="1"/>
      <c r="P46" s="1"/>
      <c r="Q46" s="1"/>
      <c r="R46" s="1"/>
      <c r="S46" s="1"/>
      <c r="U46">
        <f>STOXX_HedgeBedarf!C41+'STOXX_HedgeBedarf+01'!C41</f>
        <v>-1275.7801408632536</v>
      </c>
    </row>
    <row r="47" spans="1:21" x14ac:dyDescent="0.3">
      <c r="A47" s="1"/>
      <c r="B47" s="1"/>
      <c r="C47" s="7"/>
      <c r="D47" s="1"/>
      <c r="E47" s="1"/>
      <c r="F47" s="1"/>
      <c r="G47" s="1"/>
      <c r="H47" s="1"/>
      <c r="I47" s="1"/>
      <c r="J47" s="2"/>
      <c r="K47" s="1"/>
      <c r="L47" s="1"/>
      <c r="M47" s="1"/>
      <c r="N47" s="1"/>
      <c r="O47" s="1"/>
      <c r="P47" s="1"/>
      <c r="Q47" s="1"/>
      <c r="R47" s="1"/>
      <c r="S47" s="1"/>
      <c r="U47">
        <f>STOXX_HedgeBedarf!C42+'STOXX_HedgeBedarf+01'!C42</f>
        <v>-1148.9521537588544</v>
      </c>
    </row>
    <row r="48" spans="1:21" x14ac:dyDescent="0.3">
      <c r="A48" s="1"/>
      <c r="B48" s="1"/>
      <c r="C48" s="7"/>
      <c r="D48" s="1"/>
      <c r="E48" s="1"/>
      <c r="F48" s="1"/>
      <c r="G48" s="1"/>
      <c r="H48" s="1"/>
      <c r="I48" s="1"/>
      <c r="J48" s="2"/>
      <c r="K48" s="1"/>
      <c r="L48" s="1"/>
      <c r="M48" s="1"/>
      <c r="N48" s="1"/>
      <c r="O48" s="1"/>
      <c r="P48" s="1"/>
      <c r="Q48" s="1"/>
      <c r="R48" s="1"/>
      <c r="S48" s="1"/>
      <c r="U48">
        <f>STOXX_HedgeBedarf!C43+'STOXX_HedgeBedarf+01'!C43</f>
        <v>-1014.66976627492</v>
      </c>
    </row>
    <row r="49" spans="1:21" x14ac:dyDescent="0.3">
      <c r="A49" s="1"/>
      <c r="B49" s="1"/>
      <c r="C49" s="7"/>
      <c r="D49" s="1"/>
      <c r="E49" s="1"/>
      <c r="F49" s="1"/>
      <c r="G49" s="1"/>
      <c r="H49" s="1"/>
      <c r="I49" s="1"/>
      <c r="J49" s="2"/>
      <c r="K49" s="1"/>
      <c r="L49" s="1"/>
      <c r="M49" s="1"/>
      <c r="N49" s="1"/>
      <c r="O49" s="1"/>
      <c r="P49" s="1"/>
      <c r="Q49" s="1"/>
      <c r="R49" s="1"/>
      <c r="S49" s="1"/>
      <c r="U49">
        <f>STOXX_HedgeBedarf!C44+'STOXX_HedgeBedarf+01'!C44</f>
        <v>-872.70497961785543</v>
      </c>
    </row>
    <row r="50" spans="1:21" ht="15" thickBot="1" x14ac:dyDescent="0.35">
      <c r="A50" s="1"/>
      <c r="B50" s="1"/>
      <c r="C50" s="8"/>
      <c r="D50" s="1"/>
      <c r="E50" s="1"/>
      <c r="F50" s="1"/>
      <c r="G50" s="1"/>
      <c r="H50" s="1"/>
      <c r="I50" s="1"/>
      <c r="J50" s="2"/>
      <c r="K50" s="1"/>
      <c r="L50" s="1"/>
      <c r="M50" s="1"/>
      <c r="N50" s="1"/>
      <c r="O50" s="1"/>
      <c r="P50" s="1"/>
      <c r="Q50" s="1"/>
      <c r="R50" s="1"/>
      <c r="S50" s="1"/>
      <c r="U50">
        <f>STOXX_HedgeBedarf!C45+'STOXX_HedgeBedarf+01'!C45</f>
        <v>-723.58408225584537</v>
      </c>
    </row>
    <row r="51" spans="1:21" x14ac:dyDescent="0.3">
      <c r="A51" s="1"/>
      <c r="B51" s="1"/>
      <c r="C51" s="1"/>
      <c r="D51" s="1"/>
      <c r="E51" s="1"/>
      <c r="F51" s="1"/>
      <c r="G51" s="1"/>
      <c r="H51" s="1"/>
      <c r="I51" s="1"/>
      <c r="J51" s="2"/>
      <c r="K51" s="1"/>
      <c r="L51" s="1"/>
      <c r="M51" s="1"/>
      <c r="N51" s="1"/>
      <c r="O51" s="1"/>
      <c r="P51" s="1"/>
      <c r="Q51" s="1"/>
      <c r="R51" s="1"/>
      <c r="S51" s="1"/>
      <c r="U51">
        <f>STOXX_HedgeBedarf!C46+'STOXX_HedgeBedarf+01'!C46</f>
        <v>-569.11263749301588</v>
      </c>
    </row>
    <row r="52" spans="1:21" x14ac:dyDescent="0.3">
      <c r="A52" s="1"/>
      <c r="B52" s="1"/>
      <c r="C52" s="1"/>
      <c r="D52" s="1"/>
      <c r="E52" s="1"/>
      <c r="F52" s="1"/>
      <c r="G52" s="1"/>
      <c r="H52" s="1"/>
      <c r="I52" s="1"/>
      <c r="J52" s="2"/>
      <c r="K52" s="1"/>
      <c r="L52" s="1"/>
      <c r="M52" s="1"/>
      <c r="N52" s="1"/>
      <c r="O52" s="1"/>
      <c r="P52" s="1"/>
      <c r="Q52" s="1"/>
      <c r="R52" s="1"/>
      <c r="S52" s="1"/>
      <c r="U52">
        <f>STOXX_HedgeBedarf!C47+'STOXX_HedgeBedarf+01'!C47</f>
        <v>-412.51940165906115</v>
      </c>
    </row>
    <row r="53" spans="1:21" x14ac:dyDescent="0.3">
      <c r="A53" s="1"/>
      <c r="B53" s="1"/>
      <c r="C53" s="1"/>
      <c r="D53" s="1"/>
      <c r="E53" s="1"/>
      <c r="F53" s="1"/>
      <c r="G53" s="1"/>
      <c r="H53" s="1"/>
      <c r="I53" s="1"/>
      <c r="J53" s="2"/>
      <c r="K53" s="1"/>
      <c r="L53" s="1"/>
      <c r="M53" s="1"/>
      <c r="N53" s="1"/>
      <c r="O53" s="1"/>
      <c r="P53" s="1"/>
      <c r="Q53" s="1"/>
      <c r="R53" s="1"/>
      <c r="S53" s="1"/>
      <c r="U53">
        <f>STOXX_HedgeBedarf!C48+'STOXX_HedgeBedarf+01'!C48</f>
        <v>-258.01061118250527</v>
      </c>
    </row>
    <row r="54" spans="1:21" x14ac:dyDescent="0.3">
      <c r="A54" s="1"/>
      <c r="B54" s="1"/>
      <c r="C54" s="1"/>
      <c r="D54" s="1"/>
      <c r="E54" s="1"/>
      <c r="F54" s="1"/>
      <c r="G54" s="1"/>
      <c r="H54" s="1"/>
      <c r="I54" s="1"/>
      <c r="J54" s="2"/>
      <c r="K54" s="1"/>
      <c r="L54" s="1"/>
      <c r="M54" s="1"/>
      <c r="N54" s="1"/>
      <c r="O54" s="1"/>
      <c r="P54" s="1"/>
      <c r="Q54" s="1"/>
      <c r="R54" s="1"/>
      <c r="S54" s="1"/>
      <c r="U54">
        <f>STOXX_HedgeBedarf!C49+'STOXX_HedgeBedarf+01'!C49</f>
        <v>-109.66732450536475</v>
      </c>
    </row>
    <row r="55" spans="1:21" x14ac:dyDescent="0.3">
      <c r="A55" s="1"/>
      <c r="B55" s="1"/>
      <c r="C55" s="1"/>
      <c r="D55" s="1"/>
      <c r="E55" s="1"/>
      <c r="F55" s="1"/>
      <c r="G55" s="1"/>
      <c r="H55" s="1"/>
      <c r="I55" s="1"/>
      <c r="J55" s="2"/>
      <c r="K55" s="1"/>
      <c r="L55" s="1"/>
      <c r="M55" s="1"/>
      <c r="N55" s="1"/>
      <c r="O55" s="1"/>
      <c r="P55" s="1"/>
      <c r="Q55" s="1"/>
      <c r="R55" s="1"/>
      <c r="S55" s="1"/>
      <c r="U55">
        <f>STOXX_HedgeBedarf!C50+'STOXX_HedgeBedarf+01'!C50</f>
        <v>30.080109996331672</v>
      </c>
    </row>
    <row r="56" spans="1:21" x14ac:dyDescent="0.3">
      <c r="A56" s="1"/>
      <c r="B56" s="1"/>
      <c r="C56" s="1"/>
      <c r="D56" s="1"/>
      <c r="E56" s="1"/>
      <c r="F56" s="1"/>
      <c r="G56" s="1"/>
      <c r="H56" s="1"/>
      <c r="I56" s="1"/>
      <c r="J56" s="2"/>
      <c r="K56" s="1"/>
      <c r="L56" s="1"/>
      <c r="M56" s="1"/>
      <c r="N56" s="1"/>
      <c r="O56" s="1"/>
      <c r="P56" s="1"/>
      <c r="Q56" s="1"/>
      <c r="R56" s="1"/>
      <c r="S56" s="1"/>
      <c r="U56">
        <f>STOXX_HedgeBedarf!C51+'STOXX_HedgeBedarf+01'!C51</f>
        <v>161.83069956438592</v>
      </c>
    </row>
    <row r="57" spans="1:21" x14ac:dyDescent="0.3">
      <c r="A57" s="1"/>
      <c r="B57" s="1"/>
      <c r="C57" s="1"/>
      <c r="D57" s="1"/>
      <c r="E57" s="1"/>
      <c r="F57" s="1"/>
      <c r="G57" s="1"/>
      <c r="H57" s="1"/>
      <c r="I57" s="1"/>
      <c r="J57" s="2"/>
      <c r="K57" s="1"/>
      <c r="L57" s="1"/>
      <c r="M57" s="1"/>
      <c r="N57" s="1"/>
      <c r="O57" s="1"/>
      <c r="P57" s="1"/>
      <c r="Q57" s="1"/>
      <c r="R57" s="1"/>
      <c r="S57" s="1"/>
      <c r="U57">
        <f>STOXX_HedgeBedarf!C52+'STOXX_HedgeBedarf+01'!C52</f>
        <v>289.72768280368814</v>
      </c>
    </row>
    <row r="58" spans="1:21" x14ac:dyDescent="0.3">
      <c r="A58" s="1"/>
      <c r="B58" s="1"/>
      <c r="C58" s="1"/>
      <c r="D58" s="1"/>
      <c r="E58" s="1"/>
      <c r="F58" s="1"/>
      <c r="G58" s="1"/>
      <c r="H58" s="1"/>
      <c r="I58" s="1"/>
      <c r="J58" s="2"/>
      <c r="K58" s="1"/>
      <c r="L58" s="1"/>
      <c r="M58" s="1"/>
      <c r="N58" s="1"/>
      <c r="O58" s="1"/>
      <c r="P58" s="1"/>
      <c r="Q58" s="1"/>
      <c r="R58" s="1"/>
      <c r="S58" s="1"/>
      <c r="U58">
        <f>STOXX_HedgeBedarf!C53+'STOXX_HedgeBedarf+01'!C53</f>
        <v>420.59247428674519</v>
      </c>
    </row>
    <row r="59" spans="1:21" x14ac:dyDescent="0.3">
      <c r="A59" s="1"/>
      <c r="B59" s="1"/>
      <c r="C59" s="1"/>
      <c r="D59" s="1"/>
      <c r="E59" s="1"/>
      <c r="F59" s="1"/>
      <c r="G59" s="1"/>
      <c r="H59" s="1"/>
      <c r="I59" s="1"/>
      <c r="J59" s="2"/>
      <c r="K59" s="1"/>
      <c r="L59" s="1"/>
      <c r="M59" s="1"/>
      <c r="N59" s="1"/>
      <c r="O59" s="1"/>
      <c r="P59" s="1"/>
      <c r="Q59" s="1"/>
      <c r="R59" s="1"/>
      <c r="S59" s="1"/>
      <c r="U59">
        <f>STOXX_HedgeBedarf!C54+'STOXX_HedgeBedarf+01'!C54</f>
        <v>561.67620633033516</v>
      </c>
    </row>
    <row r="60" spans="1:21" x14ac:dyDescent="0.3">
      <c r="A60" s="1"/>
      <c r="B60" s="1"/>
      <c r="C60" s="1"/>
      <c r="D60" s="1"/>
      <c r="E60" s="1"/>
      <c r="F60" s="1"/>
      <c r="G60" s="1"/>
      <c r="H60" s="1"/>
      <c r="I60" s="1"/>
      <c r="J60" s="1"/>
      <c r="K60" s="1"/>
      <c r="L60" s="1"/>
      <c r="M60" s="1"/>
      <c r="N60" s="1"/>
      <c r="O60" s="1"/>
      <c r="P60" s="1"/>
      <c r="Q60" s="1"/>
      <c r="R60" s="1"/>
      <c r="S60" s="1"/>
      <c r="U60">
        <f>STOXX_HedgeBedarf!C55+'STOXX_HedgeBedarf+01'!C55</f>
        <v>717.65545034737829</v>
      </c>
    </row>
    <row r="61" spans="1:21" x14ac:dyDescent="0.3">
      <c r="A61" s="1"/>
      <c r="B61" s="1"/>
      <c r="C61" s="1"/>
      <c r="D61" s="1"/>
      <c r="E61" s="1"/>
      <c r="F61" s="1"/>
      <c r="G61" s="1"/>
      <c r="H61" s="1"/>
      <c r="I61" s="1"/>
      <c r="J61" s="3"/>
      <c r="K61" s="1"/>
      <c r="L61" s="1"/>
      <c r="M61" s="1"/>
      <c r="N61" s="1"/>
      <c r="O61" s="1"/>
      <c r="P61" s="1"/>
      <c r="Q61" s="1"/>
      <c r="R61" s="1"/>
      <c r="S61" s="1"/>
      <c r="U61">
        <f>STOXX_HedgeBedarf!C56+'STOXX_HedgeBedarf+01'!C56</f>
        <v>887.97789237273298</v>
      </c>
    </row>
    <row r="62" spans="1:21" x14ac:dyDescent="0.3">
      <c r="A62" s="1"/>
      <c r="B62" s="1"/>
      <c r="C62" s="1"/>
      <c r="D62" s="1"/>
      <c r="E62" s="1"/>
      <c r="F62" s="1"/>
      <c r="G62" s="1"/>
      <c r="H62" s="1"/>
      <c r="I62" s="1"/>
      <c r="J62" s="2"/>
      <c r="K62" s="1"/>
      <c r="L62" s="1"/>
      <c r="M62" s="1"/>
      <c r="N62" s="1"/>
      <c r="O62" s="1"/>
      <c r="P62" s="1"/>
      <c r="Q62" s="1"/>
      <c r="R62" s="1"/>
      <c r="S62" s="1"/>
      <c r="U62">
        <f>STOXX_HedgeBedarf!C57+'STOXX_HedgeBedarf+01'!C57</f>
        <v>1065.7682626255491</v>
      </c>
    </row>
    <row r="63" spans="1:21" x14ac:dyDescent="0.3">
      <c r="A63" s="1"/>
      <c r="B63" s="1"/>
      <c r="C63" s="1"/>
      <c r="D63" s="1"/>
      <c r="E63" s="1"/>
      <c r="F63" s="1"/>
      <c r="G63" s="1"/>
      <c r="H63" s="1"/>
      <c r="I63" s="1"/>
      <c r="J63" s="3"/>
      <c r="K63" s="1"/>
      <c r="L63" s="1"/>
      <c r="M63" s="1"/>
      <c r="N63" s="1"/>
      <c r="O63" s="1"/>
      <c r="P63" s="1"/>
      <c r="Q63" s="1"/>
      <c r="R63" s="1"/>
      <c r="S63" s="1"/>
      <c r="U63">
        <f>STOXX_HedgeBedarf!C58+'STOXX_HedgeBedarf+01'!C58</f>
        <v>1239.0869336877317</v>
      </c>
    </row>
    <row r="64" spans="1:21" x14ac:dyDescent="0.3">
      <c r="A64" s="1"/>
      <c r="B64" s="1"/>
      <c r="C64" s="1"/>
      <c r="D64" s="1"/>
      <c r="E64" s="1"/>
      <c r="F64" s="1"/>
      <c r="G64" s="1"/>
      <c r="H64" s="1"/>
      <c r="I64" s="1"/>
      <c r="J64" s="3"/>
      <c r="K64" s="1"/>
      <c r="L64" s="1"/>
      <c r="M64" s="1"/>
      <c r="N64" s="1"/>
      <c r="O64" s="1"/>
      <c r="P64" s="1"/>
      <c r="Q64" s="1"/>
      <c r="R64" s="1"/>
      <c r="S64" s="1"/>
      <c r="U64">
        <f>STOXX_HedgeBedarf!C59+'STOXX_HedgeBedarf+01'!C59</f>
        <v>1394.4086189686207</v>
      </c>
    </row>
    <row r="65" spans="1:21" x14ac:dyDescent="0.3">
      <c r="A65" s="1"/>
      <c r="B65" s="1"/>
      <c r="C65" s="1"/>
      <c r="D65" s="1"/>
      <c r="E65" s="1"/>
      <c r="F65" s="1"/>
      <c r="G65" s="1"/>
      <c r="H65" s="1"/>
      <c r="I65" s="1"/>
      <c r="J65" s="3"/>
      <c r="K65" s="1"/>
      <c r="L65" s="1"/>
      <c r="M65" s="1"/>
      <c r="N65" s="1"/>
      <c r="O65" s="1"/>
      <c r="P65" s="1"/>
      <c r="Q65" s="1"/>
      <c r="R65" s="1"/>
      <c r="S65" s="1"/>
      <c r="U65">
        <f>STOXX_HedgeBedarf!C60+'STOXX_HedgeBedarf+01'!C60</f>
        <v>1521.0789529704889</v>
      </c>
    </row>
    <row r="66" spans="1:21" x14ac:dyDescent="0.3">
      <c r="A66" s="1"/>
      <c r="B66" s="1"/>
      <c r="C66" s="1"/>
      <c r="D66" s="1"/>
      <c r="E66" s="1"/>
      <c r="F66" s="1"/>
      <c r="G66" s="1"/>
      <c r="H66" s="1"/>
      <c r="I66" s="1"/>
      <c r="J66" s="3"/>
      <c r="K66" s="1"/>
      <c r="L66" s="1"/>
      <c r="M66" s="1"/>
      <c r="N66" s="1"/>
      <c r="O66" s="1"/>
      <c r="P66" s="1"/>
      <c r="Q66" s="1"/>
      <c r="R66" s="1"/>
      <c r="S66" s="1"/>
      <c r="U66">
        <f>STOXX_HedgeBedarf!C61+'STOXX_HedgeBedarf+01'!C61</f>
        <v>1614.8370126548195</v>
      </c>
    </row>
    <row r="67" spans="1:21" x14ac:dyDescent="0.3">
      <c r="A67" s="1"/>
      <c r="B67" s="1"/>
      <c r="C67" s="1"/>
      <c r="D67" s="1"/>
      <c r="E67" s="1"/>
      <c r="F67" s="1"/>
      <c r="G67" s="1"/>
      <c r="H67" s="1"/>
      <c r="I67" s="1"/>
      <c r="J67" s="3"/>
      <c r="K67" s="1"/>
      <c r="L67" s="1"/>
      <c r="M67" s="1"/>
      <c r="N67" s="1"/>
      <c r="O67" s="1"/>
      <c r="P67" s="1"/>
      <c r="Q67" s="1"/>
      <c r="R67" s="1"/>
      <c r="S67" s="1"/>
      <c r="U67">
        <f>STOXX_HedgeBedarf!C62+'STOXX_HedgeBedarf+01'!C62</f>
        <v>1678.8185453996971</v>
      </c>
    </row>
    <row r="68" spans="1:21" x14ac:dyDescent="0.3">
      <c r="A68" s="1"/>
      <c r="B68" s="1"/>
      <c r="C68" s="1"/>
      <c r="D68" s="1"/>
      <c r="E68" s="1"/>
      <c r="F68" s="1"/>
      <c r="G68" s="1"/>
      <c r="H68" s="1"/>
      <c r="I68" s="1"/>
      <c r="J68" s="3"/>
      <c r="K68" s="1"/>
      <c r="L68" s="1"/>
      <c r="M68" s="1"/>
      <c r="N68" s="1"/>
      <c r="O68" s="1"/>
      <c r="P68" s="1"/>
      <c r="Q68" s="1"/>
      <c r="R68" s="1"/>
      <c r="S68" s="1"/>
      <c r="U68">
        <f>STOXX_HedgeBedarf!C63+'STOXX_HedgeBedarf+01'!C63</f>
        <v>1721.7190009558856</v>
      </c>
    </row>
    <row r="69" spans="1:21" x14ac:dyDescent="0.3">
      <c r="A69" s="1"/>
      <c r="B69" s="1"/>
      <c r="C69" s="1"/>
      <c r="D69" s="1"/>
      <c r="E69" s="1"/>
      <c r="F69" s="1"/>
      <c r="G69" s="1"/>
      <c r="H69" s="1"/>
      <c r="I69" s="1"/>
      <c r="J69" s="3"/>
      <c r="K69" s="1"/>
      <c r="L69" s="1"/>
      <c r="M69" s="1"/>
      <c r="N69" s="1"/>
      <c r="O69" s="1"/>
      <c r="P69" s="1"/>
      <c r="Q69" s="1"/>
      <c r="R69" s="1"/>
      <c r="S69" s="1"/>
      <c r="U69">
        <f>STOXX_HedgeBedarf!C64+'STOXX_HedgeBedarf+01'!C64</f>
        <v>1754.1896506893327</v>
      </c>
    </row>
    <row r="70" spans="1:21" x14ac:dyDescent="0.3">
      <c r="A70" s="1"/>
      <c r="B70" s="1"/>
      <c r="C70" s="1"/>
      <c r="D70" s="1"/>
      <c r="E70" s="1"/>
      <c r="F70" s="1"/>
      <c r="G70" s="1"/>
      <c r="H70" s="1"/>
      <c r="I70" s="1"/>
      <c r="J70" s="3"/>
      <c r="K70" s="1"/>
      <c r="L70" s="1"/>
      <c r="M70" s="1"/>
      <c r="N70" s="1"/>
      <c r="O70" s="1"/>
      <c r="P70" s="1"/>
      <c r="Q70" s="1"/>
      <c r="R70" s="1"/>
      <c r="S70" s="1"/>
      <c r="U70">
        <f>STOXX_HedgeBedarf!C65+'STOXX_HedgeBedarf+01'!C65</f>
        <v>1785.1238079040659</v>
      </c>
    </row>
    <row r="71" spans="1:21" x14ac:dyDescent="0.3">
      <c r="A71" s="1"/>
      <c r="B71" s="1"/>
      <c r="C71" s="1"/>
      <c r="D71" s="1"/>
      <c r="E71" s="1"/>
      <c r="F71" s="1"/>
      <c r="G71" s="1"/>
      <c r="H71" s="1"/>
      <c r="I71" s="1"/>
      <c r="J71" s="3"/>
      <c r="K71" s="1"/>
      <c r="L71" s="1"/>
      <c r="M71" s="1"/>
      <c r="N71" s="1"/>
      <c r="O71" s="1"/>
      <c r="P71" s="1"/>
      <c r="Q71" s="1"/>
      <c r="R71" s="1"/>
      <c r="S71" s="1"/>
      <c r="U71">
        <f>STOXX_HedgeBedarf!C66+'STOXX_HedgeBedarf+01'!C66</f>
        <v>1819.0477587944622</v>
      </c>
    </row>
    <row r="72" spans="1:21" x14ac:dyDescent="0.3">
      <c r="A72" s="1"/>
      <c r="B72" s="1"/>
      <c r="C72" s="1"/>
      <c r="D72" s="1"/>
      <c r="E72" s="1"/>
      <c r="F72" s="1"/>
      <c r="G72" s="1"/>
      <c r="H72" s="1"/>
      <c r="I72" s="1"/>
      <c r="J72" s="3"/>
      <c r="K72" s="1"/>
      <c r="L72" s="1"/>
      <c r="M72" s="1"/>
      <c r="N72" s="1"/>
      <c r="O72" s="1"/>
      <c r="P72" s="1"/>
      <c r="Q72" s="1"/>
      <c r="R72" s="1"/>
      <c r="S72" s="1"/>
      <c r="U72">
        <f>STOXX_HedgeBedarf!C67+'STOXX_HedgeBedarf+01'!C67</f>
        <v>1855.0202633261092</v>
      </c>
    </row>
    <row r="73" spans="1:21" x14ac:dyDescent="0.3">
      <c r="A73" s="1"/>
      <c r="B73" s="1"/>
      <c r="C73" s="1"/>
      <c r="D73" s="1"/>
      <c r="E73" s="1"/>
      <c r="F73" s="1"/>
      <c r="G73" s="1"/>
      <c r="H73" s="1"/>
      <c r="I73" s="1"/>
      <c r="J73" s="3"/>
      <c r="K73" s="1"/>
      <c r="L73" s="1"/>
      <c r="M73" s="1"/>
      <c r="N73" s="1"/>
      <c r="O73" s="1"/>
      <c r="P73" s="1"/>
      <c r="Q73" s="1"/>
      <c r="R73" s="1"/>
      <c r="S73" s="1"/>
      <c r="U73">
        <f>STOXX_HedgeBedarf!C68+'STOXX_HedgeBedarf+01'!C68</f>
        <v>1887.0026058721471</v>
      </c>
    </row>
    <row r="74" spans="1:21" x14ac:dyDescent="0.3">
      <c r="A74" s="1"/>
      <c r="B74" s="1"/>
      <c r="C74" s="1"/>
      <c r="D74" s="1"/>
      <c r="E74" s="1"/>
      <c r="F74" s="1"/>
      <c r="G74" s="1"/>
      <c r="H74" s="1"/>
      <c r="I74" s="1"/>
      <c r="J74" s="3"/>
      <c r="K74" s="1"/>
      <c r="L74" s="1"/>
      <c r="M74" s="1"/>
      <c r="N74" s="1"/>
      <c r="O74" s="1"/>
      <c r="P74" s="1"/>
      <c r="Q74" s="1"/>
      <c r="R74" s="1"/>
      <c r="S74" s="1"/>
      <c r="U74">
        <f>STOXX_HedgeBedarf!C69+'STOXX_HedgeBedarf+01'!C69</f>
        <v>1905.5923511532628</v>
      </c>
    </row>
    <row r="75" spans="1:21" x14ac:dyDescent="0.3">
      <c r="A75" s="1"/>
      <c r="B75" s="1"/>
      <c r="C75" s="1"/>
      <c r="D75" s="1"/>
      <c r="E75" s="1"/>
      <c r="F75" s="1"/>
      <c r="G75" s="1"/>
      <c r="H75" s="1"/>
      <c r="I75" s="1"/>
      <c r="J75" s="3"/>
      <c r="K75" s="1"/>
      <c r="L75" s="1"/>
      <c r="M75" s="1"/>
      <c r="N75" s="1"/>
      <c r="O75" s="1"/>
      <c r="P75" s="1"/>
      <c r="Q75" s="1"/>
      <c r="R75" s="1"/>
      <c r="S75" s="1"/>
      <c r="U75">
        <f>STOXX_HedgeBedarf!C70+'STOXX_HedgeBedarf+01'!C70</f>
        <v>1900.7748261928818</v>
      </c>
    </row>
    <row r="76" spans="1:21" x14ac:dyDescent="0.3">
      <c r="A76" s="1"/>
      <c r="B76" s="1"/>
      <c r="C76" s="1"/>
      <c r="D76" s="1"/>
      <c r="E76" s="1"/>
      <c r="F76" s="1"/>
      <c r="G76" s="1"/>
      <c r="H76" s="1"/>
      <c r="I76" s="1"/>
      <c r="J76" s="2"/>
      <c r="K76" s="1"/>
      <c r="L76" s="1"/>
      <c r="M76" s="1"/>
      <c r="N76" s="1"/>
      <c r="O76" s="1"/>
      <c r="P76" s="1"/>
      <c r="Q76" s="1"/>
      <c r="R76" s="1"/>
      <c r="S76" s="1"/>
      <c r="U76">
        <f>STOXX_HedgeBedarf!C71+'STOXX_HedgeBedarf+01'!C71</f>
        <v>1864.7800256846499</v>
      </c>
    </row>
    <row r="77" spans="1:21" x14ac:dyDescent="0.3">
      <c r="A77" s="1"/>
      <c r="B77" s="1"/>
      <c r="C77" s="1"/>
      <c r="D77" s="1"/>
      <c r="E77" s="1"/>
      <c r="F77" s="1"/>
      <c r="G77" s="1"/>
      <c r="H77" s="1"/>
      <c r="I77" s="1"/>
      <c r="J77" s="3"/>
      <c r="K77" s="1"/>
      <c r="L77" s="1"/>
      <c r="M77" s="1"/>
      <c r="N77" s="1"/>
      <c r="O77" s="1"/>
      <c r="P77" s="1"/>
      <c r="Q77" s="1"/>
      <c r="R77" s="1"/>
      <c r="S77" s="1"/>
      <c r="U77">
        <f>STOXX_HedgeBedarf!C72+'STOXX_HedgeBedarf+01'!C72</f>
        <v>1793.8584758049865</v>
      </c>
    </row>
    <row r="78" spans="1:21" x14ac:dyDescent="0.3">
      <c r="A78" s="1"/>
      <c r="B78" s="1"/>
      <c r="C78" s="1"/>
      <c r="D78" s="1"/>
      <c r="E78" s="1"/>
      <c r="F78" s="1"/>
      <c r="G78" s="1"/>
      <c r="H78" s="1"/>
      <c r="I78" s="1"/>
      <c r="J78" s="2"/>
      <c r="K78" s="1"/>
      <c r="L78" s="1"/>
      <c r="M78" s="1"/>
      <c r="N78" s="1"/>
      <c r="O78" s="1"/>
      <c r="P78" s="1"/>
      <c r="Q78" s="1"/>
      <c r="R78" s="1"/>
      <c r="S78" s="1"/>
      <c r="U78">
        <f>STOXX_HedgeBedarf!C73+'STOXX_HedgeBedarf+01'!C73</f>
        <v>1688.4173178347526</v>
      </c>
    </row>
    <row r="79" spans="1:21" x14ac:dyDescent="0.3">
      <c r="A79" s="1"/>
      <c r="B79" s="1"/>
      <c r="C79" s="1"/>
      <c r="D79" s="1"/>
      <c r="E79" s="1"/>
      <c r="F79" s="1"/>
      <c r="G79" s="1"/>
      <c r="H79" s="1"/>
      <c r="I79" s="1"/>
      <c r="J79" s="3"/>
      <c r="K79" s="1"/>
      <c r="L79" s="1"/>
      <c r="M79" s="1"/>
      <c r="N79" s="1"/>
      <c r="O79" s="1"/>
      <c r="P79" s="1"/>
      <c r="Q79" s="1"/>
      <c r="R79" s="1"/>
      <c r="S79" s="1"/>
      <c r="U79">
        <f>STOXX_HedgeBedarf!C74+'STOXX_HedgeBedarf+01'!C74</f>
        <v>1552.1144396289947</v>
      </c>
    </row>
    <row r="80" spans="1:21" x14ac:dyDescent="0.3">
      <c r="A80" s="1"/>
      <c r="B80" s="1"/>
      <c r="C80" s="1"/>
      <c r="D80" s="1"/>
      <c r="E80" s="1"/>
      <c r="F80" s="1"/>
      <c r="G80" s="1"/>
      <c r="H80" s="1"/>
      <c r="I80" s="1"/>
      <c r="J80" s="3"/>
      <c r="K80" s="1"/>
      <c r="L80" s="1"/>
      <c r="M80" s="1"/>
      <c r="N80" s="1"/>
      <c r="O80" s="1"/>
      <c r="P80" s="1"/>
      <c r="Q80" s="1"/>
      <c r="R80" s="1"/>
      <c r="S80" s="1"/>
      <c r="U80">
        <f>STOXX_HedgeBedarf!C75+'STOXX_HedgeBedarf+01'!C75</f>
        <v>1391.0609492524368</v>
      </c>
    </row>
    <row r="81" spans="1:21" x14ac:dyDescent="0.3">
      <c r="A81" s="1"/>
      <c r="B81" s="1"/>
      <c r="C81" s="1"/>
      <c r="D81" s="1"/>
      <c r="E81" s="1"/>
      <c r="F81" s="1"/>
      <c r="G81" s="1"/>
      <c r="H81" s="1"/>
      <c r="I81" s="1"/>
      <c r="J81" s="3"/>
      <c r="K81" s="1"/>
      <c r="L81" s="1"/>
      <c r="M81" s="1"/>
      <c r="N81" s="1"/>
      <c r="O81" s="1"/>
      <c r="P81" s="1"/>
      <c r="Q81" s="1"/>
      <c r="R81" s="1"/>
      <c r="S81" s="1"/>
      <c r="U81">
        <f>STOXX_HedgeBedarf!C76+'STOXX_HedgeBedarf+01'!C76</f>
        <v>0</v>
      </c>
    </row>
    <row r="82" spans="1:21" x14ac:dyDescent="0.3">
      <c r="A82" s="1"/>
      <c r="B82" s="1"/>
      <c r="C82" s="1"/>
      <c r="D82" s="1"/>
      <c r="E82" s="1"/>
      <c r="F82" s="1"/>
      <c r="G82" s="1"/>
      <c r="H82" s="1"/>
      <c r="I82" s="1"/>
      <c r="J82" s="3"/>
      <c r="K82" s="1"/>
      <c r="L82" s="1"/>
      <c r="M82" s="1"/>
      <c r="N82" s="1"/>
      <c r="O82" s="1"/>
      <c r="P82" s="1"/>
      <c r="Q82" s="1"/>
      <c r="R82" s="1"/>
      <c r="S82" s="1"/>
      <c r="U82">
        <f>STOXX_HedgeBedarf!C77+'STOXX_HedgeBedarf+01'!C77</f>
        <v>0</v>
      </c>
    </row>
    <row r="83" spans="1:21" x14ac:dyDescent="0.3">
      <c r="A83" s="1"/>
      <c r="B83" s="1"/>
      <c r="C83" s="1"/>
      <c r="D83" s="1"/>
      <c r="E83" s="1"/>
      <c r="F83" s="1"/>
      <c r="G83" s="1"/>
      <c r="H83" s="1"/>
      <c r="I83" s="1"/>
      <c r="J83" s="3"/>
      <c r="K83" s="1"/>
      <c r="L83" s="1"/>
      <c r="M83" s="1"/>
      <c r="N83" s="1"/>
      <c r="O83" s="1"/>
      <c r="P83" s="1"/>
      <c r="Q83" s="1"/>
      <c r="R83" s="1"/>
      <c r="S83" s="1"/>
      <c r="U83">
        <f>STOXX_HedgeBedarf!C78+'STOXX_HedgeBedarf+01'!C78</f>
        <v>0</v>
      </c>
    </row>
    <row r="84" spans="1:21" x14ac:dyDescent="0.3">
      <c r="A84" s="1"/>
      <c r="B84" s="1"/>
      <c r="C84" s="1"/>
      <c r="D84" s="1"/>
      <c r="E84" s="1"/>
      <c r="F84" s="1"/>
      <c r="G84" s="1"/>
      <c r="H84" s="1"/>
      <c r="I84" s="1"/>
      <c r="J84" s="3"/>
      <c r="K84" s="1"/>
      <c r="L84" s="1"/>
      <c r="M84" s="1"/>
      <c r="N84" s="1"/>
      <c r="O84" s="1"/>
      <c r="P84" s="1"/>
      <c r="Q84" s="1"/>
      <c r="R84" s="1"/>
      <c r="S84" s="1"/>
      <c r="U84">
        <f>STOXX_HedgeBedarf!C79+'STOXX_HedgeBedarf+01'!C79</f>
        <v>0</v>
      </c>
    </row>
    <row r="85" spans="1:21" x14ac:dyDescent="0.3">
      <c r="A85" s="1"/>
      <c r="B85" s="1"/>
      <c r="C85" s="1"/>
      <c r="D85" s="1"/>
      <c r="E85" s="1"/>
      <c r="F85" s="1"/>
      <c r="G85" s="1"/>
      <c r="H85" s="1"/>
      <c r="I85" s="1"/>
      <c r="J85" s="3"/>
      <c r="K85" s="1"/>
      <c r="L85" s="1"/>
      <c r="M85" s="1"/>
      <c r="N85" s="1"/>
      <c r="O85" s="1"/>
      <c r="P85" s="1"/>
      <c r="Q85" s="1"/>
      <c r="R85" s="1"/>
      <c r="S85" s="1"/>
      <c r="U85">
        <f>STOXX_HedgeBedarf!C80+'STOXX_HedgeBedarf+01'!C80</f>
        <v>0</v>
      </c>
    </row>
    <row r="86" spans="1:21" x14ac:dyDescent="0.3">
      <c r="A86" s="1"/>
      <c r="B86" s="1"/>
      <c r="C86" s="1"/>
      <c r="D86" s="1"/>
      <c r="E86" s="1"/>
      <c r="F86" s="1"/>
      <c r="G86" s="1"/>
      <c r="H86" s="1"/>
      <c r="I86" s="1"/>
      <c r="J86" s="3"/>
      <c r="K86" s="1"/>
      <c r="L86" s="1"/>
      <c r="M86" s="1"/>
      <c r="N86" s="1"/>
      <c r="O86" s="1"/>
      <c r="P86" s="1"/>
      <c r="Q86" s="1"/>
      <c r="R86" s="1"/>
      <c r="S86" s="1"/>
      <c r="U86">
        <f>STOXX_HedgeBedarf!C81+'STOXX_HedgeBedarf+01'!C81</f>
        <v>0</v>
      </c>
    </row>
    <row r="87" spans="1:21" x14ac:dyDescent="0.3">
      <c r="A87" s="1"/>
      <c r="B87" s="1"/>
      <c r="C87" s="1"/>
      <c r="D87" s="1"/>
      <c r="E87" s="1"/>
      <c r="F87" s="1"/>
      <c r="G87" s="1"/>
      <c r="H87" s="1"/>
      <c r="I87" s="1"/>
      <c r="J87" s="3"/>
      <c r="K87" s="1"/>
      <c r="L87" s="1"/>
      <c r="M87" s="1"/>
      <c r="N87" s="1"/>
      <c r="O87" s="1"/>
      <c r="P87" s="1"/>
      <c r="Q87" s="1"/>
      <c r="R87" s="1"/>
      <c r="S87" s="1"/>
      <c r="U87">
        <f>STOXX_HedgeBedarf!C82+'STOXX_HedgeBedarf+01'!C82</f>
        <v>0</v>
      </c>
    </row>
    <row r="88" spans="1:21" x14ac:dyDescent="0.3">
      <c r="A88" s="1"/>
      <c r="B88" s="1"/>
      <c r="C88" s="1"/>
      <c r="D88" s="1"/>
      <c r="E88" s="1"/>
      <c r="F88" s="1"/>
      <c r="G88" s="1"/>
      <c r="H88" s="1"/>
      <c r="I88" s="1"/>
      <c r="J88" s="3"/>
      <c r="K88" s="1"/>
      <c r="L88" s="1"/>
      <c r="M88" s="1"/>
      <c r="N88" s="1"/>
      <c r="O88" s="1"/>
      <c r="P88" s="1"/>
      <c r="Q88" s="1"/>
      <c r="R88" s="1"/>
      <c r="S88" s="1"/>
      <c r="U88">
        <f>STOXX_HedgeBedarf!C83+'STOXX_HedgeBedarf+01'!C83</f>
        <v>0</v>
      </c>
    </row>
    <row r="89" spans="1:21" x14ac:dyDescent="0.3">
      <c r="A89" s="1"/>
      <c r="B89" s="1"/>
      <c r="C89" s="1"/>
      <c r="D89" s="1"/>
      <c r="E89" s="1"/>
      <c r="F89" s="1"/>
      <c r="G89" s="1"/>
      <c r="H89" s="1"/>
      <c r="I89" s="1"/>
      <c r="J89" s="3"/>
      <c r="K89" s="1"/>
      <c r="L89" s="1"/>
      <c r="M89" s="1"/>
      <c r="N89" s="1"/>
      <c r="O89" s="1"/>
      <c r="P89" s="1"/>
      <c r="Q89" s="1"/>
      <c r="R89" s="1"/>
      <c r="S89" s="1"/>
      <c r="U89">
        <f>STOXX_HedgeBedarf!C84+'STOXX_HedgeBedarf+01'!C84</f>
        <v>0</v>
      </c>
    </row>
    <row r="90" spans="1:21" x14ac:dyDescent="0.3">
      <c r="A90" s="1"/>
      <c r="B90" s="1"/>
      <c r="C90" s="1"/>
      <c r="D90" s="1"/>
      <c r="E90" s="1"/>
      <c r="F90" s="1"/>
      <c r="G90" s="1"/>
      <c r="H90" s="1"/>
      <c r="I90" s="1"/>
      <c r="J90" s="2"/>
      <c r="K90" s="1"/>
      <c r="L90" s="1"/>
      <c r="M90" s="1"/>
      <c r="N90" s="1"/>
      <c r="O90" s="1"/>
      <c r="P90" s="1"/>
      <c r="Q90" s="1"/>
      <c r="R90" s="1"/>
      <c r="S90" s="1"/>
      <c r="U90">
        <f>STOXX_HedgeBedarf!C85+'STOXX_HedgeBedarf+01'!C85</f>
        <v>0</v>
      </c>
    </row>
    <row r="91" spans="1:21" x14ac:dyDescent="0.3">
      <c r="A91" s="1"/>
      <c r="B91" s="1"/>
      <c r="C91" s="1"/>
      <c r="D91" s="1"/>
      <c r="E91" s="1"/>
      <c r="F91" s="1"/>
      <c r="G91" s="1"/>
      <c r="H91" s="1"/>
      <c r="I91" s="1"/>
      <c r="J91" s="3"/>
      <c r="K91" s="1"/>
      <c r="L91" s="1"/>
      <c r="M91" s="1"/>
      <c r="N91" s="1"/>
      <c r="O91" s="1"/>
      <c r="P91" s="1"/>
      <c r="Q91" s="1"/>
      <c r="R91" s="1"/>
      <c r="S91" s="1"/>
      <c r="U91">
        <f>STOXX_HedgeBedarf!C86+'STOXX_HedgeBedarf+01'!C86</f>
        <v>0</v>
      </c>
    </row>
    <row r="92" spans="1:21" x14ac:dyDescent="0.3">
      <c r="A92" s="1"/>
      <c r="B92" s="1"/>
      <c r="C92" s="1"/>
      <c r="D92" s="1"/>
      <c r="E92" s="1"/>
      <c r="F92" s="1"/>
      <c r="G92" s="1"/>
      <c r="H92" s="1"/>
      <c r="I92" s="1"/>
      <c r="J92" s="2"/>
      <c r="K92" s="1"/>
      <c r="L92" s="1"/>
      <c r="M92" s="1"/>
      <c r="N92" s="1"/>
      <c r="O92" s="1"/>
      <c r="P92" s="1"/>
      <c r="Q92" s="1"/>
      <c r="R92" s="1"/>
      <c r="S92" s="1"/>
      <c r="U92">
        <f>STOXX_HedgeBedarf!C87+'STOXX_HedgeBedarf+01'!C87</f>
        <v>0</v>
      </c>
    </row>
    <row r="93" spans="1:21" x14ac:dyDescent="0.3">
      <c r="A93" s="1"/>
      <c r="B93" s="1"/>
      <c r="C93" s="1"/>
      <c r="D93" s="1"/>
      <c r="E93" s="1"/>
      <c r="F93" s="1"/>
      <c r="G93" s="1"/>
      <c r="H93" s="1"/>
      <c r="I93" s="1"/>
      <c r="J93" s="3"/>
      <c r="K93" s="1"/>
      <c r="L93" s="1"/>
      <c r="M93" s="1"/>
      <c r="N93" s="1"/>
      <c r="O93" s="1"/>
      <c r="P93" s="1"/>
      <c r="Q93" s="1"/>
      <c r="R93" s="1"/>
      <c r="S93" s="1"/>
      <c r="U93">
        <f>STOXX_HedgeBedarf!C88+'STOXX_HedgeBedarf+01'!C88</f>
        <v>0</v>
      </c>
    </row>
    <row r="94" spans="1:21" x14ac:dyDescent="0.3">
      <c r="A94" s="1"/>
      <c r="B94" s="1"/>
      <c r="C94" s="1"/>
      <c r="D94" s="1"/>
      <c r="E94" s="1"/>
      <c r="F94" s="1"/>
      <c r="G94" s="1"/>
      <c r="H94" s="1"/>
      <c r="I94" s="1"/>
      <c r="J94" s="3"/>
      <c r="K94" s="1"/>
      <c r="L94" s="1"/>
      <c r="M94" s="1"/>
      <c r="N94" s="1"/>
      <c r="O94" s="1"/>
      <c r="P94" s="1"/>
      <c r="Q94" s="1"/>
      <c r="R94" s="1"/>
      <c r="S94" s="1"/>
      <c r="U94">
        <f>STOXX_HedgeBedarf!C89+'STOXX_HedgeBedarf+01'!C89</f>
        <v>0</v>
      </c>
    </row>
    <row r="95" spans="1:21" x14ac:dyDescent="0.3">
      <c r="A95" s="1"/>
      <c r="B95" s="1"/>
      <c r="C95" s="1"/>
      <c r="D95" s="1"/>
      <c r="E95" s="1"/>
      <c r="F95" s="1"/>
      <c r="G95" s="1"/>
      <c r="H95" s="1"/>
      <c r="I95" s="1"/>
      <c r="J95" s="3"/>
      <c r="K95" s="1"/>
      <c r="L95" s="1"/>
      <c r="M95" s="1"/>
      <c r="N95" s="1"/>
      <c r="O95" s="1"/>
      <c r="P95" s="1"/>
      <c r="Q95" s="1"/>
      <c r="R95" s="1"/>
      <c r="S95" s="1"/>
      <c r="U95">
        <f>STOXX_HedgeBedarf!C90+'STOXX_HedgeBedarf+01'!C90</f>
        <v>0</v>
      </c>
    </row>
    <row r="96" spans="1:21" x14ac:dyDescent="0.3">
      <c r="A96" s="1"/>
      <c r="B96" s="1"/>
      <c r="C96" s="1"/>
      <c r="D96" s="1"/>
      <c r="E96" s="1"/>
      <c r="F96" s="1"/>
      <c r="G96" s="1"/>
      <c r="H96" s="1"/>
      <c r="I96" s="1"/>
      <c r="J96" s="2"/>
      <c r="K96" s="1"/>
      <c r="L96" s="1"/>
      <c r="M96" s="1"/>
      <c r="N96" s="1"/>
      <c r="O96" s="1"/>
      <c r="P96" s="1"/>
      <c r="Q96" s="1"/>
      <c r="R96" s="1"/>
      <c r="S96" s="1"/>
      <c r="U96">
        <f>STOXX_HedgeBedarf!C91+'STOXX_HedgeBedarf+01'!C91</f>
        <v>0</v>
      </c>
    </row>
    <row r="97" spans="1:21" x14ac:dyDescent="0.3">
      <c r="A97" s="1"/>
      <c r="B97" s="1"/>
      <c r="C97" s="1"/>
      <c r="D97" s="1"/>
      <c r="E97" s="1"/>
      <c r="F97" s="1"/>
      <c r="G97" s="1"/>
      <c r="H97" s="1"/>
      <c r="I97" s="1"/>
      <c r="J97" s="2"/>
      <c r="K97" s="1"/>
      <c r="L97" s="1"/>
      <c r="M97" s="1"/>
      <c r="N97" s="1"/>
      <c r="O97" s="1"/>
      <c r="P97" s="1"/>
      <c r="Q97" s="1"/>
      <c r="R97" s="1"/>
      <c r="S97" s="1"/>
      <c r="U97">
        <f>STOXX_HedgeBedarf!C92+'STOXX_HedgeBedarf+01'!C92</f>
        <v>0</v>
      </c>
    </row>
    <row r="98" spans="1:21" x14ac:dyDescent="0.3">
      <c r="A98" s="1"/>
      <c r="B98" s="1"/>
      <c r="C98" s="1"/>
      <c r="D98" s="1"/>
      <c r="E98" s="1"/>
      <c r="F98" s="1"/>
      <c r="G98" s="1"/>
      <c r="H98" s="1"/>
      <c r="I98" s="1"/>
      <c r="J98" s="3"/>
      <c r="K98" s="1"/>
      <c r="L98" s="1"/>
      <c r="M98" s="1"/>
      <c r="N98" s="1"/>
      <c r="O98" s="1"/>
      <c r="P98" s="1"/>
      <c r="Q98" s="1"/>
      <c r="R98" s="1"/>
      <c r="S98" s="1"/>
      <c r="U98">
        <f>STOXX_HedgeBedarf!C93+'STOXX_HedgeBedarf+01'!C93</f>
        <v>0</v>
      </c>
    </row>
    <row r="99" spans="1:21" x14ac:dyDescent="0.3">
      <c r="A99" s="1"/>
      <c r="B99" s="1"/>
      <c r="C99" s="1"/>
      <c r="D99" s="1"/>
      <c r="E99" s="1"/>
      <c r="F99" s="1"/>
      <c r="G99" s="1"/>
      <c r="H99" s="1"/>
      <c r="I99" s="1"/>
      <c r="J99" s="1"/>
      <c r="K99" s="1"/>
      <c r="L99" s="1"/>
      <c r="M99" s="1"/>
      <c r="N99" s="1"/>
      <c r="O99" s="1"/>
      <c r="P99" s="1"/>
      <c r="Q99" s="1"/>
      <c r="R99" s="1"/>
      <c r="S99" s="1"/>
      <c r="U99">
        <f>STOXX_HedgeBedarf!C94+'STOXX_HedgeBedarf+01'!C94</f>
        <v>0</v>
      </c>
    </row>
    <row r="100" spans="1:21" x14ac:dyDescent="0.3">
      <c r="A100" s="1"/>
      <c r="B100" s="1"/>
      <c r="C100" s="1"/>
      <c r="D100" s="1"/>
      <c r="E100" s="1"/>
      <c r="F100" s="1"/>
      <c r="G100" s="1"/>
      <c r="H100" s="1"/>
      <c r="I100" s="1"/>
      <c r="J100" s="1"/>
      <c r="K100" s="1"/>
      <c r="L100" s="1"/>
      <c r="M100" s="1"/>
      <c r="N100" s="1"/>
      <c r="O100" s="1"/>
      <c r="P100" s="1"/>
      <c r="Q100" s="1"/>
      <c r="R100" s="1"/>
      <c r="S100" s="1"/>
      <c r="U100">
        <f>STOXX_HedgeBedarf!C95+'STOXX_HedgeBedarf+01'!C95</f>
        <v>0</v>
      </c>
    </row>
    <row r="101" spans="1:21" x14ac:dyDescent="0.3">
      <c r="U101">
        <f>STOXX_HedgeBedarf!C96+'STOXX_HedgeBedarf+01'!C96</f>
        <v>0</v>
      </c>
    </row>
    <row r="102" spans="1:21" x14ac:dyDescent="0.3">
      <c r="U102">
        <f>STOXX_HedgeBedarf!C97+'STOXX_HedgeBedarf+01'!C97</f>
        <v>0</v>
      </c>
    </row>
    <row r="103" spans="1:21" x14ac:dyDescent="0.3">
      <c r="U103">
        <f>STOXX_HedgeBedarf!C98+'STOXX_HedgeBedarf+01'!C98</f>
        <v>0</v>
      </c>
    </row>
    <row r="104" spans="1:21" x14ac:dyDescent="0.3">
      <c r="U104">
        <f>STOXX_HedgeBedarf!C99+'STOXX_HedgeBedarf+01'!C99</f>
        <v>0</v>
      </c>
    </row>
    <row r="105" spans="1:21" x14ac:dyDescent="0.3">
      <c r="U105">
        <f>STOXX_HedgeBedarf!C100+'STOXX_HedgeBedarf+01'!C100</f>
        <v>0</v>
      </c>
    </row>
    <row r="106" spans="1:21" x14ac:dyDescent="0.3">
      <c r="U106">
        <f>STOXX_HedgeBedarf!C101+'STOXX_HedgeBedarf+01'!C101</f>
        <v>0</v>
      </c>
    </row>
    <row r="107" spans="1:21" x14ac:dyDescent="0.3">
      <c r="U107">
        <f>STOXX_HedgeBedarf!C102+'STOXX_HedgeBedarf+01'!C102</f>
        <v>0</v>
      </c>
    </row>
    <row r="108" spans="1:21" x14ac:dyDescent="0.3">
      <c r="U108">
        <f>STOXX_HedgeBedarf!C103+'STOXX_HedgeBedarf+01'!C103</f>
        <v>0</v>
      </c>
    </row>
    <row r="109" spans="1:21" x14ac:dyDescent="0.3">
      <c r="U109">
        <f>STOXX_HedgeBedarf!C104+'STOXX_HedgeBedarf+01'!C104</f>
        <v>0</v>
      </c>
    </row>
    <row r="110" spans="1:21" x14ac:dyDescent="0.3">
      <c r="U110">
        <f>STOXX_HedgeBedarf!C105+'STOXX_HedgeBedarf+01'!C105</f>
        <v>0</v>
      </c>
    </row>
    <row r="111" spans="1:21" x14ac:dyDescent="0.3">
      <c r="U111">
        <f>STOXX_HedgeBedarf!C106+'STOXX_HedgeBedarf+01'!C106</f>
        <v>0</v>
      </c>
    </row>
    <row r="112" spans="1:21" x14ac:dyDescent="0.3">
      <c r="U112">
        <f>STOXX_HedgeBedarf!C107+'STOXX_HedgeBedarf+01'!C107</f>
        <v>0</v>
      </c>
    </row>
    <row r="113" spans="21:21" x14ac:dyDescent="0.3">
      <c r="U113">
        <f>STOXX_HedgeBedarf!C108+'STOXX_HedgeBedarf+01'!C108</f>
        <v>0</v>
      </c>
    </row>
    <row r="114" spans="21:21" x14ac:dyDescent="0.3">
      <c r="U114">
        <f>STOXX_HedgeBedarf!C109+'STOXX_HedgeBedarf+01'!C109</f>
        <v>0</v>
      </c>
    </row>
    <row r="115" spans="21:21" x14ac:dyDescent="0.3">
      <c r="U115">
        <f>STOXX_HedgeBedarf!C110+'STOXX_HedgeBedarf+01'!C110</f>
        <v>0</v>
      </c>
    </row>
    <row r="116" spans="21:21" x14ac:dyDescent="0.3">
      <c r="U116">
        <f>STOXX_HedgeBedarf!C111+'STOXX_HedgeBedarf+01'!C111</f>
        <v>0</v>
      </c>
    </row>
    <row r="117" spans="21:21" x14ac:dyDescent="0.3">
      <c r="U117">
        <f>STOXX_HedgeBedarf!C112+'STOXX_HedgeBedarf+01'!C112</f>
        <v>0</v>
      </c>
    </row>
    <row r="118" spans="21:21" x14ac:dyDescent="0.3">
      <c r="U118">
        <f>STOXX_HedgeBedarf!C113+'STOXX_HedgeBedarf+01'!C113</f>
        <v>0</v>
      </c>
    </row>
    <row r="119" spans="21:21" x14ac:dyDescent="0.3">
      <c r="U119">
        <f>STOXX_HedgeBedarf!C114+'STOXX_HedgeBedarf+01'!C114</f>
        <v>0</v>
      </c>
    </row>
    <row r="120" spans="21:21" x14ac:dyDescent="0.3">
      <c r="U120">
        <f>STOXX_HedgeBedarf!C115+'STOXX_HedgeBedarf+01'!C115</f>
        <v>0</v>
      </c>
    </row>
    <row r="121" spans="21:21" x14ac:dyDescent="0.3">
      <c r="U121">
        <f>STOXX_HedgeBedarf!C116+'STOXX_HedgeBedarf+01'!C116</f>
        <v>0</v>
      </c>
    </row>
    <row r="122" spans="21:21" x14ac:dyDescent="0.3">
      <c r="U122">
        <f>STOXX_HedgeBedarf!C117+'STOXX_HedgeBedarf+01'!C117</f>
        <v>0</v>
      </c>
    </row>
    <row r="123" spans="21:21" x14ac:dyDescent="0.3">
      <c r="U123">
        <f>STOXX_HedgeBedarf!C118+'STOXX_HedgeBedarf+01'!C118</f>
        <v>0</v>
      </c>
    </row>
    <row r="124" spans="21:21" x14ac:dyDescent="0.3">
      <c r="U124">
        <f>STOXX_HedgeBedarf!C119+'STOXX_HedgeBedarf+01'!C119</f>
        <v>0</v>
      </c>
    </row>
    <row r="125" spans="21:21" x14ac:dyDescent="0.3">
      <c r="U125">
        <f>STOXX_HedgeBedarf!C120+'STOXX_HedgeBedarf+01'!C120</f>
        <v>0</v>
      </c>
    </row>
    <row r="126" spans="21:21" x14ac:dyDescent="0.3">
      <c r="U126">
        <f>STOXX_HedgeBedarf!C121+'STOXX_HedgeBedarf+01'!C121</f>
        <v>0</v>
      </c>
    </row>
    <row r="127" spans="21:21" x14ac:dyDescent="0.3">
      <c r="U127">
        <f>STOXX_HedgeBedarf!C122+'STOXX_HedgeBedarf+01'!C122</f>
        <v>0</v>
      </c>
    </row>
    <row r="128" spans="21:21" x14ac:dyDescent="0.3">
      <c r="U128">
        <f>STOXX_HedgeBedarf!C123+'STOXX_HedgeBedarf+01'!C123</f>
        <v>0</v>
      </c>
    </row>
    <row r="129" spans="21:21" x14ac:dyDescent="0.3">
      <c r="U129">
        <f>STOXX_HedgeBedarf!C124+'STOXX_HedgeBedarf+01'!C124</f>
        <v>0</v>
      </c>
    </row>
    <row r="130" spans="21:21" x14ac:dyDescent="0.3">
      <c r="U130">
        <f>STOXX_HedgeBedarf!C125+'STOXX_HedgeBedarf+01'!C125</f>
        <v>0</v>
      </c>
    </row>
    <row r="131" spans="21:21" x14ac:dyDescent="0.3">
      <c r="U131">
        <f>STOXX_HedgeBedarf!C126+'STOXX_HedgeBedarf+01'!C126</f>
        <v>0</v>
      </c>
    </row>
    <row r="132" spans="21:21" x14ac:dyDescent="0.3">
      <c r="U132">
        <f>STOXX_HedgeBedarf!C127+'STOXX_HedgeBedarf+01'!C127</f>
        <v>0</v>
      </c>
    </row>
    <row r="133" spans="21:21" x14ac:dyDescent="0.3">
      <c r="U133">
        <f>STOXX_HedgeBedarf!C128+'STOXX_HedgeBedarf+01'!C128</f>
        <v>0</v>
      </c>
    </row>
    <row r="134" spans="21:21" x14ac:dyDescent="0.3">
      <c r="U134">
        <f>STOXX_HedgeBedarf!C129+'STOXX_HedgeBedarf+01'!C129</f>
        <v>0</v>
      </c>
    </row>
    <row r="135" spans="21:21" x14ac:dyDescent="0.3">
      <c r="U135">
        <f>STOXX_HedgeBedarf!C130+'STOXX_HedgeBedarf+01'!C130</f>
        <v>0</v>
      </c>
    </row>
    <row r="136" spans="21:21" x14ac:dyDescent="0.3">
      <c r="U136">
        <f>STOXX_HedgeBedarf!C131+'STOXX_HedgeBedarf+01'!C131</f>
        <v>0</v>
      </c>
    </row>
    <row r="137" spans="21:21" x14ac:dyDescent="0.3">
      <c r="U137">
        <f>STOXX_HedgeBedarf!C132+'STOXX_HedgeBedarf+01'!C132</f>
        <v>0</v>
      </c>
    </row>
    <row r="138" spans="21:21" x14ac:dyDescent="0.3">
      <c r="U138">
        <f>STOXX_HedgeBedarf!C133+'STOXX_HedgeBedarf+01'!C133</f>
        <v>0</v>
      </c>
    </row>
    <row r="139" spans="21:21" x14ac:dyDescent="0.3">
      <c r="U139">
        <f>STOXX_HedgeBedarf!C134+'STOXX_HedgeBedarf+01'!C134</f>
        <v>0</v>
      </c>
    </row>
    <row r="140" spans="21:21" x14ac:dyDescent="0.3">
      <c r="U140">
        <f>STOXX_HedgeBedarf!C135+'STOXX_HedgeBedarf+01'!C135</f>
        <v>0</v>
      </c>
    </row>
    <row r="141" spans="21:21" x14ac:dyDescent="0.3">
      <c r="U141">
        <f>STOXX_HedgeBedarf!C136+'STOXX_HedgeBedarf+01'!C136</f>
        <v>0</v>
      </c>
    </row>
    <row r="142" spans="21:21" x14ac:dyDescent="0.3">
      <c r="U142">
        <f>STOXX_HedgeBedarf!C137+'STOXX_HedgeBedarf+01'!C137</f>
        <v>0</v>
      </c>
    </row>
    <row r="143" spans="21:21" x14ac:dyDescent="0.3">
      <c r="U143">
        <f>STOXX_HedgeBedarf!C138+'STOXX_HedgeBedarf+01'!C138</f>
        <v>0</v>
      </c>
    </row>
    <row r="144" spans="21:21" x14ac:dyDescent="0.3">
      <c r="U144">
        <f>STOXX_HedgeBedarf!C139+'STOXX_HedgeBedarf+01'!C139</f>
        <v>0</v>
      </c>
    </row>
    <row r="145" spans="21:21" x14ac:dyDescent="0.3">
      <c r="U145">
        <f>STOXX_HedgeBedarf!C140+'STOXX_HedgeBedarf+01'!C140</f>
        <v>0</v>
      </c>
    </row>
    <row r="146" spans="21:21" x14ac:dyDescent="0.3">
      <c r="U146">
        <f>STOXX_HedgeBedarf!C141+'STOXX_HedgeBedarf+01'!C141</f>
        <v>0</v>
      </c>
    </row>
    <row r="147" spans="21:21" x14ac:dyDescent="0.3">
      <c r="U147">
        <f>STOXX_HedgeBedarf!C142+'STOXX_HedgeBedarf+01'!C142</f>
        <v>0</v>
      </c>
    </row>
    <row r="148" spans="21:21" x14ac:dyDescent="0.3">
      <c r="U148">
        <f>STOXX_HedgeBedarf!C143+'STOXX_HedgeBedarf+01'!C143</f>
        <v>0</v>
      </c>
    </row>
    <row r="149" spans="21:21" x14ac:dyDescent="0.3">
      <c r="U149">
        <f>STOXX_HedgeBedarf!C144+'STOXX_HedgeBedarf+01'!C144</f>
        <v>0</v>
      </c>
    </row>
    <row r="150" spans="21:21" x14ac:dyDescent="0.3">
      <c r="U150">
        <f>STOXX_HedgeBedarf!C145+'STOXX_HedgeBedarf+01'!C145</f>
        <v>0</v>
      </c>
    </row>
    <row r="151" spans="21:21" x14ac:dyDescent="0.3">
      <c r="U151">
        <f>STOXX_HedgeBedarf!C146+'STOXX_HedgeBedarf+01'!C146</f>
        <v>0</v>
      </c>
    </row>
    <row r="152" spans="21:21" x14ac:dyDescent="0.3">
      <c r="U152">
        <f>STOXX_HedgeBedarf!C147+'STOXX_HedgeBedarf+01'!C147</f>
        <v>0</v>
      </c>
    </row>
    <row r="153" spans="21:21" x14ac:dyDescent="0.3">
      <c r="U153">
        <f>STOXX_HedgeBedarf!C148+'STOXX_HedgeBedarf+01'!C148</f>
        <v>0</v>
      </c>
    </row>
    <row r="154" spans="21:21" x14ac:dyDescent="0.3">
      <c r="U154">
        <f>STOXX_HedgeBedarf!C149+'STOXX_HedgeBedarf+01'!C149</f>
        <v>0</v>
      </c>
    </row>
    <row r="155" spans="21:21" x14ac:dyDescent="0.3">
      <c r="U155">
        <f>STOXX_HedgeBedarf!C150+'STOXX_HedgeBedarf+01'!C150</f>
        <v>0</v>
      </c>
    </row>
    <row r="156" spans="21:21" x14ac:dyDescent="0.3">
      <c r="U156">
        <f>STOXX_HedgeBedarf!C151+'STOXX_HedgeBedarf+01'!C151</f>
        <v>0</v>
      </c>
    </row>
    <row r="157" spans="21:21" x14ac:dyDescent="0.3">
      <c r="U157">
        <f>STOXX_HedgeBedarf!C152+'STOXX_HedgeBedarf+01'!C152</f>
        <v>0</v>
      </c>
    </row>
    <row r="158" spans="21:21" x14ac:dyDescent="0.3">
      <c r="U158">
        <f>STOXX_HedgeBedarf!C153+'STOXX_HedgeBedarf+01'!C153</f>
        <v>0</v>
      </c>
    </row>
    <row r="159" spans="21:21" x14ac:dyDescent="0.3">
      <c r="U159">
        <f>STOXX_HedgeBedarf!C154+'STOXX_HedgeBedarf+01'!C154</f>
        <v>0</v>
      </c>
    </row>
    <row r="160" spans="21:21" x14ac:dyDescent="0.3">
      <c r="U160">
        <f>STOXX_HedgeBedarf!C155+'STOXX_HedgeBedarf+01'!C155</f>
        <v>0</v>
      </c>
    </row>
    <row r="161" spans="21:21" x14ac:dyDescent="0.3">
      <c r="U161">
        <f>STOXX_HedgeBedarf!C156+'STOXX_HedgeBedarf+01'!C156</f>
        <v>0</v>
      </c>
    </row>
    <row r="162" spans="21:21" x14ac:dyDescent="0.3">
      <c r="U162">
        <f>STOXX_HedgeBedarf!C157+'STOXX_HedgeBedarf+01'!C157</f>
        <v>0</v>
      </c>
    </row>
    <row r="163" spans="21:21" x14ac:dyDescent="0.3">
      <c r="U163">
        <f>STOXX_HedgeBedarf!C158+'STOXX_HedgeBedarf+01'!C158</f>
        <v>0</v>
      </c>
    </row>
    <row r="164" spans="21:21" x14ac:dyDescent="0.3">
      <c r="U164">
        <f>STOXX_HedgeBedarf!C159+'STOXX_HedgeBedarf+01'!C159</f>
        <v>0</v>
      </c>
    </row>
    <row r="165" spans="21:21" x14ac:dyDescent="0.3">
      <c r="U165">
        <f>STOXX_HedgeBedarf!C160+'STOXX_HedgeBedarf+01'!C160</f>
        <v>0</v>
      </c>
    </row>
    <row r="166" spans="21:21" x14ac:dyDescent="0.3">
      <c r="U166">
        <f>STOXX_HedgeBedarf!C161+'STOXX_HedgeBedarf+01'!C161</f>
        <v>0</v>
      </c>
    </row>
    <row r="167" spans="21:21" x14ac:dyDescent="0.3">
      <c r="U167">
        <f>STOXX_HedgeBedarf!C162+'STOXX_HedgeBedarf+01'!C162</f>
        <v>0</v>
      </c>
    </row>
    <row r="168" spans="21:21" x14ac:dyDescent="0.3">
      <c r="U168">
        <f>STOXX_HedgeBedarf!C163+'STOXX_HedgeBedarf+01'!C163</f>
        <v>0</v>
      </c>
    </row>
    <row r="169" spans="21:21" x14ac:dyDescent="0.3">
      <c r="U169">
        <f>STOXX_HedgeBedarf!C164+'STOXX_HedgeBedarf+01'!C164</f>
        <v>0</v>
      </c>
    </row>
    <row r="170" spans="21:21" x14ac:dyDescent="0.3">
      <c r="U170">
        <f>STOXX_HedgeBedarf!C165+'STOXX_HedgeBedarf+01'!C165</f>
        <v>0</v>
      </c>
    </row>
    <row r="171" spans="21:21" x14ac:dyDescent="0.3">
      <c r="U171">
        <f>STOXX_HedgeBedarf!C166+'STOXX_HedgeBedarf+01'!C166</f>
        <v>0</v>
      </c>
    </row>
    <row r="172" spans="21:21" x14ac:dyDescent="0.3">
      <c r="U172">
        <f>STOXX_HedgeBedarf!C167+'STOXX_HedgeBedarf+01'!C167</f>
        <v>0</v>
      </c>
    </row>
    <row r="173" spans="21:21" x14ac:dyDescent="0.3">
      <c r="U173">
        <f>STOXX_HedgeBedarf!C168+'STOXX_HedgeBedarf+01'!C168</f>
        <v>0</v>
      </c>
    </row>
    <row r="174" spans="21:21" x14ac:dyDescent="0.3">
      <c r="U174">
        <f>STOXX_HedgeBedarf!C169+'STOXX_HedgeBedarf+01'!C169</f>
        <v>0</v>
      </c>
    </row>
    <row r="175" spans="21:21" x14ac:dyDescent="0.3">
      <c r="U175">
        <f>STOXX_HedgeBedarf!C170+'STOXX_HedgeBedarf+01'!C170</f>
        <v>0</v>
      </c>
    </row>
    <row r="176" spans="21:21" x14ac:dyDescent="0.3">
      <c r="U176">
        <f>STOXX_HedgeBedarf!C171+'STOXX_HedgeBedarf+01'!C171</f>
        <v>0</v>
      </c>
    </row>
    <row r="177" spans="21:21" x14ac:dyDescent="0.3">
      <c r="U177">
        <f>STOXX_HedgeBedarf!C172+'STOXX_HedgeBedarf+01'!C172</f>
        <v>0</v>
      </c>
    </row>
    <row r="178" spans="21:21" x14ac:dyDescent="0.3">
      <c r="U178">
        <f>STOXX_HedgeBedarf!C173+'STOXX_HedgeBedarf+01'!C173</f>
        <v>0</v>
      </c>
    </row>
    <row r="179" spans="21:21" x14ac:dyDescent="0.3">
      <c r="U179">
        <f>STOXX_HedgeBedarf!C174+'STOXX_HedgeBedarf+01'!C174</f>
        <v>0</v>
      </c>
    </row>
    <row r="180" spans="21:21" x14ac:dyDescent="0.3">
      <c r="U180">
        <f>STOXX_HedgeBedarf!C175+'STOXX_HedgeBedarf+01'!C175</f>
        <v>0</v>
      </c>
    </row>
    <row r="181" spans="21:21" x14ac:dyDescent="0.3">
      <c r="U181">
        <f>STOXX_HedgeBedarf!C176+'STOXX_HedgeBedarf+01'!C176</f>
        <v>0</v>
      </c>
    </row>
    <row r="182" spans="21:21" x14ac:dyDescent="0.3">
      <c r="U182">
        <f>STOXX_HedgeBedarf!C177+'STOXX_HedgeBedarf+01'!C177</f>
        <v>0</v>
      </c>
    </row>
    <row r="183" spans="21:21" x14ac:dyDescent="0.3">
      <c r="U183">
        <f>STOXX_HedgeBedarf!C178+'STOXX_HedgeBedarf+01'!C178</f>
        <v>0</v>
      </c>
    </row>
    <row r="184" spans="21:21" x14ac:dyDescent="0.3">
      <c r="U184">
        <f>STOXX_HedgeBedarf!C179+'STOXX_HedgeBedarf+01'!C179</f>
        <v>0</v>
      </c>
    </row>
    <row r="185" spans="21:21" x14ac:dyDescent="0.3">
      <c r="U185">
        <f>STOXX_HedgeBedarf!C180+'STOXX_HedgeBedarf+01'!C180</f>
        <v>0</v>
      </c>
    </row>
    <row r="186" spans="21:21" x14ac:dyDescent="0.3">
      <c r="U186">
        <f>STOXX_HedgeBedarf!C181+'STOXX_HedgeBedarf+01'!C181</f>
        <v>0</v>
      </c>
    </row>
    <row r="187" spans="21:21" x14ac:dyDescent="0.3">
      <c r="U187">
        <f>STOXX_HedgeBedarf!C182+'STOXX_HedgeBedarf+01'!C182</f>
        <v>0</v>
      </c>
    </row>
    <row r="188" spans="21:21" x14ac:dyDescent="0.3">
      <c r="U188">
        <f>STOXX_HedgeBedarf!C183+'STOXX_HedgeBedarf+01'!C183</f>
        <v>0</v>
      </c>
    </row>
    <row r="189" spans="21:21" x14ac:dyDescent="0.3">
      <c r="U189">
        <f>STOXX_HedgeBedarf!C184+'STOXX_HedgeBedarf+01'!C184</f>
        <v>0</v>
      </c>
    </row>
    <row r="190" spans="21:21" x14ac:dyDescent="0.3">
      <c r="U190">
        <f>STOXX_HedgeBedarf!C185+'STOXX_HedgeBedarf+01'!C185</f>
        <v>0</v>
      </c>
    </row>
    <row r="191" spans="21:21" x14ac:dyDescent="0.3">
      <c r="U191">
        <f>STOXX_HedgeBedarf!C186+'STOXX_HedgeBedarf+01'!C186</f>
        <v>0</v>
      </c>
    </row>
    <row r="192" spans="21:21" x14ac:dyDescent="0.3">
      <c r="U192">
        <f>STOXX_HedgeBedarf!C187+'STOXX_HedgeBedarf+01'!C187</f>
        <v>0</v>
      </c>
    </row>
    <row r="193" spans="21:21" x14ac:dyDescent="0.3">
      <c r="U193">
        <f>STOXX_HedgeBedarf!C188+'STOXX_HedgeBedarf+01'!C188</f>
        <v>0</v>
      </c>
    </row>
    <row r="194" spans="21:21" x14ac:dyDescent="0.3">
      <c r="U194">
        <f>STOXX_HedgeBedarf!C189+'STOXX_HedgeBedarf+01'!C189</f>
        <v>0</v>
      </c>
    </row>
    <row r="195" spans="21:21" x14ac:dyDescent="0.3">
      <c r="U195">
        <f>STOXX_HedgeBedarf!C190+'STOXX_HedgeBedarf+01'!C190</f>
        <v>0</v>
      </c>
    </row>
    <row r="196" spans="21:21" x14ac:dyDescent="0.3">
      <c r="U196">
        <f>STOXX_HedgeBedarf!C191+'STOXX_HedgeBedarf+01'!C191</f>
        <v>0</v>
      </c>
    </row>
    <row r="197" spans="21:21" x14ac:dyDescent="0.3">
      <c r="U197">
        <f>STOXX_HedgeBedarf!C192+'STOXX_HedgeBedarf+01'!C192</f>
        <v>0</v>
      </c>
    </row>
    <row r="198" spans="21:21" x14ac:dyDescent="0.3">
      <c r="U198">
        <f>STOXX_HedgeBedarf!C193+'STOXX_HedgeBedarf+01'!C193</f>
        <v>0</v>
      </c>
    </row>
    <row r="199" spans="21:21" x14ac:dyDescent="0.3">
      <c r="U199">
        <f>STOXX_HedgeBedarf!C194+'STOXX_HedgeBedarf+01'!C194</f>
        <v>0</v>
      </c>
    </row>
    <row r="200" spans="21:21" x14ac:dyDescent="0.3">
      <c r="U200">
        <f>STOXX_HedgeBedarf!C195+'STOXX_HedgeBedarf+01'!C195</f>
        <v>0</v>
      </c>
    </row>
    <row r="201" spans="21:21" x14ac:dyDescent="0.3">
      <c r="U201">
        <f>STOXX_HedgeBedarf!C196+'STOXX_HedgeBedarf+01'!C196</f>
        <v>0</v>
      </c>
    </row>
    <row r="202" spans="21:21" x14ac:dyDescent="0.3">
      <c r="U202">
        <f>STOXX_HedgeBedarf!C197+'STOXX_HedgeBedarf+01'!C197</f>
        <v>0</v>
      </c>
    </row>
    <row r="203" spans="21:21" x14ac:dyDescent="0.3">
      <c r="U203">
        <f>STOXX_HedgeBedarf!C198+'STOXX_HedgeBedarf+01'!C198</f>
        <v>0</v>
      </c>
    </row>
    <row r="204" spans="21:21" x14ac:dyDescent="0.3">
      <c r="U204">
        <f>STOXX_HedgeBedarf!C199+'STOXX_HedgeBedarf+01'!C199</f>
        <v>0</v>
      </c>
    </row>
    <row r="205" spans="21:21" x14ac:dyDescent="0.3">
      <c r="U205">
        <f>STOXX_HedgeBedarf!C200+'STOXX_HedgeBedarf+01'!C200</f>
        <v>0</v>
      </c>
    </row>
    <row r="206" spans="21:21" x14ac:dyDescent="0.3">
      <c r="U206">
        <f>STOXX_HedgeBedarf!C201+'STOXX_HedgeBedarf+01'!C201</f>
        <v>0</v>
      </c>
    </row>
    <row r="207" spans="21:21" x14ac:dyDescent="0.3">
      <c r="U207">
        <f>STOXX_HedgeBedarf!C202+'STOXX_HedgeBedarf+01'!C202</f>
        <v>0</v>
      </c>
    </row>
    <row r="208" spans="21:21" x14ac:dyDescent="0.3">
      <c r="U208">
        <f>STOXX_HedgeBedarf!C203+'STOXX_HedgeBedarf+01'!C203</f>
        <v>0</v>
      </c>
    </row>
    <row r="209" spans="21:21" x14ac:dyDescent="0.3">
      <c r="U209">
        <f>STOXX_HedgeBedarf!C204+'STOXX_HedgeBedarf+01'!C204</f>
        <v>0</v>
      </c>
    </row>
    <row r="210" spans="21:21" x14ac:dyDescent="0.3">
      <c r="U210">
        <f>STOXX_HedgeBedarf!C205+'STOXX_HedgeBedarf+01'!C205</f>
        <v>0</v>
      </c>
    </row>
  </sheetData>
  <mergeCells count="3">
    <mergeCell ref="A1:F1"/>
    <mergeCell ref="G1:H1"/>
    <mergeCell ref="R1:S1"/>
  </mergeCells>
  <conditionalFormatting sqref="B10:B50">
    <cfRule type="cellIs" dxfId="27" priority="3" operator="lessThan">
      <formula>0</formula>
    </cfRule>
    <cfRule type="cellIs" dxfId="26" priority="4" operator="greaterThan">
      <formula>0</formula>
    </cfRule>
  </conditionalFormatting>
  <conditionalFormatting sqref="C10:I50">
    <cfRule type="cellIs" dxfId="25" priority="1" operator="lessThan">
      <formula>0</formula>
    </cfRule>
    <cfRule type="cellIs" dxfId="24" priority="2" operator="greaterThan">
      <formula>0</formula>
    </cfRule>
  </conditionalFormatting>
  <pageMargins left="0.7" right="0.7" top="0.78740157499999996" bottom="0.78740157499999996" header="0.3" footer="0.3"/>
  <pageSetup paperSize="9" orientation="portrait" r:id="rId1"/>
  <colBreaks count="1" manualBreakCount="1">
    <brk id="9" max="1048575" man="1"/>
  </colBreaks>
  <drawing r:id="rId2"/>
  <legacyDrawing r:id="rId3"/>
  <controls>
    <mc:AlternateContent xmlns:mc="http://schemas.openxmlformats.org/markup-compatibility/2006">
      <mc:Choice Requires="x14">
        <control shapeId="2056" r:id="rId4" name="Pdf_Verfall">
          <controlPr defaultSize="0" autoLine="0" r:id="rId5">
            <anchor moveWithCells="1">
              <from>
                <xdr:col>14</xdr:col>
                <xdr:colOff>182880</xdr:colOff>
                <xdr:row>0</xdr:row>
                <xdr:rowOff>121920</xdr:rowOff>
              </from>
              <to>
                <xdr:col>16</xdr:col>
                <xdr:colOff>91440</xdr:colOff>
                <xdr:row>0</xdr:row>
                <xdr:rowOff>495300</xdr:rowOff>
              </to>
            </anchor>
          </controlPr>
        </control>
      </mc:Choice>
      <mc:Fallback>
        <control shapeId="2056" r:id="rId4" name="Pdf_Verfall"/>
      </mc:Fallback>
    </mc:AlternateContent>
    <mc:AlternateContent xmlns:mc="http://schemas.openxmlformats.org/markup-compatibility/2006">
      <mc:Choice Requires="x14">
        <control shapeId="2055" r:id="rId6" name="PDF">
          <controlPr defaultSize="0" autoLine="0" autoPict="0" r:id="rId7">
            <anchor moveWithCells="1">
              <from>
                <xdr:col>9</xdr:col>
                <xdr:colOff>746760</xdr:colOff>
                <xdr:row>5</xdr:row>
                <xdr:rowOff>45720</xdr:rowOff>
              </from>
              <to>
                <xdr:col>11</xdr:col>
                <xdr:colOff>746760</xdr:colOff>
                <xdr:row>6</xdr:row>
                <xdr:rowOff>220980</xdr:rowOff>
              </to>
            </anchor>
          </controlPr>
        </control>
      </mc:Choice>
      <mc:Fallback>
        <control shapeId="2055" r:id="rId6" name="PDF"/>
      </mc:Fallback>
    </mc:AlternateContent>
    <mc:AlternateContent xmlns:mc="http://schemas.openxmlformats.org/markup-compatibility/2006">
      <mc:Choice Requires="x14">
        <control shapeId="2054" r:id="rId8" name="InterimsUeberHaenge">
          <controlPr defaultSize="0" autoLine="0" r:id="rId9">
            <anchor moveWithCells="1">
              <from>
                <xdr:col>24</xdr:col>
                <xdr:colOff>754380</xdr:colOff>
                <xdr:row>0</xdr:row>
                <xdr:rowOff>525780</xdr:rowOff>
              </from>
              <to>
                <xdr:col>26</xdr:col>
                <xdr:colOff>548640</xdr:colOff>
                <xdr:row>1</xdr:row>
                <xdr:rowOff>137160</xdr:rowOff>
              </to>
            </anchor>
          </controlPr>
        </control>
      </mc:Choice>
      <mc:Fallback>
        <control shapeId="2054" r:id="rId8" name="InterimsUeberHaenge"/>
      </mc:Fallback>
    </mc:AlternateContent>
    <mc:AlternateContent xmlns:mc="http://schemas.openxmlformats.org/markup-compatibility/2006">
      <mc:Choice Requires="x14">
        <control shapeId="2053" r:id="rId10" name="VorletzterHandelsTag">
          <controlPr defaultSize="0" autoLine="0" r:id="rId11">
            <anchor moveWithCells="1">
              <from>
                <xdr:col>24</xdr:col>
                <xdr:colOff>754380</xdr:colOff>
                <xdr:row>0</xdr:row>
                <xdr:rowOff>68580</xdr:rowOff>
              </from>
              <to>
                <xdr:col>26</xdr:col>
                <xdr:colOff>548640</xdr:colOff>
                <xdr:row>0</xdr:row>
                <xdr:rowOff>441960</xdr:rowOff>
              </to>
            </anchor>
          </controlPr>
        </control>
      </mc:Choice>
      <mc:Fallback>
        <control shapeId="2053" r:id="rId10" name="VorletzterHandelsTag"/>
      </mc:Fallback>
    </mc:AlternateContent>
    <mc:AlternateContent xmlns:mc="http://schemas.openxmlformats.org/markup-compatibility/2006">
      <mc:Choice Requires="x14">
        <control shapeId="2052" r:id="rId12" name="Hedge">
          <controlPr defaultSize="0" autoLine="0" r:id="rId13">
            <anchor moveWithCells="1">
              <from>
                <xdr:col>12</xdr:col>
                <xdr:colOff>99060</xdr:colOff>
                <xdr:row>0</xdr:row>
                <xdr:rowOff>121920</xdr:rowOff>
              </from>
              <to>
                <xdr:col>13</xdr:col>
                <xdr:colOff>160020</xdr:colOff>
                <xdr:row>0</xdr:row>
                <xdr:rowOff>502920</xdr:rowOff>
              </to>
            </anchor>
          </controlPr>
        </control>
      </mc:Choice>
      <mc:Fallback>
        <control shapeId="2052" r:id="rId12" name="Hedge"/>
      </mc:Fallback>
    </mc:AlternateContent>
    <mc:AlternateContent xmlns:mc="http://schemas.openxmlformats.org/markup-compatibility/2006">
      <mc:Choice Requires="x14">
        <control shapeId="2051" r:id="rId14" name="BoersenAbfrage">
          <controlPr defaultSize="0" autoLine="0" autoPict="0" r:id="rId15">
            <anchor moveWithCells="1">
              <from>
                <xdr:col>9</xdr:col>
                <xdr:colOff>746760</xdr:colOff>
                <xdr:row>0</xdr:row>
                <xdr:rowOff>632460</xdr:rowOff>
              </from>
              <to>
                <xdr:col>12</xdr:col>
                <xdr:colOff>22860</xdr:colOff>
                <xdr:row>2</xdr:row>
                <xdr:rowOff>68580</xdr:rowOff>
              </to>
            </anchor>
          </controlPr>
        </control>
      </mc:Choice>
      <mc:Fallback>
        <control shapeId="2051" r:id="rId14" name="BoersenAbfrage"/>
      </mc:Fallback>
    </mc:AlternateContent>
    <mc:AlternateContent xmlns:mc="http://schemas.openxmlformats.org/markup-compatibility/2006">
      <mc:Choice Requires="x14">
        <control shapeId="2050" r:id="rId16" name="AbfragenDatumUpdaten">
          <controlPr defaultSize="0" autoLine="0" r:id="rId17">
            <anchor moveWithCells="1">
              <from>
                <xdr:col>9</xdr:col>
                <xdr:colOff>746760</xdr:colOff>
                <xdr:row>0</xdr:row>
                <xdr:rowOff>121920</xdr:rowOff>
              </from>
              <to>
                <xdr:col>13</xdr:col>
                <xdr:colOff>220980</xdr:colOff>
                <xdr:row>1</xdr:row>
                <xdr:rowOff>160020</xdr:rowOff>
              </to>
            </anchor>
          </controlPr>
        </control>
      </mc:Choice>
      <mc:Fallback>
        <control shapeId="2050" r:id="rId16" name="AbfragenDatumUpdaten"/>
      </mc:Fallback>
    </mc:AlternateContent>
    <mc:AlternateContent xmlns:mc="http://schemas.openxmlformats.org/markup-compatibility/2006">
      <mc:Choice Requires="x14">
        <control shapeId="2049" r:id="rId18" name="Start">
          <controlPr defaultSize="0" autoLine="0" autoPict="0" r:id="rId19">
            <anchor moveWithCells="1">
              <from>
                <xdr:col>9</xdr:col>
                <xdr:colOff>746760</xdr:colOff>
                <xdr:row>2</xdr:row>
                <xdr:rowOff>152400</xdr:rowOff>
              </from>
              <to>
                <xdr:col>12</xdr:col>
                <xdr:colOff>0</xdr:colOff>
                <xdr:row>4</xdr:row>
                <xdr:rowOff>121920</xdr:rowOff>
              </to>
            </anchor>
          </controlPr>
        </control>
      </mc:Choice>
      <mc:Fallback>
        <control shapeId="2049" r:id="rId18" name="Start"/>
      </mc:Fallback>
    </mc:AlternateContent>
    <mc:AlternateContent xmlns:mc="http://schemas.openxmlformats.org/markup-compatibility/2006">
      <mc:Choice Requires="x14">
        <control shapeId="2057" r:id="rId20" name="KontrakteUpdaten">
          <controlPr defaultSize="0" autoLine="0" autoPict="0" r:id="rId21">
            <anchor moveWithCells="1">
              <from>
                <xdr:col>20</xdr:col>
                <xdr:colOff>7620</xdr:colOff>
                <xdr:row>0</xdr:row>
                <xdr:rowOff>121920</xdr:rowOff>
              </from>
              <to>
                <xdr:col>21</xdr:col>
                <xdr:colOff>419100</xdr:colOff>
                <xdr:row>0</xdr:row>
                <xdr:rowOff>495300</xdr:rowOff>
              </to>
            </anchor>
          </controlPr>
        </control>
      </mc:Choice>
      <mc:Fallback>
        <control shapeId="2057" r:id="rId20" name="KontrakteUpdate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B1BA-69E8-4310-8467-C591CCF1A622}">
  <dimension ref="A1:J149"/>
  <sheetViews>
    <sheetView topLeftCell="A76" workbookViewId="0">
      <selection activeCell="E91" sqref="E91"/>
    </sheetView>
  </sheetViews>
  <sheetFormatPr baseColWidth="10" defaultColWidth="8.88671875" defaultRowHeight="14.4" x14ac:dyDescent="0.3"/>
  <sheetData>
    <row r="1" spans="1:10" x14ac:dyDescent="0.3">
      <c r="A1" s="138" t="s">
        <v>277</v>
      </c>
      <c r="B1" s="138" t="s">
        <v>276</v>
      </c>
      <c r="C1" s="138" t="s">
        <v>275</v>
      </c>
      <c r="D1" s="138" t="s">
        <v>274</v>
      </c>
      <c r="E1" s="138" t="s">
        <v>273</v>
      </c>
      <c r="F1" s="138" t="s">
        <v>272</v>
      </c>
      <c r="G1" s="138" t="s">
        <v>271</v>
      </c>
      <c r="H1" s="138" t="s">
        <v>270</v>
      </c>
      <c r="I1" s="138" t="s">
        <v>269</v>
      </c>
      <c r="J1" s="138" t="s">
        <v>268</v>
      </c>
    </row>
    <row r="2" spans="1:10" x14ac:dyDescent="0.3">
      <c r="A2" t="s">
        <v>267</v>
      </c>
      <c r="B2">
        <v>1000</v>
      </c>
      <c r="C2">
        <v>0</v>
      </c>
      <c r="D2">
        <v>0</v>
      </c>
      <c r="E2">
        <v>0</v>
      </c>
      <c r="F2">
        <v>0</v>
      </c>
      <c r="G2">
        <v>0</v>
      </c>
      <c r="H2">
        <v>0</v>
      </c>
      <c r="I2">
        <v>0</v>
      </c>
      <c r="J2">
        <v>3027.1</v>
      </c>
    </row>
    <row r="3" spans="1:10" x14ac:dyDescent="0.3">
      <c r="A3" t="s">
        <v>267</v>
      </c>
      <c r="B3">
        <v>1100</v>
      </c>
      <c r="C3">
        <v>0</v>
      </c>
      <c r="D3">
        <v>0</v>
      </c>
      <c r="E3">
        <v>0</v>
      </c>
      <c r="F3">
        <v>0</v>
      </c>
      <c r="G3">
        <v>0</v>
      </c>
      <c r="H3">
        <v>0</v>
      </c>
      <c r="I3">
        <v>0</v>
      </c>
      <c r="J3">
        <v>2927.5</v>
      </c>
    </row>
    <row r="4" spans="1:10" x14ac:dyDescent="0.3">
      <c r="A4" t="s">
        <v>267</v>
      </c>
      <c r="B4">
        <v>1200</v>
      </c>
      <c r="C4">
        <v>0</v>
      </c>
      <c r="D4">
        <v>0</v>
      </c>
      <c r="E4">
        <v>1</v>
      </c>
      <c r="F4">
        <v>0</v>
      </c>
      <c r="G4">
        <v>0</v>
      </c>
      <c r="H4">
        <v>0</v>
      </c>
      <c r="I4">
        <v>0</v>
      </c>
      <c r="J4">
        <v>2827.8</v>
      </c>
    </row>
    <row r="5" spans="1:10" x14ac:dyDescent="0.3">
      <c r="A5" t="s">
        <v>267</v>
      </c>
      <c r="B5">
        <v>1300</v>
      </c>
      <c r="C5">
        <v>0</v>
      </c>
      <c r="D5">
        <v>0</v>
      </c>
      <c r="E5">
        <v>0</v>
      </c>
      <c r="F5">
        <v>0</v>
      </c>
      <c r="G5">
        <v>0</v>
      </c>
      <c r="H5">
        <v>0</v>
      </c>
      <c r="I5">
        <v>0</v>
      </c>
      <c r="J5">
        <v>2728.1</v>
      </c>
    </row>
    <row r="6" spans="1:10" x14ac:dyDescent="0.3">
      <c r="A6" t="s">
        <v>267</v>
      </c>
      <c r="B6">
        <v>1400</v>
      </c>
      <c r="C6">
        <v>0</v>
      </c>
      <c r="D6">
        <v>0</v>
      </c>
      <c r="E6">
        <v>0</v>
      </c>
      <c r="F6">
        <v>0</v>
      </c>
      <c r="G6">
        <v>0</v>
      </c>
      <c r="H6">
        <v>0</v>
      </c>
      <c r="I6">
        <v>0</v>
      </c>
      <c r="J6">
        <v>2628.4</v>
      </c>
    </row>
    <row r="7" spans="1:10" x14ac:dyDescent="0.3">
      <c r="A7" t="s">
        <v>267</v>
      </c>
      <c r="B7">
        <v>1500</v>
      </c>
      <c r="C7">
        <v>0</v>
      </c>
      <c r="D7">
        <v>0</v>
      </c>
      <c r="E7">
        <v>0</v>
      </c>
      <c r="F7">
        <v>0</v>
      </c>
      <c r="G7">
        <v>0</v>
      </c>
      <c r="H7">
        <v>0</v>
      </c>
      <c r="I7">
        <v>0</v>
      </c>
      <c r="J7">
        <v>2528.6999999999998</v>
      </c>
    </row>
    <row r="8" spans="1:10" x14ac:dyDescent="0.3">
      <c r="A8" t="s">
        <v>267</v>
      </c>
      <c r="B8">
        <v>1600</v>
      </c>
      <c r="C8">
        <v>0</v>
      </c>
      <c r="D8">
        <v>0</v>
      </c>
      <c r="E8">
        <v>0</v>
      </c>
      <c r="F8">
        <v>0</v>
      </c>
      <c r="G8">
        <v>0</v>
      </c>
      <c r="H8">
        <v>0</v>
      </c>
      <c r="I8">
        <v>0</v>
      </c>
      <c r="J8">
        <v>2429</v>
      </c>
    </row>
    <row r="9" spans="1:10" x14ac:dyDescent="0.3">
      <c r="A9" t="s">
        <v>267</v>
      </c>
      <c r="B9">
        <v>1700</v>
      </c>
      <c r="C9">
        <v>0</v>
      </c>
      <c r="D9">
        <v>0</v>
      </c>
      <c r="E9">
        <v>0</v>
      </c>
      <c r="F9">
        <v>0</v>
      </c>
      <c r="G9">
        <v>0</v>
      </c>
      <c r="H9">
        <v>0</v>
      </c>
      <c r="I9">
        <v>0</v>
      </c>
      <c r="J9">
        <v>2329.3000000000002</v>
      </c>
    </row>
    <row r="10" spans="1:10" x14ac:dyDescent="0.3">
      <c r="A10" t="s">
        <v>267</v>
      </c>
      <c r="B10">
        <v>1800</v>
      </c>
      <c r="C10">
        <v>0</v>
      </c>
      <c r="D10">
        <v>0</v>
      </c>
      <c r="E10">
        <v>0</v>
      </c>
      <c r="F10">
        <v>0</v>
      </c>
      <c r="G10">
        <v>0</v>
      </c>
      <c r="H10">
        <v>0</v>
      </c>
      <c r="I10">
        <v>0</v>
      </c>
      <c r="J10">
        <v>2229.6</v>
      </c>
    </row>
    <row r="11" spans="1:10" x14ac:dyDescent="0.3">
      <c r="A11" t="s">
        <v>267</v>
      </c>
      <c r="B11">
        <v>1850</v>
      </c>
      <c r="C11">
        <v>0</v>
      </c>
      <c r="D11">
        <v>0</v>
      </c>
      <c r="E11">
        <v>0</v>
      </c>
      <c r="F11">
        <v>0</v>
      </c>
      <c r="G11">
        <v>0</v>
      </c>
      <c r="H11">
        <v>0</v>
      </c>
      <c r="I11">
        <v>0</v>
      </c>
      <c r="J11">
        <v>2179.8000000000002</v>
      </c>
    </row>
    <row r="12" spans="1:10" x14ac:dyDescent="0.3">
      <c r="A12" t="s">
        <v>267</v>
      </c>
      <c r="B12">
        <v>1900</v>
      </c>
      <c r="C12">
        <v>0</v>
      </c>
      <c r="D12">
        <v>0</v>
      </c>
      <c r="E12">
        <v>0</v>
      </c>
      <c r="F12">
        <v>0</v>
      </c>
      <c r="G12">
        <v>0</v>
      </c>
      <c r="H12">
        <v>0</v>
      </c>
      <c r="I12">
        <v>0</v>
      </c>
      <c r="J12">
        <v>2129.9</v>
      </c>
    </row>
    <row r="13" spans="1:10" x14ac:dyDescent="0.3">
      <c r="A13" t="s">
        <v>267</v>
      </c>
      <c r="B13">
        <v>1950</v>
      </c>
      <c r="C13">
        <v>0</v>
      </c>
      <c r="D13">
        <v>0</v>
      </c>
      <c r="E13">
        <v>800</v>
      </c>
      <c r="F13">
        <v>0</v>
      </c>
      <c r="G13">
        <v>0</v>
      </c>
      <c r="H13">
        <v>0</v>
      </c>
      <c r="I13">
        <v>0</v>
      </c>
      <c r="J13">
        <v>2080.1</v>
      </c>
    </row>
    <row r="14" spans="1:10" x14ac:dyDescent="0.3">
      <c r="A14" t="s">
        <v>267</v>
      </c>
      <c r="B14">
        <v>2000</v>
      </c>
      <c r="C14">
        <v>0</v>
      </c>
      <c r="D14">
        <v>1</v>
      </c>
      <c r="E14">
        <v>1</v>
      </c>
      <c r="F14">
        <v>0</v>
      </c>
      <c r="G14">
        <v>0</v>
      </c>
      <c r="H14">
        <v>0</v>
      </c>
      <c r="I14">
        <v>0</v>
      </c>
      <c r="J14">
        <v>2030.3</v>
      </c>
    </row>
    <row r="15" spans="1:10" x14ac:dyDescent="0.3">
      <c r="A15" t="s">
        <v>267</v>
      </c>
      <c r="B15">
        <v>2050</v>
      </c>
      <c r="C15">
        <v>0</v>
      </c>
      <c r="D15">
        <v>0</v>
      </c>
      <c r="E15">
        <v>0</v>
      </c>
      <c r="F15">
        <v>0</v>
      </c>
      <c r="G15">
        <v>0</v>
      </c>
      <c r="H15">
        <v>0</v>
      </c>
      <c r="I15">
        <v>0</v>
      </c>
      <c r="J15">
        <v>1980.5</v>
      </c>
    </row>
    <row r="16" spans="1:10" x14ac:dyDescent="0.3">
      <c r="A16" t="s">
        <v>267</v>
      </c>
      <c r="B16">
        <v>2100</v>
      </c>
      <c r="C16">
        <v>0</v>
      </c>
      <c r="D16">
        <v>0</v>
      </c>
      <c r="E16">
        <v>0</v>
      </c>
      <c r="F16">
        <v>0</v>
      </c>
      <c r="G16">
        <v>0</v>
      </c>
      <c r="H16">
        <v>0</v>
      </c>
      <c r="I16">
        <v>0</v>
      </c>
      <c r="J16">
        <v>1930.6</v>
      </c>
    </row>
    <row r="17" spans="1:10" x14ac:dyDescent="0.3">
      <c r="A17" t="s">
        <v>267</v>
      </c>
      <c r="B17">
        <v>2150</v>
      </c>
      <c r="C17">
        <v>0</v>
      </c>
      <c r="D17">
        <v>0</v>
      </c>
      <c r="E17">
        <v>0</v>
      </c>
      <c r="F17">
        <v>0</v>
      </c>
      <c r="G17">
        <v>0</v>
      </c>
      <c r="H17">
        <v>0</v>
      </c>
      <c r="I17">
        <v>0</v>
      </c>
      <c r="J17">
        <v>1880.8</v>
      </c>
    </row>
    <row r="18" spans="1:10" x14ac:dyDescent="0.3">
      <c r="A18" t="s">
        <v>267</v>
      </c>
      <c r="B18">
        <v>2200</v>
      </c>
      <c r="C18">
        <v>0</v>
      </c>
      <c r="D18">
        <v>0</v>
      </c>
      <c r="E18">
        <v>0</v>
      </c>
      <c r="F18">
        <v>0</v>
      </c>
      <c r="G18">
        <v>0</v>
      </c>
      <c r="H18">
        <v>0</v>
      </c>
      <c r="I18">
        <v>0</v>
      </c>
      <c r="J18">
        <v>1831</v>
      </c>
    </row>
    <row r="19" spans="1:10" x14ac:dyDescent="0.3">
      <c r="A19" t="s">
        <v>267</v>
      </c>
      <c r="B19">
        <v>2250</v>
      </c>
      <c r="C19">
        <v>0</v>
      </c>
      <c r="D19">
        <v>0</v>
      </c>
      <c r="E19">
        <v>0</v>
      </c>
      <c r="F19">
        <v>0</v>
      </c>
      <c r="G19">
        <v>0</v>
      </c>
      <c r="H19">
        <v>0</v>
      </c>
      <c r="I19">
        <v>0</v>
      </c>
      <c r="J19">
        <v>1781.2</v>
      </c>
    </row>
    <row r="20" spans="1:10" x14ac:dyDescent="0.3">
      <c r="A20" t="s">
        <v>267</v>
      </c>
      <c r="B20">
        <v>2275</v>
      </c>
      <c r="C20">
        <v>0</v>
      </c>
      <c r="D20">
        <v>0</v>
      </c>
      <c r="E20">
        <v>0</v>
      </c>
      <c r="F20">
        <v>0</v>
      </c>
      <c r="G20">
        <v>0</v>
      </c>
      <c r="H20">
        <v>0</v>
      </c>
      <c r="I20">
        <v>0</v>
      </c>
      <c r="J20">
        <v>1756.3</v>
      </c>
    </row>
    <row r="21" spans="1:10" x14ac:dyDescent="0.3">
      <c r="A21" t="s">
        <v>267</v>
      </c>
      <c r="B21">
        <v>2300</v>
      </c>
      <c r="C21">
        <v>0</v>
      </c>
      <c r="D21">
        <v>0</v>
      </c>
      <c r="E21">
        <v>0</v>
      </c>
      <c r="F21">
        <v>0</v>
      </c>
      <c r="G21">
        <v>0</v>
      </c>
      <c r="H21">
        <v>0</v>
      </c>
      <c r="I21">
        <v>0</v>
      </c>
      <c r="J21">
        <v>1731.4</v>
      </c>
    </row>
    <row r="22" spans="1:10" x14ac:dyDescent="0.3">
      <c r="A22" t="s">
        <v>267</v>
      </c>
      <c r="B22">
        <v>2325</v>
      </c>
      <c r="C22">
        <v>0</v>
      </c>
      <c r="D22">
        <v>0</v>
      </c>
      <c r="E22">
        <v>0</v>
      </c>
      <c r="F22">
        <v>0</v>
      </c>
      <c r="G22">
        <v>0</v>
      </c>
      <c r="H22">
        <v>0</v>
      </c>
      <c r="I22">
        <v>0</v>
      </c>
      <c r="J22">
        <v>1706.5</v>
      </c>
    </row>
    <row r="23" spans="1:10" x14ac:dyDescent="0.3">
      <c r="A23" t="s">
        <v>267</v>
      </c>
      <c r="B23">
        <v>2350</v>
      </c>
      <c r="C23">
        <v>0</v>
      </c>
      <c r="D23">
        <v>0</v>
      </c>
      <c r="E23">
        <v>0</v>
      </c>
      <c r="F23">
        <v>0</v>
      </c>
      <c r="G23">
        <v>0</v>
      </c>
      <c r="H23">
        <v>0</v>
      </c>
      <c r="I23">
        <v>0</v>
      </c>
      <c r="J23">
        <v>1681.6</v>
      </c>
    </row>
    <row r="24" spans="1:10" x14ac:dyDescent="0.3">
      <c r="A24" t="s">
        <v>267</v>
      </c>
      <c r="B24">
        <v>2375</v>
      </c>
      <c r="C24">
        <v>0</v>
      </c>
      <c r="D24">
        <v>0</v>
      </c>
      <c r="E24">
        <v>0</v>
      </c>
      <c r="F24">
        <v>0</v>
      </c>
      <c r="G24">
        <v>0</v>
      </c>
      <c r="H24">
        <v>0</v>
      </c>
      <c r="I24">
        <v>0</v>
      </c>
      <c r="J24">
        <v>1656.7</v>
      </c>
    </row>
    <row r="25" spans="1:10" x14ac:dyDescent="0.3">
      <c r="A25" t="s">
        <v>267</v>
      </c>
      <c r="B25">
        <v>2400</v>
      </c>
      <c r="C25">
        <v>0</v>
      </c>
      <c r="D25">
        <v>0</v>
      </c>
      <c r="E25">
        <v>0</v>
      </c>
      <c r="F25">
        <v>0</v>
      </c>
      <c r="G25">
        <v>0</v>
      </c>
      <c r="H25">
        <v>0</v>
      </c>
      <c r="I25">
        <v>0</v>
      </c>
      <c r="J25">
        <v>1631.9</v>
      </c>
    </row>
    <row r="26" spans="1:10" x14ac:dyDescent="0.3">
      <c r="A26" t="s">
        <v>267</v>
      </c>
      <c r="B26">
        <v>2425</v>
      </c>
      <c r="C26">
        <v>0</v>
      </c>
      <c r="D26">
        <v>0</v>
      </c>
      <c r="E26">
        <v>0</v>
      </c>
      <c r="F26">
        <v>0</v>
      </c>
      <c r="G26">
        <v>0</v>
      </c>
      <c r="H26">
        <v>0</v>
      </c>
      <c r="I26">
        <v>0</v>
      </c>
      <c r="J26">
        <v>1607</v>
      </c>
    </row>
    <row r="27" spans="1:10" x14ac:dyDescent="0.3">
      <c r="A27" t="s">
        <v>267</v>
      </c>
      <c r="B27">
        <v>2450</v>
      </c>
      <c r="C27">
        <v>0</v>
      </c>
      <c r="D27">
        <v>0</v>
      </c>
      <c r="E27">
        <v>0</v>
      </c>
      <c r="F27">
        <v>0</v>
      </c>
      <c r="G27">
        <v>0</v>
      </c>
      <c r="H27">
        <v>0</v>
      </c>
      <c r="I27">
        <v>0</v>
      </c>
      <c r="J27">
        <v>1582.1</v>
      </c>
    </row>
    <row r="28" spans="1:10" x14ac:dyDescent="0.3">
      <c r="A28" t="s">
        <v>267</v>
      </c>
      <c r="B28">
        <v>2475</v>
      </c>
      <c r="C28">
        <v>0</v>
      </c>
      <c r="D28">
        <v>0</v>
      </c>
      <c r="E28">
        <v>0</v>
      </c>
      <c r="F28">
        <v>0</v>
      </c>
      <c r="G28">
        <v>0</v>
      </c>
      <c r="H28">
        <v>0</v>
      </c>
      <c r="I28">
        <v>0</v>
      </c>
      <c r="J28">
        <v>1557.2</v>
      </c>
    </row>
    <row r="29" spans="1:10" x14ac:dyDescent="0.3">
      <c r="A29" t="s">
        <v>267</v>
      </c>
      <c r="B29">
        <v>2500</v>
      </c>
      <c r="C29">
        <v>0</v>
      </c>
      <c r="D29">
        <v>0</v>
      </c>
      <c r="E29">
        <v>0</v>
      </c>
      <c r="F29">
        <v>0</v>
      </c>
      <c r="G29">
        <v>0</v>
      </c>
      <c r="H29">
        <v>0</v>
      </c>
      <c r="I29">
        <v>0</v>
      </c>
      <c r="J29">
        <v>1532.3</v>
      </c>
    </row>
    <row r="30" spans="1:10" x14ac:dyDescent="0.3">
      <c r="A30" t="s">
        <v>267</v>
      </c>
      <c r="B30">
        <v>2525</v>
      </c>
      <c r="C30">
        <v>0</v>
      </c>
      <c r="D30">
        <v>0</v>
      </c>
      <c r="E30">
        <v>0</v>
      </c>
      <c r="F30">
        <v>0</v>
      </c>
      <c r="G30">
        <v>0</v>
      </c>
      <c r="H30">
        <v>0</v>
      </c>
      <c r="I30">
        <v>0</v>
      </c>
      <c r="J30">
        <v>1507.5</v>
      </c>
    </row>
    <row r="31" spans="1:10" x14ac:dyDescent="0.3">
      <c r="A31" t="s">
        <v>267</v>
      </c>
      <c r="B31">
        <v>2550</v>
      </c>
      <c r="C31">
        <v>0</v>
      </c>
      <c r="D31">
        <v>1</v>
      </c>
      <c r="E31">
        <v>1</v>
      </c>
      <c r="F31">
        <v>0</v>
      </c>
      <c r="G31">
        <v>0</v>
      </c>
      <c r="H31">
        <v>0</v>
      </c>
      <c r="I31">
        <v>0</v>
      </c>
      <c r="J31">
        <v>1482.6</v>
      </c>
    </row>
    <row r="32" spans="1:10" x14ac:dyDescent="0.3">
      <c r="A32" t="s">
        <v>267</v>
      </c>
      <c r="B32">
        <v>2575</v>
      </c>
      <c r="C32">
        <v>0</v>
      </c>
      <c r="D32">
        <v>0</v>
      </c>
      <c r="E32">
        <v>0</v>
      </c>
      <c r="F32">
        <v>0</v>
      </c>
      <c r="G32">
        <v>0</v>
      </c>
      <c r="H32">
        <v>0</v>
      </c>
      <c r="I32">
        <v>0</v>
      </c>
      <c r="J32">
        <v>1457.7</v>
      </c>
    </row>
    <row r="33" spans="1:10" x14ac:dyDescent="0.3">
      <c r="A33" t="s">
        <v>267</v>
      </c>
      <c r="B33">
        <v>2600</v>
      </c>
      <c r="C33">
        <v>0</v>
      </c>
      <c r="D33">
        <v>0</v>
      </c>
      <c r="E33">
        <v>0</v>
      </c>
      <c r="F33">
        <v>0</v>
      </c>
      <c r="G33">
        <v>0</v>
      </c>
      <c r="H33">
        <v>0</v>
      </c>
      <c r="I33">
        <v>0</v>
      </c>
      <c r="J33">
        <v>1432.8</v>
      </c>
    </row>
    <row r="34" spans="1:10" x14ac:dyDescent="0.3">
      <c r="A34" t="s">
        <v>267</v>
      </c>
      <c r="B34">
        <v>2625</v>
      </c>
      <c r="C34">
        <v>0</v>
      </c>
      <c r="D34">
        <v>0</v>
      </c>
      <c r="E34">
        <v>0</v>
      </c>
      <c r="F34">
        <v>0</v>
      </c>
      <c r="G34">
        <v>0</v>
      </c>
      <c r="H34">
        <v>0</v>
      </c>
      <c r="I34">
        <v>0</v>
      </c>
      <c r="J34">
        <v>1408</v>
      </c>
    </row>
    <row r="35" spans="1:10" x14ac:dyDescent="0.3">
      <c r="A35" t="s">
        <v>267</v>
      </c>
      <c r="B35">
        <v>2650</v>
      </c>
      <c r="C35">
        <v>0</v>
      </c>
      <c r="D35">
        <v>0</v>
      </c>
      <c r="E35">
        <v>0</v>
      </c>
      <c r="F35">
        <v>0</v>
      </c>
      <c r="G35">
        <v>0</v>
      </c>
      <c r="H35">
        <v>0</v>
      </c>
      <c r="I35">
        <v>0</v>
      </c>
      <c r="J35">
        <v>1383.1</v>
      </c>
    </row>
    <row r="36" spans="1:10" x14ac:dyDescent="0.3">
      <c r="A36" t="s">
        <v>267</v>
      </c>
      <c r="B36">
        <v>2675</v>
      </c>
      <c r="C36">
        <v>0</v>
      </c>
      <c r="D36">
        <v>0</v>
      </c>
      <c r="E36">
        <v>0</v>
      </c>
      <c r="F36">
        <v>0</v>
      </c>
      <c r="G36">
        <v>0</v>
      </c>
      <c r="H36">
        <v>0</v>
      </c>
      <c r="I36">
        <v>0</v>
      </c>
      <c r="J36">
        <v>1358.3</v>
      </c>
    </row>
    <row r="37" spans="1:10" x14ac:dyDescent="0.3">
      <c r="A37" t="s">
        <v>267</v>
      </c>
      <c r="B37">
        <v>2700</v>
      </c>
      <c r="C37">
        <v>0</v>
      </c>
      <c r="D37">
        <v>0</v>
      </c>
      <c r="E37">
        <v>0</v>
      </c>
      <c r="F37">
        <v>0</v>
      </c>
      <c r="G37">
        <v>0</v>
      </c>
      <c r="H37">
        <v>0</v>
      </c>
      <c r="I37">
        <v>0</v>
      </c>
      <c r="J37">
        <v>1333.4</v>
      </c>
    </row>
    <row r="38" spans="1:10" x14ac:dyDescent="0.3">
      <c r="A38" t="s">
        <v>267</v>
      </c>
      <c r="B38">
        <v>2725</v>
      </c>
      <c r="C38">
        <v>0</v>
      </c>
      <c r="D38">
        <v>0</v>
      </c>
      <c r="E38">
        <v>0</v>
      </c>
      <c r="F38">
        <v>0</v>
      </c>
      <c r="G38">
        <v>0</v>
      </c>
      <c r="H38">
        <v>0</v>
      </c>
      <c r="I38">
        <v>0</v>
      </c>
      <c r="J38">
        <v>1308.5999999999999</v>
      </c>
    </row>
    <row r="39" spans="1:10" x14ac:dyDescent="0.3">
      <c r="A39" t="s">
        <v>267</v>
      </c>
      <c r="B39">
        <v>2750</v>
      </c>
      <c r="C39">
        <v>0</v>
      </c>
      <c r="D39">
        <v>0</v>
      </c>
      <c r="E39">
        <v>0</v>
      </c>
      <c r="F39">
        <v>0</v>
      </c>
      <c r="G39">
        <v>0</v>
      </c>
      <c r="H39">
        <v>0</v>
      </c>
      <c r="I39">
        <v>0</v>
      </c>
      <c r="J39">
        <v>1283.7</v>
      </c>
    </row>
    <row r="40" spans="1:10" x14ac:dyDescent="0.3">
      <c r="A40" t="s">
        <v>267</v>
      </c>
      <c r="B40">
        <v>2775</v>
      </c>
      <c r="C40">
        <v>0</v>
      </c>
      <c r="D40">
        <v>0</v>
      </c>
      <c r="E40">
        <v>30</v>
      </c>
      <c r="F40">
        <v>0</v>
      </c>
      <c r="G40">
        <v>0</v>
      </c>
      <c r="H40">
        <v>0</v>
      </c>
      <c r="I40">
        <v>0</v>
      </c>
      <c r="J40">
        <v>1258.9000000000001</v>
      </c>
    </row>
    <row r="41" spans="1:10" x14ac:dyDescent="0.3">
      <c r="A41" t="s">
        <v>267</v>
      </c>
      <c r="B41">
        <v>2800</v>
      </c>
      <c r="C41">
        <v>0</v>
      </c>
      <c r="D41">
        <v>0</v>
      </c>
      <c r="E41">
        <v>0</v>
      </c>
      <c r="F41">
        <v>0</v>
      </c>
      <c r="G41">
        <v>0</v>
      </c>
      <c r="H41">
        <v>0</v>
      </c>
      <c r="I41">
        <v>0</v>
      </c>
      <c r="J41">
        <v>1234</v>
      </c>
    </row>
    <row r="42" spans="1:10" x14ac:dyDescent="0.3">
      <c r="A42" t="s">
        <v>267</v>
      </c>
      <c r="B42">
        <v>2825</v>
      </c>
      <c r="C42">
        <v>0</v>
      </c>
      <c r="D42">
        <v>0</v>
      </c>
      <c r="E42">
        <v>0</v>
      </c>
      <c r="F42">
        <v>0</v>
      </c>
      <c r="G42">
        <v>0</v>
      </c>
      <c r="H42">
        <v>0</v>
      </c>
      <c r="I42">
        <v>0</v>
      </c>
      <c r="J42">
        <v>1209.2</v>
      </c>
    </row>
    <row r="43" spans="1:10" x14ac:dyDescent="0.3">
      <c r="A43" t="s">
        <v>267</v>
      </c>
      <c r="B43">
        <v>2850</v>
      </c>
      <c r="C43">
        <v>0</v>
      </c>
      <c r="D43">
        <v>0</v>
      </c>
      <c r="E43">
        <v>30</v>
      </c>
      <c r="F43">
        <v>0</v>
      </c>
      <c r="G43">
        <v>0</v>
      </c>
      <c r="H43">
        <v>0</v>
      </c>
      <c r="I43">
        <v>0</v>
      </c>
      <c r="J43">
        <v>1184.4000000000001</v>
      </c>
    </row>
    <row r="44" spans="1:10" x14ac:dyDescent="0.3">
      <c r="A44" t="s">
        <v>267</v>
      </c>
      <c r="B44">
        <v>2875</v>
      </c>
      <c r="C44">
        <v>0</v>
      </c>
      <c r="D44">
        <v>0</v>
      </c>
      <c r="E44">
        <v>0</v>
      </c>
      <c r="F44">
        <v>0</v>
      </c>
      <c r="G44">
        <v>0</v>
      </c>
      <c r="H44">
        <v>0</v>
      </c>
      <c r="I44">
        <v>0</v>
      </c>
      <c r="J44">
        <v>1159.5</v>
      </c>
    </row>
    <row r="45" spans="1:10" x14ac:dyDescent="0.3">
      <c r="A45" t="s">
        <v>267</v>
      </c>
      <c r="B45">
        <v>2900</v>
      </c>
      <c r="C45">
        <v>0</v>
      </c>
      <c r="D45">
        <v>0</v>
      </c>
      <c r="E45">
        <v>0</v>
      </c>
      <c r="F45">
        <v>0</v>
      </c>
      <c r="G45">
        <v>0</v>
      </c>
      <c r="H45">
        <v>0</v>
      </c>
      <c r="I45">
        <v>0</v>
      </c>
      <c r="J45">
        <v>1134.7</v>
      </c>
    </row>
    <row r="46" spans="1:10" x14ac:dyDescent="0.3">
      <c r="A46" t="s">
        <v>267</v>
      </c>
      <c r="B46">
        <v>2925</v>
      </c>
      <c r="C46">
        <v>0</v>
      </c>
      <c r="D46">
        <v>0</v>
      </c>
      <c r="E46">
        <v>0</v>
      </c>
      <c r="F46">
        <v>0</v>
      </c>
      <c r="G46">
        <v>0</v>
      </c>
      <c r="H46">
        <v>0</v>
      </c>
      <c r="I46">
        <v>0</v>
      </c>
      <c r="J46">
        <v>1109.9000000000001</v>
      </c>
    </row>
    <row r="47" spans="1:10" x14ac:dyDescent="0.3">
      <c r="A47" t="s">
        <v>267</v>
      </c>
      <c r="B47">
        <v>2950</v>
      </c>
      <c r="C47">
        <v>0</v>
      </c>
      <c r="D47">
        <v>0</v>
      </c>
      <c r="E47">
        <v>0</v>
      </c>
      <c r="F47">
        <v>0</v>
      </c>
      <c r="G47">
        <v>0</v>
      </c>
      <c r="H47">
        <v>0</v>
      </c>
      <c r="I47">
        <v>0</v>
      </c>
      <c r="J47">
        <v>1085.0999999999999</v>
      </c>
    </row>
    <row r="48" spans="1:10" x14ac:dyDescent="0.3">
      <c r="A48" t="s">
        <v>267</v>
      </c>
      <c r="B48">
        <v>2975</v>
      </c>
      <c r="C48">
        <v>0</v>
      </c>
      <c r="D48">
        <v>0</v>
      </c>
      <c r="E48">
        <v>0</v>
      </c>
      <c r="F48">
        <v>0</v>
      </c>
      <c r="G48">
        <v>0</v>
      </c>
      <c r="H48">
        <v>0</v>
      </c>
      <c r="I48">
        <v>0</v>
      </c>
      <c r="J48">
        <v>1060.3</v>
      </c>
    </row>
    <row r="49" spans="1:10" x14ac:dyDescent="0.3">
      <c r="A49" t="s">
        <v>267</v>
      </c>
      <c r="B49">
        <v>3000</v>
      </c>
      <c r="C49">
        <v>0</v>
      </c>
      <c r="D49">
        <v>0</v>
      </c>
      <c r="E49">
        <v>7</v>
      </c>
      <c r="F49">
        <v>0</v>
      </c>
      <c r="G49">
        <v>0</v>
      </c>
      <c r="H49">
        <v>0</v>
      </c>
      <c r="I49">
        <v>0</v>
      </c>
      <c r="J49">
        <v>1035.5</v>
      </c>
    </row>
    <row r="50" spans="1:10" x14ac:dyDescent="0.3">
      <c r="A50" t="s">
        <v>267</v>
      </c>
      <c r="B50">
        <v>3025</v>
      </c>
      <c r="C50">
        <v>0</v>
      </c>
      <c r="D50">
        <v>0</v>
      </c>
      <c r="E50">
        <v>0</v>
      </c>
      <c r="F50">
        <v>0</v>
      </c>
      <c r="G50">
        <v>0</v>
      </c>
      <c r="H50">
        <v>0</v>
      </c>
      <c r="I50">
        <v>0</v>
      </c>
      <c r="J50">
        <v>1010.7</v>
      </c>
    </row>
    <row r="51" spans="1:10" x14ac:dyDescent="0.3">
      <c r="A51" t="s">
        <v>267</v>
      </c>
      <c r="B51">
        <v>3050</v>
      </c>
      <c r="C51">
        <v>0</v>
      </c>
      <c r="D51">
        <v>0</v>
      </c>
      <c r="E51">
        <v>0</v>
      </c>
      <c r="F51">
        <v>0</v>
      </c>
      <c r="G51">
        <v>0</v>
      </c>
      <c r="H51">
        <v>0</v>
      </c>
      <c r="I51">
        <v>0</v>
      </c>
      <c r="J51">
        <v>985.9</v>
      </c>
    </row>
    <row r="52" spans="1:10" x14ac:dyDescent="0.3">
      <c r="A52" t="s">
        <v>267</v>
      </c>
      <c r="B52">
        <v>3075</v>
      </c>
      <c r="C52">
        <v>0</v>
      </c>
      <c r="D52">
        <v>0</v>
      </c>
      <c r="E52">
        <v>0</v>
      </c>
      <c r="F52">
        <v>0</v>
      </c>
      <c r="G52">
        <v>0</v>
      </c>
      <c r="H52">
        <v>0</v>
      </c>
      <c r="I52">
        <v>0</v>
      </c>
      <c r="J52">
        <v>961.1</v>
      </c>
    </row>
    <row r="53" spans="1:10" x14ac:dyDescent="0.3">
      <c r="A53" t="s">
        <v>267</v>
      </c>
      <c r="B53">
        <v>3100</v>
      </c>
      <c r="C53">
        <v>0</v>
      </c>
      <c r="D53">
        <v>0</v>
      </c>
      <c r="E53">
        <v>0</v>
      </c>
      <c r="F53">
        <v>0</v>
      </c>
      <c r="G53">
        <v>0</v>
      </c>
      <c r="H53">
        <v>0</v>
      </c>
      <c r="I53">
        <v>0</v>
      </c>
      <c r="J53">
        <v>936.4</v>
      </c>
    </row>
    <row r="54" spans="1:10" x14ac:dyDescent="0.3">
      <c r="A54" t="s">
        <v>267</v>
      </c>
      <c r="B54">
        <v>3125</v>
      </c>
      <c r="C54">
        <v>0</v>
      </c>
      <c r="D54">
        <v>0</v>
      </c>
      <c r="E54">
        <v>0</v>
      </c>
      <c r="F54">
        <v>0</v>
      </c>
      <c r="G54">
        <v>0</v>
      </c>
      <c r="H54">
        <v>0</v>
      </c>
      <c r="I54">
        <v>0</v>
      </c>
      <c r="J54">
        <v>911.6</v>
      </c>
    </row>
    <row r="55" spans="1:10" x14ac:dyDescent="0.3">
      <c r="A55" t="s">
        <v>267</v>
      </c>
      <c r="B55">
        <v>3150</v>
      </c>
      <c r="C55">
        <v>0</v>
      </c>
      <c r="D55">
        <v>0</v>
      </c>
      <c r="E55">
        <v>0</v>
      </c>
      <c r="F55">
        <v>0</v>
      </c>
      <c r="G55">
        <v>0</v>
      </c>
      <c r="H55">
        <v>0</v>
      </c>
      <c r="I55">
        <v>0</v>
      </c>
      <c r="J55">
        <v>886.9</v>
      </c>
    </row>
    <row r="56" spans="1:10" x14ac:dyDescent="0.3">
      <c r="A56" t="s">
        <v>267</v>
      </c>
      <c r="B56">
        <v>3175</v>
      </c>
      <c r="C56">
        <v>0</v>
      </c>
      <c r="D56">
        <v>0</v>
      </c>
      <c r="E56">
        <v>0</v>
      </c>
      <c r="F56">
        <v>0</v>
      </c>
      <c r="G56">
        <v>0</v>
      </c>
      <c r="H56">
        <v>0</v>
      </c>
      <c r="I56">
        <v>0</v>
      </c>
      <c r="J56">
        <v>862.2</v>
      </c>
    </row>
    <row r="57" spans="1:10" x14ac:dyDescent="0.3">
      <c r="A57" t="s">
        <v>267</v>
      </c>
      <c r="B57">
        <v>3200</v>
      </c>
      <c r="C57">
        <v>0</v>
      </c>
      <c r="D57">
        <v>0</v>
      </c>
      <c r="E57">
        <v>0</v>
      </c>
      <c r="F57">
        <v>0</v>
      </c>
      <c r="G57">
        <v>0</v>
      </c>
      <c r="H57">
        <v>0</v>
      </c>
      <c r="I57">
        <v>0</v>
      </c>
      <c r="J57">
        <v>837.5</v>
      </c>
    </row>
    <row r="58" spans="1:10" x14ac:dyDescent="0.3">
      <c r="A58" t="s">
        <v>267</v>
      </c>
      <c r="B58">
        <v>3225</v>
      </c>
      <c r="C58">
        <v>0</v>
      </c>
      <c r="D58">
        <v>0</v>
      </c>
      <c r="E58">
        <v>0</v>
      </c>
      <c r="F58">
        <v>0</v>
      </c>
      <c r="G58">
        <v>0</v>
      </c>
      <c r="H58">
        <v>0</v>
      </c>
      <c r="I58">
        <v>0</v>
      </c>
      <c r="J58">
        <v>812.8</v>
      </c>
    </row>
    <row r="59" spans="1:10" x14ac:dyDescent="0.3">
      <c r="A59" t="s">
        <v>267</v>
      </c>
      <c r="B59">
        <v>3250</v>
      </c>
      <c r="C59">
        <v>0</v>
      </c>
      <c r="D59">
        <v>0</v>
      </c>
      <c r="E59">
        <v>0</v>
      </c>
      <c r="F59">
        <v>0</v>
      </c>
      <c r="G59">
        <v>0</v>
      </c>
      <c r="H59">
        <v>0</v>
      </c>
      <c r="I59">
        <v>0</v>
      </c>
      <c r="J59">
        <v>788.1</v>
      </c>
    </row>
    <row r="60" spans="1:10" x14ac:dyDescent="0.3">
      <c r="A60" t="s">
        <v>267</v>
      </c>
      <c r="B60">
        <v>3275</v>
      </c>
      <c r="C60">
        <v>0</v>
      </c>
      <c r="D60">
        <v>0</v>
      </c>
      <c r="E60">
        <v>0</v>
      </c>
      <c r="F60">
        <v>0</v>
      </c>
      <c r="G60">
        <v>0</v>
      </c>
      <c r="H60">
        <v>0</v>
      </c>
      <c r="I60">
        <v>0</v>
      </c>
      <c r="J60">
        <v>763.5</v>
      </c>
    </row>
    <row r="61" spans="1:10" x14ac:dyDescent="0.3">
      <c r="A61" t="s">
        <v>267</v>
      </c>
      <c r="B61">
        <v>3300</v>
      </c>
      <c r="C61">
        <v>0</v>
      </c>
      <c r="D61">
        <v>0</v>
      </c>
      <c r="E61">
        <v>1</v>
      </c>
      <c r="F61">
        <v>0</v>
      </c>
      <c r="G61">
        <v>0</v>
      </c>
      <c r="H61">
        <v>0</v>
      </c>
      <c r="I61">
        <v>0</v>
      </c>
      <c r="J61">
        <v>738.8</v>
      </c>
    </row>
    <row r="62" spans="1:10" x14ac:dyDescent="0.3">
      <c r="A62" t="s">
        <v>267</v>
      </c>
      <c r="B62">
        <v>3325</v>
      </c>
      <c r="C62">
        <v>0</v>
      </c>
      <c r="D62">
        <v>0</v>
      </c>
      <c r="E62">
        <v>0</v>
      </c>
      <c r="F62">
        <v>0</v>
      </c>
      <c r="G62">
        <v>0</v>
      </c>
      <c r="H62">
        <v>0</v>
      </c>
      <c r="I62">
        <v>0</v>
      </c>
      <c r="J62">
        <v>714.3</v>
      </c>
    </row>
    <row r="63" spans="1:10" x14ac:dyDescent="0.3">
      <c r="A63" t="s">
        <v>267</v>
      </c>
      <c r="B63">
        <v>3350</v>
      </c>
      <c r="C63">
        <v>0</v>
      </c>
      <c r="D63">
        <v>0</v>
      </c>
      <c r="E63">
        <v>0</v>
      </c>
      <c r="F63">
        <v>0</v>
      </c>
      <c r="G63">
        <v>0</v>
      </c>
      <c r="H63">
        <v>0</v>
      </c>
      <c r="I63">
        <v>0</v>
      </c>
      <c r="J63">
        <v>689.7</v>
      </c>
    </row>
    <row r="64" spans="1:10" x14ac:dyDescent="0.3">
      <c r="A64" t="s">
        <v>267</v>
      </c>
      <c r="B64">
        <v>3375</v>
      </c>
      <c r="C64">
        <v>0</v>
      </c>
      <c r="D64">
        <v>0</v>
      </c>
      <c r="E64">
        <v>0</v>
      </c>
      <c r="F64">
        <v>0</v>
      </c>
      <c r="G64">
        <v>0</v>
      </c>
      <c r="H64">
        <v>0</v>
      </c>
      <c r="I64">
        <v>0</v>
      </c>
      <c r="J64">
        <v>665.2</v>
      </c>
    </row>
    <row r="65" spans="1:10" x14ac:dyDescent="0.3">
      <c r="A65" t="s">
        <v>267</v>
      </c>
      <c r="B65">
        <v>3400</v>
      </c>
      <c r="C65">
        <v>0</v>
      </c>
      <c r="D65">
        <v>0</v>
      </c>
      <c r="E65">
        <v>5</v>
      </c>
      <c r="F65">
        <v>0</v>
      </c>
      <c r="G65">
        <v>0</v>
      </c>
      <c r="H65">
        <v>0</v>
      </c>
      <c r="I65">
        <v>0</v>
      </c>
      <c r="J65">
        <v>640.70000000000005</v>
      </c>
    </row>
    <row r="66" spans="1:10" x14ac:dyDescent="0.3">
      <c r="A66" t="s">
        <v>267</v>
      </c>
      <c r="B66">
        <v>3425</v>
      </c>
      <c r="C66">
        <v>0</v>
      </c>
      <c r="D66">
        <v>0</v>
      </c>
      <c r="E66">
        <v>0</v>
      </c>
      <c r="F66">
        <v>0</v>
      </c>
      <c r="G66">
        <v>0</v>
      </c>
      <c r="H66">
        <v>0</v>
      </c>
      <c r="I66">
        <v>0</v>
      </c>
      <c r="J66">
        <v>616.20000000000005</v>
      </c>
    </row>
    <row r="67" spans="1:10" x14ac:dyDescent="0.3">
      <c r="A67" t="s">
        <v>267</v>
      </c>
      <c r="B67">
        <v>3450</v>
      </c>
      <c r="C67">
        <v>0</v>
      </c>
      <c r="D67">
        <v>0</v>
      </c>
      <c r="E67">
        <v>1</v>
      </c>
      <c r="F67">
        <v>0</v>
      </c>
      <c r="G67">
        <v>0</v>
      </c>
      <c r="H67">
        <v>0</v>
      </c>
      <c r="I67">
        <v>0</v>
      </c>
      <c r="J67">
        <v>591.79999999999995</v>
      </c>
    </row>
    <row r="68" spans="1:10" x14ac:dyDescent="0.3">
      <c r="A68" t="s">
        <v>267</v>
      </c>
      <c r="B68">
        <v>3475</v>
      </c>
      <c r="C68">
        <v>0</v>
      </c>
      <c r="D68">
        <v>0</v>
      </c>
      <c r="E68">
        <v>0</v>
      </c>
      <c r="F68">
        <v>0</v>
      </c>
      <c r="G68">
        <v>0</v>
      </c>
      <c r="H68">
        <v>0</v>
      </c>
      <c r="I68">
        <v>0</v>
      </c>
      <c r="J68">
        <v>567.4</v>
      </c>
    </row>
    <row r="69" spans="1:10" x14ac:dyDescent="0.3">
      <c r="A69" t="s">
        <v>267</v>
      </c>
      <c r="B69">
        <v>3500</v>
      </c>
      <c r="C69">
        <v>0</v>
      </c>
      <c r="D69">
        <v>0</v>
      </c>
      <c r="E69">
        <v>2</v>
      </c>
      <c r="F69">
        <v>0</v>
      </c>
      <c r="G69">
        <v>0</v>
      </c>
      <c r="H69">
        <v>0</v>
      </c>
      <c r="I69">
        <v>0</v>
      </c>
      <c r="J69">
        <v>543.20000000000005</v>
      </c>
    </row>
    <row r="70" spans="1:10" x14ac:dyDescent="0.3">
      <c r="A70" t="s">
        <v>267</v>
      </c>
      <c r="B70">
        <v>3525</v>
      </c>
      <c r="C70">
        <v>0</v>
      </c>
      <c r="D70">
        <v>2</v>
      </c>
      <c r="E70">
        <v>5</v>
      </c>
      <c r="F70">
        <v>0</v>
      </c>
      <c r="G70">
        <v>0</v>
      </c>
      <c r="H70">
        <v>0</v>
      </c>
      <c r="I70">
        <v>0</v>
      </c>
      <c r="J70">
        <v>519</v>
      </c>
    </row>
    <row r="71" spans="1:10" x14ac:dyDescent="0.3">
      <c r="A71" t="s">
        <v>267</v>
      </c>
      <c r="B71">
        <v>3550</v>
      </c>
      <c r="C71">
        <v>0</v>
      </c>
      <c r="D71">
        <v>0</v>
      </c>
      <c r="E71">
        <v>0</v>
      </c>
      <c r="F71">
        <v>0</v>
      </c>
      <c r="G71">
        <v>0</v>
      </c>
      <c r="H71">
        <v>0</v>
      </c>
      <c r="I71">
        <v>0</v>
      </c>
      <c r="J71">
        <v>494.9</v>
      </c>
    </row>
    <row r="72" spans="1:10" x14ac:dyDescent="0.3">
      <c r="A72" t="s">
        <v>267</v>
      </c>
      <c r="B72">
        <v>3575</v>
      </c>
      <c r="C72">
        <v>0</v>
      </c>
      <c r="D72">
        <v>0</v>
      </c>
      <c r="E72">
        <v>0</v>
      </c>
      <c r="F72">
        <v>0</v>
      </c>
      <c r="G72">
        <v>0</v>
      </c>
      <c r="H72">
        <v>0</v>
      </c>
      <c r="I72">
        <v>0</v>
      </c>
      <c r="J72">
        <v>470.9</v>
      </c>
    </row>
    <row r="73" spans="1:10" x14ac:dyDescent="0.3">
      <c r="A73" t="s">
        <v>267</v>
      </c>
      <c r="B73">
        <v>3600</v>
      </c>
      <c r="C73">
        <v>0</v>
      </c>
      <c r="D73">
        <v>0</v>
      </c>
      <c r="E73">
        <v>15</v>
      </c>
      <c r="F73">
        <v>0</v>
      </c>
      <c r="G73">
        <v>0</v>
      </c>
      <c r="H73">
        <v>0</v>
      </c>
      <c r="I73">
        <v>0</v>
      </c>
      <c r="J73">
        <v>447</v>
      </c>
    </row>
    <row r="74" spans="1:10" x14ac:dyDescent="0.3">
      <c r="A74" t="s">
        <v>267</v>
      </c>
      <c r="B74">
        <v>3625</v>
      </c>
      <c r="C74">
        <v>0</v>
      </c>
      <c r="D74">
        <v>0</v>
      </c>
      <c r="E74">
        <v>0</v>
      </c>
      <c r="F74">
        <v>0</v>
      </c>
      <c r="G74">
        <v>0</v>
      </c>
      <c r="H74">
        <v>0</v>
      </c>
      <c r="I74">
        <v>0</v>
      </c>
      <c r="J74">
        <v>423.3</v>
      </c>
    </row>
    <row r="75" spans="1:10" x14ac:dyDescent="0.3">
      <c r="A75" t="s">
        <v>267</v>
      </c>
      <c r="B75">
        <v>3650</v>
      </c>
      <c r="C75">
        <v>0</v>
      </c>
      <c r="D75">
        <v>0</v>
      </c>
      <c r="E75">
        <v>0</v>
      </c>
      <c r="F75">
        <v>0</v>
      </c>
      <c r="G75">
        <v>0</v>
      </c>
      <c r="H75">
        <v>0</v>
      </c>
      <c r="I75">
        <v>0</v>
      </c>
      <c r="J75">
        <v>399.7</v>
      </c>
    </row>
    <row r="76" spans="1:10" x14ac:dyDescent="0.3">
      <c r="A76" t="s">
        <v>267</v>
      </c>
      <c r="B76">
        <v>3675</v>
      </c>
      <c r="C76">
        <v>0</v>
      </c>
      <c r="D76">
        <v>0</v>
      </c>
      <c r="E76">
        <v>1</v>
      </c>
      <c r="F76">
        <v>0</v>
      </c>
      <c r="G76">
        <v>0</v>
      </c>
      <c r="H76">
        <v>0</v>
      </c>
      <c r="I76">
        <v>0</v>
      </c>
      <c r="J76">
        <v>376.4</v>
      </c>
    </row>
    <row r="77" spans="1:10" x14ac:dyDescent="0.3">
      <c r="A77" t="s">
        <v>267</v>
      </c>
      <c r="B77">
        <v>3700</v>
      </c>
      <c r="C77">
        <v>0</v>
      </c>
      <c r="D77">
        <v>0</v>
      </c>
      <c r="E77">
        <v>1151</v>
      </c>
      <c r="F77">
        <v>0</v>
      </c>
      <c r="G77">
        <v>0</v>
      </c>
      <c r="H77">
        <v>0</v>
      </c>
      <c r="I77">
        <v>0</v>
      </c>
      <c r="J77">
        <v>353.2</v>
      </c>
    </row>
    <row r="78" spans="1:10" x14ac:dyDescent="0.3">
      <c r="A78" t="s">
        <v>267</v>
      </c>
      <c r="B78">
        <v>3725</v>
      </c>
      <c r="C78">
        <v>0</v>
      </c>
      <c r="D78">
        <v>0</v>
      </c>
      <c r="E78">
        <v>5</v>
      </c>
      <c r="F78">
        <v>0</v>
      </c>
      <c r="G78">
        <v>0</v>
      </c>
      <c r="H78">
        <v>0</v>
      </c>
      <c r="I78">
        <v>0</v>
      </c>
      <c r="J78">
        <v>330.4</v>
      </c>
    </row>
    <row r="79" spans="1:10" x14ac:dyDescent="0.3">
      <c r="A79" t="s">
        <v>267</v>
      </c>
      <c r="B79">
        <v>3750</v>
      </c>
      <c r="C79">
        <v>0</v>
      </c>
      <c r="D79">
        <v>0</v>
      </c>
      <c r="E79">
        <v>217</v>
      </c>
      <c r="F79">
        <v>0</v>
      </c>
      <c r="G79">
        <v>0</v>
      </c>
      <c r="H79">
        <v>0</v>
      </c>
      <c r="I79">
        <v>0</v>
      </c>
      <c r="J79">
        <v>308</v>
      </c>
    </row>
    <row r="80" spans="1:10" x14ac:dyDescent="0.3">
      <c r="A80" t="s">
        <v>267</v>
      </c>
      <c r="B80">
        <v>3775</v>
      </c>
      <c r="C80">
        <v>0</v>
      </c>
      <c r="D80">
        <v>2</v>
      </c>
      <c r="E80">
        <v>4</v>
      </c>
      <c r="F80">
        <v>301</v>
      </c>
      <c r="G80">
        <v>301</v>
      </c>
      <c r="H80">
        <v>301</v>
      </c>
      <c r="I80">
        <v>301</v>
      </c>
      <c r="J80">
        <v>285.89999999999998</v>
      </c>
    </row>
    <row r="81" spans="1:10" x14ac:dyDescent="0.3">
      <c r="A81" t="s">
        <v>267</v>
      </c>
      <c r="B81">
        <v>3800</v>
      </c>
      <c r="C81">
        <v>0</v>
      </c>
      <c r="D81">
        <v>8</v>
      </c>
      <c r="E81">
        <v>508</v>
      </c>
      <c r="F81">
        <v>278</v>
      </c>
      <c r="G81">
        <v>278</v>
      </c>
      <c r="H81">
        <v>278</v>
      </c>
      <c r="I81">
        <v>278</v>
      </c>
      <c r="J81">
        <v>264.2</v>
      </c>
    </row>
    <row r="82" spans="1:10" x14ac:dyDescent="0.3">
      <c r="A82" t="s">
        <v>267</v>
      </c>
      <c r="B82">
        <v>3825</v>
      </c>
      <c r="C82">
        <v>0</v>
      </c>
      <c r="D82">
        <v>2</v>
      </c>
      <c r="E82">
        <v>2</v>
      </c>
      <c r="F82">
        <v>270</v>
      </c>
      <c r="G82">
        <v>270</v>
      </c>
      <c r="H82">
        <v>270</v>
      </c>
      <c r="I82">
        <v>270</v>
      </c>
      <c r="J82">
        <v>243</v>
      </c>
    </row>
    <row r="83" spans="1:10" x14ac:dyDescent="0.3">
      <c r="A83" t="s">
        <v>267</v>
      </c>
      <c r="B83">
        <v>3850</v>
      </c>
      <c r="C83">
        <v>0</v>
      </c>
      <c r="D83">
        <v>7</v>
      </c>
      <c r="E83">
        <v>17</v>
      </c>
      <c r="F83">
        <v>247</v>
      </c>
      <c r="G83">
        <v>247</v>
      </c>
      <c r="H83">
        <v>233.7</v>
      </c>
      <c r="I83">
        <v>233.7</v>
      </c>
      <c r="J83">
        <v>222.3</v>
      </c>
    </row>
    <row r="84" spans="1:10" x14ac:dyDescent="0.3">
      <c r="A84" t="s">
        <v>267</v>
      </c>
      <c r="B84">
        <v>3875</v>
      </c>
      <c r="C84">
        <v>0</v>
      </c>
      <c r="D84">
        <v>0</v>
      </c>
      <c r="E84">
        <v>340</v>
      </c>
      <c r="F84">
        <v>0</v>
      </c>
      <c r="G84">
        <v>0</v>
      </c>
      <c r="H84">
        <v>0</v>
      </c>
      <c r="I84">
        <v>0</v>
      </c>
      <c r="J84">
        <v>202.1</v>
      </c>
    </row>
    <row r="85" spans="1:10" x14ac:dyDescent="0.3">
      <c r="A85" t="s">
        <v>267</v>
      </c>
      <c r="B85">
        <v>3900</v>
      </c>
      <c r="C85">
        <v>0</v>
      </c>
      <c r="D85">
        <v>340</v>
      </c>
      <c r="E85">
        <v>323</v>
      </c>
      <c r="F85">
        <v>192</v>
      </c>
      <c r="G85">
        <v>199</v>
      </c>
      <c r="H85">
        <v>191</v>
      </c>
      <c r="I85">
        <v>192</v>
      </c>
      <c r="J85">
        <v>182.5</v>
      </c>
    </row>
    <row r="86" spans="1:10" x14ac:dyDescent="0.3">
      <c r="A86" t="s">
        <v>267</v>
      </c>
      <c r="B86">
        <v>3925</v>
      </c>
      <c r="C86">
        <v>0</v>
      </c>
      <c r="D86">
        <v>100</v>
      </c>
      <c r="E86">
        <v>98</v>
      </c>
      <c r="F86">
        <v>0</v>
      </c>
      <c r="G86">
        <v>0</v>
      </c>
      <c r="H86">
        <v>0</v>
      </c>
      <c r="I86">
        <v>0</v>
      </c>
      <c r="J86">
        <v>163.69999999999999</v>
      </c>
    </row>
    <row r="87" spans="1:10" x14ac:dyDescent="0.3">
      <c r="A87" t="s">
        <v>267</v>
      </c>
      <c r="B87">
        <v>3950</v>
      </c>
      <c r="C87">
        <v>0</v>
      </c>
      <c r="D87">
        <v>462</v>
      </c>
      <c r="E87">
        <v>673</v>
      </c>
      <c r="F87">
        <v>0</v>
      </c>
      <c r="G87">
        <v>0</v>
      </c>
      <c r="H87">
        <v>0</v>
      </c>
      <c r="I87">
        <v>0</v>
      </c>
      <c r="J87">
        <v>145.6</v>
      </c>
    </row>
    <row r="88" spans="1:10" x14ac:dyDescent="0.3">
      <c r="A88" t="s">
        <v>267</v>
      </c>
      <c r="B88">
        <v>3975</v>
      </c>
      <c r="C88">
        <v>0</v>
      </c>
      <c r="D88">
        <v>143</v>
      </c>
      <c r="E88">
        <v>145</v>
      </c>
      <c r="F88">
        <v>129.4</v>
      </c>
      <c r="G88">
        <v>129.4</v>
      </c>
      <c r="H88">
        <v>129.4</v>
      </c>
      <c r="I88">
        <v>129.4</v>
      </c>
      <c r="J88">
        <v>128.30000000000001</v>
      </c>
    </row>
    <row r="89" spans="1:10" x14ac:dyDescent="0.3">
      <c r="A89" t="s">
        <v>267</v>
      </c>
      <c r="B89">
        <v>4000</v>
      </c>
      <c r="C89">
        <v>0</v>
      </c>
      <c r="D89">
        <v>135</v>
      </c>
      <c r="E89">
        <v>2195</v>
      </c>
      <c r="F89">
        <v>125.2</v>
      </c>
      <c r="G89">
        <v>125.2</v>
      </c>
      <c r="H89">
        <v>110.9</v>
      </c>
      <c r="I89">
        <v>111</v>
      </c>
      <c r="J89">
        <v>112</v>
      </c>
    </row>
    <row r="90" spans="1:10" x14ac:dyDescent="0.3">
      <c r="A90" t="s">
        <v>267</v>
      </c>
      <c r="B90">
        <v>4025</v>
      </c>
      <c r="C90">
        <v>0</v>
      </c>
      <c r="D90">
        <v>734</v>
      </c>
      <c r="E90">
        <v>647</v>
      </c>
      <c r="F90">
        <v>114.8</v>
      </c>
      <c r="G90">
        <v>115.3</v>
      </c>
      <c r="H90">
        <v>95.7</v>
      </c>
      <c r="I90">
        <v>95.7</v>
      </c>
      <c r="J90">
        <v>96.6</v>
      </c>
    </row>
    <row r="91" spans="1:10" x14ac:dyDescent="0.3">
      <c r="A91" t="s">
        <v>267</v>
      </c>
      <c r="B91">
        <v>4050</v>
      </c>
      <c r="C91">
        <v>0</v>
      </c>
      <c r="D91">
        <v>5427</v>
      </c>
      <c r="E91">
        <v>11251</v>
      </c>
      <c r="F91">
        <v>93.4</v>
      </c>
      <c r="G91">
        <v>103.6</v>
      </c>
      <c r="H91">
        <v>81.400000000000006</v>
      </c>
      <c r="I91">
        <v>82.3</v>
      </c>
      <c r="J91">
        <v>82.3</v>
      </c>
    </row>
    <row r="92" spans="1:10" x14ac:dyDescent="0.3">
      <c r="A92" t="s">
        <v>267</v>
      </c>
      <c r="B92">
        <v>4075</v>
      </c>
      <c r="C92">
        <v>0</v>
      </c>
      <c r="D92">
        <v>4161</v>
      </c>
      <c r="E92">
        <v>4644</v>
      </c>
      <c r="F92">
        <v>76.599999999999994</v>
      </c>
      <c r="G92">
        <v>88.7</v>
      </c>
      <c r="H92">
        <v>68.2</v>
      </c>
      <c r="I92">
        <v>69.099999999999994</v>
      </c>
      <c r="J92">
        <v>69.099999999999994</v>
      </c>
    </row>
    <row r="93" spans="1:10" x14ac:dyDescent="0.3">
      <c r="A93" t="s">
        <v>267</v>
      </c>
      <c r="B93">
        <v>4100</v>
      </c>
      <c r="C93">
        <v>0</v>
      </c>
      <c r="D93">
        <v>15593</v>
      </c>
      <c r="E93">
        <v>26445</v>
      </c>
      <c r="F93">
        <v>65.900000000000006</v>
      </c>
      <c r="G93">
        <v>72.2</v>
      </c>
      <c r="H93">
        <v>56.3</v>
      </c>
      <c r="I93">
        <v>57.4</v>
      </c>
      <c r="J93">
        <v>57.1</v>
      </c>
    </row>
    <row r="94" spans="1:10" x14ac:dyDescent="0.3">
      <c r="A94" t="s">
        <v>267</v>
      </c>
      <c r="B94">
        <v>4125</v>
      </c>
      <c r="C94">
        <v>0</v>
      </c>
      <c r="D94">
        <v>1904</v>
      </c>
      <c r="E94">
        <v>8001</v>
      </c>
      <c r="F94">
        <v>57</v>
      </c>
      <c r="G94">
        <v>60</v>
      </c>
      <c r="H94">
        <v>45.9</v>
      </c>
      <c r="I94">
        <v>46.5</v>
      </c>
      <c r="J94">
        <v>46.5</v>
      </c>
    </row>
    <row r="95" spans="1:10" x14ac:dyDescent="0.3">
      <c r="A95" t="s">
        <v>267</v>
      </c>
      <c r="B95">
        <v>4150</v>
      </c>
      <c r="C95">
        <v>0</v>
      </c>
      <c r="D95">
        <v>11381</v>
      </c>
      <c r="E95">
        <v>25151</v>
      </c>
      <c r="F95">
        <v>43.8</v>
      </c>
      <c r="G95">
        <v>48</v>
      </c>
      <c r="H95">
        <v>36.299999999999997</v>
      </c>
      <c r="I95">
        <v>37.4</v>
      </c>
      <c r="J95">
        <v>37.200000000000003</v>
      </c>
    </row>
    <row r="96" spans="1:10" x14ac:dyDescent="0.3">
      <c r="A96" t="s">
        <v>267</v>
      </c>
      <c r="B96">
        <v>4175</v>
      </c>
      <c r="C96">
        <v>0</v>
      </c>
      <c r="D96">
        <v>2750</v>
      </c>
      <c r="E96">
        <v>8323</v>
      </c>
      <c r="F96">
        <v>34</v>
      </c>
      <c r="G96">
        <v>40</v>
      </c>
      <c r="H96">
        <v>28.9</v>
      </c>
      <c r="I96">
        <v>29.2</v>
      </c>
      <c r="J96">
        <v>29.2</v>
      </c>
    </row>
    <row r="97" spans="1:10" x14ac:dyDescent="0.3">
      <c r="A97" t="s">
        <v>267</v>
      </c>
      <c r="B97">
        <v>4200</v>
      </c>
      <c r="C97">
        <v>0</v>
      </c>
      <c r="D97">
        <v>20918</v>
      </c>
      <c r="E97">
        <v>51241</v>
      </c>
      <c r="F97">
        <v>30</v>
      </c>
      <c r="G97">
        <v>32</v>
      </c>
      <c r="H97">
        <v>21.9</v>
      </c>
      <c r="I97">
        <v>22.7</v>
      </c>
      <c r="J97">
        <v>22.5</v>
      </c>
    </row>
    <row r="98" spans="1:10" x14ac:dyDescent="0.3">
      <c r="A98" t="s">
        <v>267</v>
      </c>
      <c r="B98">
        <v>4225</v>
      </c>
      <c r="C98">
        <v>0</v>
      </c>
      <c r="D98">
        <v>6872</v>
      </c>
      <c r="E98">
        <v>12798</v>
      </c>
      <c r="F98">
        <v>21.4</v>
      </c>
      <c r="G98">
        <v>23.4</v>
      </c>
      <c r="H98">
        <v>16.399999999999999</v>
      </c>
      <c r="I98">
        <v>16.899999999999999</v>
      </c>
      <c r="J98">
        <v>17.100000000000001</v>
      </c>
    </row>
    <row r="99" spans="1:10" x14ac:dyDescent="0.3">
      <c r="A99" t="s">
        <v>267</v>
      </c>
      <c r="B99">
        <v>4250</v>
      </c>
      <c r="C99">
        <v>0</v>
      </c>
      <c r="D99">
        <v>12629</v>
      </c>
      <c r="E99">
        <v>35423</v>
      </c>
      <c r="F99">
        <v>15.4</v>
      </c>
      <c r="G99">
        <v>18.600000000000001</v>
      </c>
      <c r="H99">
        <v>12.4</v>
      </c>
      <c r="I99">
        <v>12.5</v>
      </c>
      <c r="J99">
        <v>12.7</v>
      </c>
    </row>
    <row r="100" spans="1:10" x14ac:dyDescent="0.3">
      <c r="A100" t="s">
        <v>267</v>
      </c>
      <c r="B100">
        <v>4275</v>
      </c>
      <c r="C100">
        <v>0</v>
      </c>
      <c r="D100">
        <v>99271</v>
      </c>
      <c r="E100">
        <v>109633</v>
      </c>
      <c r="F100">
        <v>11.2</v>
      </c>
      <c r="G100">
        <v>13.5</v>
      </c>
      <c r="H100">
        <v>8.9</v>
      </c>
      <c r="I100">
        <v>9.1999999999999993</v>
      </c>
      <c r="J100">
        <v>9.3000000000000007</v>
      </c>
    </row>
    <row r="101" spans="1:10" x14ac:dyDescent="0.3">
      <c r="A101" t="s">
        <v>267</v>
      </c>
      <c r="B101">
        <v>4300</v>
      </c>
      <c r="C101">
        <v>0</v>
      </c>
      <c r="D101">
        <v>134583</v>
      </c>
      <c r="E101">
        <v>200586</v>
      </c>
      <c r="F101">
        <v>8.5</v>
      </c>
      <c r="G101">
        <v>10</v>
      </c>
      <c r="H101">
        <v>6.4</v>
      </c>
      <c r="I101">
        <v>6.7</v>
      </c>
      <c r="J101">
        <v>6.7</v>
      </c>
    </row>
    <row r="102" spans="1:10" x14ac:dyDescent="0.3">
      <c r="A102" t="s">
        <v>267</v>
      </c>
      <c r="B102">
        <v>4325</v>
      </c>
      <c r="C102">
        <v>0</v>
      </c>
      <c r="D102">
        <v>1815</v>
      </c>
      <c r="E102">
        <v>8131</v>
      </c>
      <c r="F102">
        <v>5.9</v>
      </c>
      <c r="G102">
        <v>7.3</v>
      </c>
      <c r="H102">
        <v>4.5999999999999996</v>
      </c>
      <c r="I102">
        <v>4.5999999999999996</v>
      </c>
      <c r="J102">
        <v>4.7</v>
      </c>
    </row>
    <row r="103" spans="1:10" x14ac:dyDescent="0.3">
      <c r="A103" t="s">
        <v>267</v>
      </c>
      <c r="B103">
        <v>4350</v>
      </c>
      <c r="C103">
        <v>0</v>
      </c>
      <c r="D103">
        <v>111205</v>
      </c>
      <c r="E103">
        <v>167784</v>
      </c>
      <c r="F103">
        <v>4.7</v>
      </c>
      <c r="G103">
        <v>5.3</v>
      </c>
      <c r="H103">
        <v>3.2</v>
      </c>
      <c r="I103">
        <v>3.4</v>
      </c>
      <c r="J103">
        <v>3.4</v>
      </c>
    </row>
    <row r="104" spans="1:10" x14ac:dyDescent="0.3">
      <c r="A104" t="s">
        <v>267</v>
      </c>
      <c r="B104">
        <v>4375</v>
      </c>
      <c r="C104">
        <v>0</v>
      </c>
      <c r="D104">
        <v>96449</v>
      </c>
      <c r="E104">
        <v>170874</v>
      </c>
      <c r="F104">
        <v>3.6</v>
      </c>
      <c r="G104">
        <v>3.8</v>
      </c>
      <c r="H104">
        <v>2.6</v>
      </c>
      <c r="I104">
        <v>2.6</v>
      </c>
      <c r="J104">
        <v>2.4</v>
      </c>
    </row>
    <row r="105" spans="1:10" x14ac:dyDescent="0.3">
      <c r="A105" t="s">
        <v>267</v>
      </c>
      <c r="B105">
        <v>4400</v>
      </c>
      <c r="C105">
        <v>0</v>
      </c>
      <c r="D105">
        <v>8164</v>
      </c>
      <c r="E105">
        <v>76001</v>
      </c>
      <c r="F105">
        <v>4.2</v>
      </c>
      <c r="G105">
        <v>4.2</v>
      </c>
      <c r="H105">
        <v>2</v>
      </c>
      <c r="I105">
        <v>2</v>
      </c>
      <c r="J105">
        <v>1.7</v>
      </c>
    </row>
    <row r="106" spans="1:10" x14ac:dyDescent="0.3">
      <c r="A106" t="s">
        <v>267</v>
      </c>
      <c r="B106">
        <v>4425</v>
      </c>
      <c r="C106">
        <v>0</v>
      </c>
      <c r="D106">
        <v>5</v>
      </c>
      <c r="E106">
        <v>31214</v>
      </c>
      <c r="F106">
        <v>1.6</v>
      </c>
      <c r="G106">
        <v>1.7</v>
      </c>
      <c r="H106">
        <v>1.6</v>
      </c>
      <c r="I106">
        <v>1.7</v>
      </c>
      <c r="J106">
        <v>1.3</v>
      </c>
    </row>
    <row r="107" spans="1:10" x14ac:dyDescent="0.3">
      <c r="A107" t="s">
        <v>267</v>
      </c>
      <c r="B107">
        <v>4450</v>
      </c>
      <c r="C107">
        <v>0</v>
      </c>
      <c r="D107">
        <v>2765</v>
      </c>
      <c r="E107">
        <v>20143</v>
      </c>
      <c r="F107">
        <v>1.5</v>
      </c>
      <c r="G107">
        <v>1.5</v>
      </c>
      <c r="H107">
        <v>1.1000000000000001</v>
      </c>
      <c r="I107">
        <v>1.2</v>
      </c>
      <c r="J107">
        <v>0.9</v>
      </c>
    </row>
    <row r="108" spans="1:10" x14ac:dyDescent="0.3">
      <c r="A108" t="s">
        <v>267</v>
      </c>
      <c r="B108">
        <v>4475</v>
      </c>
      <c r="C108">
        <v>0</v>
      </c>
      <c r="D108">
        <v>208</v>
      </c>
      <c r="E108">
        <v>13166</v>
      </c>
      <c r="F108">
        <v>0.9</v>
      </c>
      <c r="G108">
        <v>0.9</v>
      </c>
      <c r="H108">
        <v>0.9</v>
      </c>
      <c r="I108">
        <v>0.9</v>
      </c>
      <c r="J108">
        <v>0.7</v>
      </c>
    </row>
    <row r="109" spans="1:10" x14ac:dyDescent="0.3">
      <c r="A109" t="s">
        <v>267</v>
      </c>
      <c r="B109">
        <v>4500</v>
      </c>
      <c r="C109">
        <v>0</v>
      </c>
      <c r="D109">
        <v>17187</v>
      </c>
      <c r="E109">
        <v>75490</v>
      </c>
      <c r="F109">
        <v>0.8</v>
      </c>
      <c r="G109">
        <v>0.9</v>
      </c>
      <c r="H109">
        <v>0.8</v>
      </c>
      <c r="I109">
        <v>0.8</v>
      </c>
      <c r="J109">
        <v>0.6</v>
      </c>
    </row>
    <row r="110" spans="1:10" x14ac:dyDescent="0.3">
      <c r="A110" t="s">
        <v>267</v>
      </c>
      <c r="B110">
        <v>4525</v>
      </c>
      <c r="C110">
        <v>0</v>
      </c>
      <c r="D110">
        <v>4</v>
      </c>
      <c r="E110">
        <v>5179</v>
      </c>
      <c r="F110">
        <v>0.7</v>
      </c>
      <c r="G110">
        <v>0.7</v>
      </c>
      <c r="H110">
        <v>0.7</v>
      </c>
      <c r="I110">
        <v>0.7</v>
      </c>
      <c r="J110">
        <v>0.5</v>
      </c>
    </row>
    <row r="111" spans="1:10" x14ac:dyDescent="0.3">
      <c r="A111" t="s">
        <v>267</v>
      </c>
      <c r="B111">
        <v>4550</v>
      </c>
      <c r="C111">
        <v>0</v>
      </c>
      <c r="D111">
        <v>50</v>
      </c>
      <c r="E111">
        <v>9279</v>
      </c>
      <c r="F111">
        <v>0.5</v>
      </c>
      <c r="G111">
        <v>0.5</v>
      </c>
      <c r="H111">
        <v>0.5</v>
      </c>
      <c r="I111">
        <v>0.5</v>
      </c>
      <c r="J111">
        <v>0.4</v>
      </c>
    </row>
    <row r="112" spans="1:10" x14ac:dyDescent="0.3">
      <c r="A112" t="s">
        <v>267</v>
      </c>
      <c r="B112">
        <v>4575</v>
      </c>
      <c r="C112">
        <v>0</v>
      </c>
      <c r="D112">
        <v>50</v>
      </c>
      <c r="E112">
        <v>3285</v>
      </c>
      <c r="F112">
        <v>0.4</v>
      </c>
      <c r="G112">
        <v>0.4</v>
      </c>
      <c r="H112">
        <v>0.4</v>
      </c>
      <c r="I112">
        <v>0.4</v>
      </c>
      <c r="J112">
        <v>0.3</v>
      </c>
    </row>
    <row r="113" spans="1:10" x14ac:dyDescent="0.3">
      <c r="A113" t="s">
        <v>267</v>
      </c>
      <c r="B113">
        <v>4600</v>
      </c>
      <c r="C113">
        <v>0</v>
      </c>
      <c r="D113">
        <v>7007</v>
      </c>
      <c r="E113">
        <v>26539</v>
      </c>
      <c r="F113">
        <v>0.3</v>
      </c>
      <c r="G113">
        <v>0.3</v>
      </c>
      <c r="H113">
        <v>0.3</v>
      </c>
      <c r="I113">
        <v>0.3</v>
      </c>
      <c r="J113">
        <v>0.3</v>
      </c>
    </row>
    <row r="114" spans="1:10" x14ac:dyDescent="0.3">
      <c r="A114" t="s">
        <v>267</v>
      </c>
      <c r="B114">
        <v>4625</v>
      </c>
      <c r="C114">
        <v>0</v>
      </c>
      <c r="D114">
        <v>0</v>
      </c>
      <c r="E114">
        <v>1667</v>
      </c>
      <c r="F114">
        <v>0</v>
      </c>
      <c r="G114">
        <v>0</v>
      </c>
      <c r="H114">
        <v>0</v>
      </c>
      <c r="I114">
        <v>0</v>
      </c>
      <c r="J114">
        <v>0.3</v>
      </c>
    </row>
    <row r="115" spans="1:10" x14ac:dyDescent="0.3">
      <c r="A115" t="s">
        <v>267</v>
      </c>
      <c r="B115">
        <v>4650</v>
      </c>
      <c r="C115">
        <v>0</v>
      </c>
      <c r="D115">
        <v>0</v>
      </c>
      <c r="E115">
        <v>2828</v>
      </c>
      <c r="F115">
        <v>0</v>
      </c>
      <c r="G115">
        <v>0</v>
      </c>
      <c r="H115">
        <v>0</v>
      </c>
      <c r="I115">
        <v>0</v>
      </c>
      <c r="J115">
        <v>0.3</v>
      </c>
    </row>
    <row r="116" spans="1:10" x14ac:dyDescent="0.3">
      <c r="A116" t="s">
        <v>267</v>
      </c>
      <c r="B116">
        <v>4675</v>
      </c>
      <c r="C116">
        <v>0</v>
      </c>
      <c r="D116">
        <v>0</v>
      </c>
      <c r="E116">
        <v>1368</v>
      </c>
      <c r="F116">
        <v>0</v>
      </c>
      <c r="G116">
        <v>0</v>
      </c>
      <c r="H116">
        <v>0</v>
      </c>
      <c r="I116">
        <v>0</v>
      </c>
      <c r="J116">
        <v>0.2</v>
      </c>
    </row>
    <row r="117" spans="1:10" x14ac:dyDescent="0.3">
      <c r="A117" t="s">
        <v>267</v>
      </c>
      <c r="B117">
        <v>4700</v>
      </c>
      <c r="C117">
        <v>0</v>
      </c>
      <c r="D117">
        <v>4000</v>
      </c>
      <c r="E117">
        <v>43756</v>
      </c>
      <c r="F117">
        <v>0</v>
      </c>
      <c r="G117">
        <v>0</v>
      </c>
      <c r="H117">
        <v>0</v>
      </c>
      <c r="I117">
        <v>0</v>
      </c>
      <c r="J117">
        <v>0.2</v>
      </c>
    </row>
    <row r="118" spans="1:10" x14ac:dyDescent="0.3">
      <c r="A118" t="s">
        <v>267</v>
      </c>
      <c r="B118">
        <v>4725</v>
      </c>
      <c r="C118">
        <v>0</v>
      </c>
      <c r="D118">
        <v>0</v>
      </c>
      <c r="E118">
        <v>494</v>
      </c>
      <c r="F118">
        <v>0</v>
      </c>
      <c r="G118">
        <v>0</v>
      </c>
      <c r="H118">
        <v>0</v>
      </c>
      <c r="I118">
        <v>0</v>
      </c>
      <c r="J118">
        <v>0.2</v>
      </c>
    </row>
    <row r="119" spans="1:10" x14ac:dyDescent="0.3">
      <c r="A119" t="s">
        <v>267</v>
      </c>
      <c r="B119">
        <v>4750</v>
      </c>
      <c r="C119">
        <v>0</v>
      </c>
      <c r="D119">
        <v>0</v>
      </c>
      <c r="E119">
        <v>2072</v>
      </c>
      <c r="F119">
        <v>0</v>
      </c>
      <c r="G119">
        <v>0</v>
      </c>
      <c r="H119">
        <v>0</v>
      </c>
      <c r="I119">
        <v>0</v>
      </c>
      <c r="J119">
        <v>0.2</v>
      </c>
    </row>
    <row r="120" spans="1:10" x14ac:dyDescent="0.3">
      <c r="A120" t="s">
        <v>267</v>
      </c>
      <c r="B120">
        <v>4775</v>
      </c>
      <c r="C120">
        <v>0</v>
      </c>
      <c r="D120">
        <v>0</v>
      </c>
      <c r="E120">
        <v>866</v>
      </c>
      <c r="F120">
        <v>0</v>
      </c>
      <c r="G120">
        <v>0</v>
      </c>
      <c r="H120">
        <v>0</v>
      </c>
      <c r="I120">
        <v>0</v>
      </c>
      <c r="J120">
        <v>0.2</v>
      </c>
    </row>
    <row r="121" spans="1:10" x14ac:dyDescent="0.3">
      <c r="A121" t="s">
        <v>267</v>
      </c>
      <c r="B121">
        <v>4800</v>
      </c>
      <c r="C121">
        <v>0</v>
      </c>
      <c r="D121">
        <v>0</v>
      </c>
      <c r="E121">
        <v>4802</v>
      </c>
      <c r="F121">
        <v>0</v>
      </c>
      <c r="G121">
        <v>0</v>
      </c>
      <c r="H121">
        <v>0</v>
      </c>
      <c r="I121">
        <v>0</v>
      </c>
      <c r="J121">
        <v>0.2</v>
      </c>
    </row>
    <row r="122" spans="1:10" x14ac:dyDescent="0.3">
      <c r="A122" t="s">
        <v>267</v>
      </c>
      <c r="B122">
        <v>4825</v>
      </c>
      <c r="C122">
        <v>0</v>
      </c>
      <c r="D122">
        <v>0</v>
      </c>
      <c r="E122">
        <v>1272</v>
      </c>
      <c r="F122">
        <v>0</v>
      </c>
      <c r="G122">
        <v>0</v>
      </c>
      <c r="H122">
        <v>0</v>
      </c>
      <c r="I122">
        <v>0</v>
      </c>
      <c r="J122">
        <v>0.2</v>
      </c>
    </row>
    <row r="123" spans="1:10" x14ac:dyDescent="0.3">
      <c r="A123" t="s">
        <v>267</v>
      </c>
      <c r="B123">
        <v>4850</v>
      </c>
      <c r="C123">
        <v>0</v>
      </c>
      <c r="D123">
        <v>0</v>
      </c>
      <c r="E123">
        <v>7850</v>
      </c>
      <c r="F123">
        <v>0</v>
      </c>
      <c r="G123">
        <v>0</v>
      </c>
      <c r="H123">
        <v>0</v>
      </c>
      <c r="I123">
        <v>0</v>
      </c>
      <c r="J123">
        <v>0.2</v>
      </c>
    </row>
    <row r="124" spans="1:10" x14ac:dyDescent="0.3">
      <c r="A124" t="s">
        <v>267</v>
      </c>
      <c r="B124">
        <v>4875</v>
      </c>
      <c r="C124">
        <v>0</v>
      </c>
      <c r="D124">
        <v>0</v>
      </c>
      <c r="E124">
        <v>53</v>
      </c>
      <c r="F124">
        <v>0</v>
      </c>
      <c r="G124">
        <v>0</v>
      </c>
      <c r="H124">
        <v>0</v>
      </c>
      <c r="I124">
        <v>0</v>
      </c>
      <c r="J124">
        <v>0.1</v>
      </c>
    </row>
    <row r="125" spans="1:10" x14ac:dyDescent="0.3">
      <c r="A125" t="s">
        <v>267</v>
      </c>
      <c r="B125">
        <v>4900</v>
      </c>
      <c r="C125">
        <v>0</v>
      </c>
      <c r="D125">
        <v>0</v>
      </c>
      <c r="E125">
        <v>4396</v>
      </c>
      <c r="F125">
        <v>0</v>
      </c>
      <c r="G125">
        <v>0</v>
      </c>
      <c r="H125">
        <v>0</v>
      </c>
      <c r="I125">
        <v>0</v>
      </c>
      <c r="J125">
        <v>0.1</v>
      </c>
    </row>
    <row r="126" spans="1:10" x14ac:dyDescent="0.3">
      <c r="A126" t="s">
        <v>267</v>
      </c>
      <c r="B126">
        <v>4925</v>
      </c>
      <c r="C126">
        <v>0</v>
      </c>
      <c r="D126">
        <v>0</v>
      </c>
      <c r="E126">
        <v>576</v>
      </c>
      <c r="F126">
        <v>0</v>
      </c>
      <c r="G126">
        <v>0</v>
      </c>
      <c r="H126">
        <v>0</v>
      </c>
      <c r="I126">
        <v>0</v>
      </c>
      <c r="J126">
        <v>0.1</v>
      </c>
    </row>
    <row r="127" spans="1:10" x14ac:dyDescent="0.3">
      <c r="A127" t="s">
        <v>267</v>
      </c>
      <c r="B127">
        <v>4950</v>
      </c>
      <c r="C127">
        <v>0</v>
      </c>
      <c r="D127">
        <v>0</v>
      </c>
      <c r="E127">
        <v>479</v>
      </c>
      <c r="F127">
        <v>0</v>
      </c>
      <c r="G127">
        <v>0</v>
      </c>
      <c r="H127">
        <v>0</v>
      </c>
      <c r="I127">
        <v>0</v>
      </c>
      <c r="J127">
        <v>0.1</v>
      </c>
    </row>
    <row r="128" spans="1:10" x14ac:dyDescent="0.3">
      <c r="A128" t="s">
        <v>267</v>
      </c>
      <c r="B128">
        <v>4975</v>
      </c>
      <c r="C128">
        <v>0</v>
      </c>
      <c r="D128">
        <v>0</v>
      </c>
      <c r="E128">
        <v>81</v>
      </c>
      <c r="F128">
        <v>0</v>
      </c>
      <c r="G128">
        <v>0</v>
      </c>
      <c r="H128">
        <v>0</v>
      </c>
      <c r="I128">
        <v>0</v>
      </c>
      <c r="J128">
        <v>0.1</v>
      </c>
    </row>
    <row r="129" spans="1:10" x14ac:dyDescent="0.3">
      <c r="A129" t="s">
        <v>267</v>
      </c>
      <c r="B129">
        <v>5000</v>
      </c>
      <c r="C129">
        <v>0</v>
      </c>
      <c r="D129">
        <v>0</v>
      </c>
      <c r="E129">
        <v>1432</v>
      </c>
      <c r="F129">
        <v>0</v>
      </c>
      <c r="G129">
        <v>0</v>
      </c>
      <c r="H129">
        <v>0</v>
      </c>
      <c r="I129">
        <v>0</v>
      </c>
      <c r="J129">
        <v>0.1</v>
      </c>
    </row>
    <row r="130" spans="1:10" x14ac:dyDescent="0.3">
      <c r="A130" t="s">
        <v>267</v>
      </c>
      <c r="B130">
        <v>5025</v>
      </c>
      <c r="C130">
        <v>0</v>
      </c>
      <c r="D130">
        <v>0</v>
      </c>
      <c r="E130">
        <v>39</v>
      </c>
      <c r="F130">
        <v>0</v>
      </c>
      <c r="G130">
        <v>0</v>
      </c>
      <c r="H130">
        <v>0</v>
      </c>
      <c r="I130">
        <v>0</v>
      </c>
      <c r="J130">
        <v>0.1</v>
      </c>
    </row>
    <row r="131" spans="1:10" x14ac:dyDescent="0.3">
      <c r="A131" t="s">
        <v>267</v>
      </c>
      <c r="B131">
        <v>5050</v>
      </c>
      <c r="C131">
        <v>0</v>
      </c>
      <c r="D131">
        <v>0</v>
      </c>
      <c r="E131">
        <v>23</v>
      </c>
      <c r="F131">
        <v>0</v>
      </c>
      <c r="G131">
        <v>0</v>
      </c>
      <c r="H131">
        <v>0</v>
      </c>
      <c r="I131">
        <v>0</v>
      </c>
      <c r="J131">
        <v>0.1</v>
      </c>
    </row>
    <row r="132" spans="1:10" x14ac:dyDescent="0.3">
      <c r="A132" t="s">
        <v>267</v>
      </c>
      <c r="B132">
        <v>5075</v>
      </c>
      <c r="C132">
        <v>0</v>
      </c>
      <c r="D132">
        <v>0</v>
      </c>
      <c r="E132">
        <v>131</v>
      </c>
      <c r="F132">
        <v>0</v>
      </c>
      <c r="G132">
        <v>0</v>
      </c>
      <c r="H132">
        <v>0</v>
      </c>
      <c r="I132">
        <v>0</v>
      </c>
      <c r="J132">
        <v>0.1</v>
      </c>
    </row>
    <row r="133" spans="1:10" x14ac:dyDescent="0.3">
      <c r="A133" t="s">
        <v>267</v>
      </c>
      <c r="B133">
        <v>5100</v>
      </c>
      <c r="C133">
        <v>0</v>
      </c>
      <c r="D133">
        <v>0</v>
      </c>
      <c r="E133">
        <v>69</v>
      </c>
      <c r="F133">
        <v>0</v>
      </c>
      <c r="G133">
        <v>0</v>
      </c>
      <c r="H133">
        <v>0</v>
      </c>
      <c r="I133">
        <v>0</v>
      </c>
      <c r="J133">
        <v>0.1</v>
      </c>
    </row>
    <row r="134" spans="1:10" x14ac:dyDescent="0.3">
      <c r="A134" t="s">
        <v>267</v>
      </c>
      <c r="B134">
        <v>5125</v>
      </c>
      <c r="C134">
        <v>0</v>
      </c>
      <c r="D134">
        <v>0</v>
      </c>
      <c r="E134">
        <v>4</v>
      </c>
      <c r="F134">
        <v>0</v>
      </c>
      <c r="G134">
        <v>0</v>
      </c>
      <c r="H134">
        <v>0</v>
      </c>
      <c r="I134">
        <v>0</v>
      </c>
      <c r="J134">
        <v>0.1</v>
      </c>
    </row>
    <row r="135" spans="1:10" x14ac:dyDescent="0.3">
      <c r="A135" t="s">
        <v>267</v>
      </c>
      <c r="B135">
        <v>5150</v>
      </c>
      <c r="C135">
        <v>0</v>
      </c>
      <c r="D135">
        <v>0</v>
      </c>
      <c r="E135">
        <v>7</v>
      </c>
      <c r="F135">
        <v>0</v>
      </c>
      <c r="G135">
        <v>0</v>
      </c>
      <c r="H135">
        <v>0</v>
      </c>
      <c r="I135">
        <v>0</v>
      </c>
      <c r="J135">
        <v>0.1</v>
      </c>
    </row>
    <row r="136" spans="1:10" x14ac:dyDescent="0.3">
      <c r="A136" t="s">
        <v>267</v>
      </c>
      <c r="B136">
        <v>5175</v>
      </c>
      <c r="C136">
        <v>0</v>
      </c>
      <c r="D136">
        <v>416</v>
      </c>
      <c r="E136">
        <v>425</v>
      </c>
      <c r="F136">
        <v>0.1</v>
      </c>
      <c r="G136">
        <v>0.1</v>
      </c>
      <c r="H136">
        <v>0.1</v>
      </c>
      <c r="I136">
        <v>0.1</v>
      </c>
      <c r="J136">
        <v>0.1</v>
      </c>
    </row>
    <row r="137" spans="1:10" x14ac:dyDescent="0.3">
      <c r="A137" t="s">
        <v>267</v>
      </c>
      <c r="B137">
        <v>5200</v>
      </c>
      <c r="C137">
        <v>0</v>
      </c>
      <c r="D137">
        <v>0</v>
      </c>
      <c r="E137">
        <v>6</v>
      </c>
      <c r="F137">
        <v>0</v>
      </c>
      <c r="G137">
        <v>0</v>
      </c>
      <c r="H137">
        <v>0</v>
      </c>
      <c r="I137">
        <v>0</v>
      </c>
      <c r="J137">
        <v>0.1</v>
      </c>
    </row>
    <row r="138" spans="1:10" x14ac:dyDescent="0.3">
      <c r="A138" t="s">
        <v>267</v>
      </c>
      <c r="B138">
        <v>5300</v>
      </c>
      <c r="C138">
        <v>0</v>
      </c>
      <c r="D138">
        <v>0</v>
      </c>
      <c r="E138">
        <v>0</v>
      </c>
      <c r="F138">
        <v>0</v>
      </c>
      <c r="G138">
        <v>0</v>
      </c>
      <c r="H138">
        <v>0</v>
      </c>
      <c r="I138">
        <v>0</v>
      </c>
      <c r="J138">
        <v>0.1</v>
      </c>
    </row>
    <row r="139" spans="1:10" x14ac:dyDescent="0.3">
      <c r="A139" t="s">
        <v>267</v>
      </c>
      <c r="B139">
        <v>5400</v>
      </c>
      <c r="C139">
        <v>0</v>
      </c>
      <c r="D139">
        <v>0</v>
      </c>
      <c r="E139">
        <v>0</v>
      </c>
      <c r="F139">
        <v>0</v>
      </c>
      <c r="G139">
        <v>0</v>
      </c>
      <c r="H139">
        <v>0</v>
      </c>
      <c r="I139">
        <v>0</v>
      </c>
      <c r="J139">
        <v>0.1</v>
      </c>
    </row>
    <row r="140" spans="1:10" x14ac:dyDescent="0.3">
      <c r="A140" t="s">
        <v>267</v>
      </c>
      <c r="B140">
        <v>5500</v>
      </c>
      <c r="C140">
        <v>0</v>
      </c>
      <c r="D140">
        <v>0</v>
      </c>
      <c r="E140">
        <v>13</v>
      </c>
      <c r="F140">
        <v>0</v>
      </c>
      <c r="G140">
        <v>0</v>
      </c>
      <c r="H140">
        <v>0</v>
      </c>
      <c r="I140">
        <v>0</v>
      </c>
      <c r="J140">
        <v>0.1</v>
      </c>
    </row>
    <row r="141" spans="1:10" x14ac:dyDescent="0.3">
      <c r="A141" t="s">
        <v>267</v>
      </c>
      <c r="B141">
        <v>5600</v>
      </c>
      <c r="C141">
        <v>0</v>
      </c>
      <c r="D141">
        <v>0</v>
      </c>
      <c r="E141">
        <v>84</v>
      </c>
      <c r="F141">
        <v>0</v>
      </c>
      <c r="G141">
        <v>0</v>
      </c>
      <c r="H141">
        <v>0</v>
      </c>
      <c r="I141">
        <v>0</v>
      </c>
      <c r="J141">
        <v>0.1</v>
      </c>
    </row>
    <row r="142" spans="1:10" x14ac:dyDescent="0.3">
      <c r="A142" t="s">
        <v>267</v>
      </c>
      <c r="B142">
        <v>5700</v>
      </c>
      <c r="C142">
        <v>0</v>
      </c>
      <c r="D142">
        <v>0</v>
      </c>
      <c r="E142">
        <v>0</v>
      </c>
      <c r="F142">
        <v>0</v>
      </c>
      <c r="G142">
        <v>0</v>
      </c>
      <c r="H142">
        <v>0</v>
      </c>
      <c r="I142">
        <v>0</v>
      </c>
      <c r="J142">
        <v>0.1</v>
      </c>
    </row>
    <row r="143" spans="1:10" x14ac:dyDescent="0.3">
      <c r="A143" t="s">
        <v>267</v>
      </c>
      <c r="B143">
        <v>5800</v>
      </c>
      <c r="C143">
        <v>0</v>
      </c>
      <c r="D143">
        <v>0</v>
      </c>
      <c r="E143">
        <v>0</v>
      </c>
      <c r="F143">
        <v>0</v>
      </c>
      <c r="G143">
        <v>0</v>
      </c>
      <c r="H143">
        <v>0</v>
      </c>
      <c r="I143">
        <v>0</v>
      </c>
      <c r="J143">
        <v>0.1</v>
      </c>
    </row>
    <row r="144" spans="1:10" x14ac:dyDescent="0.3">
      <c r="A144" t="s">
        <v>267</v>
      </c>
      <c r="B144">
        <v>5900</v>
      </c>
      <c r="C144">
        <v>0</v>
      </c>
      <c r="D144">
        <v>0</v>
      </c>
      <c r="E144">
        <v>0</v>
      </c>
      <c r="F144">
        <v>0</v>
      </c>
      <c r="G144">
        <v>0</v>
      </c>
      <c r="H144">
        <v>0</v>
      </c>
      <c r="I144">
        <v>0</v>
      </c>
      <c r="J144">
        <v>0.1</v>
      </c>
    </row>
    <row r="145" spans="1:10" x14ac:dyDescent="0.3">
      <c r="A145" t="s">
        <v>267</v>
      </c>
      <c r="B145">
        <v>6000</v>
      </c>
      <c r="C145">
        <v>0</v>
      </c>
      <c r="D145">
        <v>0</v>
      </c>
      <c r="E145">
        <v>0</v>
      </c>
      <c r="F145">
        <v>0</v>
      </c>
      <c r="G145">
        <v>0</v>
      </c>
      <c r="H145">
        <v>0</v>
      </c>
      <c r="I145">
        <v>0</v>
      </c>
      <c r="J145">
        <v>0.1</v>
      </c>
    </row>
    <row r="146" spans="1:10" x14ac:dyDescent="0.3">
      <c r="A146" t="s">
        <v>267</v>
      </c>
      <c r="B146">
        <v>7000</v>
      </c>
      <c r="C146">
        <v>0</v>
      </c>
      <c r="D146">
        <v>0</v>
      </c>
      <c r="E146">
        <v>0</v>
      </c>
      <c r="F146">
        <v>0</v>
      </c>
      <c r="G146">
        <v>0</v>
      </c>
      <c r="H146">
        <v>0</v>
      </c>
      <c r="I146">
        <v>0</v>
      </c>
      <c r="J146">
        <v>0.1</v>
      </c>
    </row>
    <row r="147" spans="1:10" x14ac:dyDescent="0.3">
      <c r="A147" t="s">
        <v>267</v>
      </c>
      <c r="B147">
        <v>8000</v>
      </c>
      <c r="C147">
        <v>0</v>
      </c>
      <c r="D147">
        <v>0</v>
      </c>
      <c r="E147">
        <v>0</v>
      </c>
      <c r="F147">
        <v>0</v>
      </c>
      <c r="G147">
        <v>0</v>
      </c>
      <c r="H147">
        <v>0</v>
      </c>
      <c r="I147">
        <v>0</v>
      </c>
      <c r="J147">
        <v>0.1</v>
      </c>
    </row>
    <row r="148" spans="1:10" x14ac:dyDescent="0.3">
      <c r="A148" t="s">
        <v>267</v>
      </c>
      <c r="B148">
        <v>9000</v>
      </c>
      <c r="C148">
        <v>0</v>
      </c>
      <c r="D148">
        <v>0</v>
      </c>
      <c r="E148">
        <v>0</v>
      </c>
      <c r="F148">
        <v>0</v>
      </c>
      <c r="G148">
        <v>0</v>
      </c>
      <c r="H148">
        <v>0</v>
      </c>
      <c r="I148">
        <v>0</v>
      </c>
      <c r="J148">
        <v>0.1</v>
      </c>
    </row>
    <row r="149" spans="1:10" x14ac:dyDescent="0.3">
      <c r="A149" t="s">
        <v>267</v>
      </c>
      <c r="B149">
        <v>10000</v>
      </c>
      <c r="C149">
        <v>0</v>
      </c>
      <c r="D149">
        <v>0</v>
      </c>
      <c r="E149">
        <v>0</v>
      </c>
      <c r="F149">
        <v>0</v>
      </c>
      <c r="G149">
        <v>0</v>
      </c>
      <c r="H149">
        <v>0</v>
      </c>
      <c r="I149">
        <v>0</v>
      </c>
      <c r="J149">
        <v>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C780C-B10A-47AE-96C5-0F69CC240792}">
  <dimension ref="A1:J149"/>
  <sheetViews>
    <sheetView workbookViewId="0">
      <selection activeCell="E91" sqref="E91"/>
    </sheetView>
  </sheetViews>
  <sheetFormatPr baseColWidth="10" defaultColWidth="8.88671875" defaultRowHeight="14.4" x14ac:dyDescent="0.3"/>
  <sheetData>
    <row r="1" spans="1:10" x14ac:dyDescent="0.3">
      <c r="A1" s="138" t="s">
        <v>277</v>
      </c>
      <c r="B1" s="138" t="s">
        <v>276</v>
      </c>
      <c r="C1" s="138" t="s">
        <v>275</v>
      </c>
      <c r="D1" s="138" t="s">
        <v>274</v>
      </c>
      <c r="E1" s="138" t="s">
        <v>273</v>
      </c>
      <c r="F1" s="138" t="s">
        <v>272</v>
      </c>
      <c r="G1" s="138" t="s">
        <v>271</v>
      </c>
      <c r="H1" s="138" t="s">
        <v>270</v>
      </c>
      <c r="I1" s="138" t="s">
        <v>269</v>
      </c>
      <c r="J1" s="138" t="s">
        <v>268</v>
      </c>
    </row>
    <row r="2" spans="1:10" x14ac:dyDescent="0.3">
      <c r="A2" t="s">
        <v>278</v>
      </c>
      <c r="B2">
        <v>1000</v>
      </c>
      <c r="C2">
        <v>0</v>
      </c>
      <c r="D2">
        <v>0</v>
      </c>
      <c r="E2">
        <v>0</v>
      </c>
      <c r="F2">
        <v>0</v>
      </c>
      <c r="G2">
        <v>0</v>
      </c>
      <c r="H2">
        <v>0</v>
      </c>
      <c r="I2">
        <v>0</v>
      </c>
      <c r="J2">
        <v>0.1</v>
      </c>
    </row>
    <row r="3" spans="1:10" x14ac:dyDescent="0.3">
      <c r="A3" t="s">
        <v>278</v>
      </c>
      <c r="B3">
        <v>1100</v>
      </c>
      <c r="C3">
        <v>0</v>
      </c>
      <c r="D3">
        <v>0</v>
      </c>
      <c r="E3">
        <v>0</v>
      </c>
      <c r="F3">
        <v>0</v>
      </c>
      <c r="G3">
        <v>0</v>
      </c>
      <c r="H3">
        <v>0</v>
      </c>
      <c r="I3">
        <v>0</v>
      </c>
      <c r="J3">
        <v>0.1</v>
      </c>
    </row>
    <row r="4" spans="1:10" x14ac:dyDescent="0.3">
      <c r="A4" t="s">
        <v>278</v>
      </c>
      <c r="B4">
        <v>1200</v>
      </c>
      <c r="C4">
        <v>0</v>
      </c>
      <c r="D4">
        <v>0</v>
      </c>
      <c r="E4">
        <v>0</v>
      </c>
      <c r="F4">
        <v>0</v>
      </c>
      <c r="G4">
        <v>0</v>
      </c>
      <c r="H4">
        <v>0</v>
      </c>
      <c r="I4">
        <v>0</v>
      </c>
      <c r="J4">
        <v>0.1</v>
      </c>
    </row>
    <row r="5" spans="1:10" x14ac:dyDescent="0.3">
      <c r="A5" t="s">
        <v>278</v>
      </c>
      <c r="B5">
        <v>1300</v>
      </c>
      <c r="C5">
        <v>0</v>
      </c>
      <c r="D5">
        <v>0</v>
      </c>
      <c r="E5">
        <v>0</v>
      </c>
      <c r="F5">
        <v>0</v>
      </c>
      <c r="G5">
        <v>0</v>
      </c>
      <c r="H5">
        <v>0</v>
      </c>
      <c r="I5">
        <v>0</v>
      </c>
      <c r="J5">
        <v>0.1</v>
      </c>
    </row>
    <row r="6" spans="1:10" x14ac:dyDescent="0.3">
      <c r="A6" t="s">
        <v>278</v>
      </c>
      <c r="B6">
        <v>1400</v>
      </c>
      <c r="C6">
        <v>0</v>
      </c>
      <c r="D6">
        <v>0</v>
      </c>
      <c r="E6">
        <v>0</v>
      </c>
      <c r="F6">
        <v>0</v>
      </c>
      <c r="G6">
        <v>0</v>
      </c>
      <c r="H6">
        <v>0</v>
      </c>
      <c r="I6">
        <v>0</v>
      </c>
      <c r="J6">
        <v>0.1</v>
      </c>
    </row>
    <row r="7" spans="1:10" x14ac:dyDescent="0.3">
      <c r="A7" t="s">
        <v>278</v>
      </c>
      <c r="B7">
        <v>1500</v>
      </c>
      <c r="C7">
        <v>0</v>
      </c>
      <c r="D7">
        <v>0</v>
      </c>
      <c r="E7">
        <v>0</v>
      </c>
      <c r="F7">
        <v>0</v>
      </c>
      <c r="G7">
        <v>0</v>
      </c>
      <c r="H7">
        <v>0</v>
      </c>
      <c r="I7">
        <v>0</v>
      </c>
      <c r="J7">
        <v>0.1</v>
      </c>
    </row>
    <row r="8" spans="1:10" x14ac:dyDescent="0.3">
      <c r="A8" t="s">
        <v>278</v>
      </c>
      <c r="B8">
        <v>1600</v>
      </c>
      <c r="C8">
        <v>0</v>
      </c>
      <c r="D8">
        <v>0</v>
      </c>
      <c r="E8">
        <v>0</v>
      </c>
      <c r="F8">
        <v>0</v>
      </c>
      <c r="G8">
        <v>0</v>
      </c>
      <c r="H8">
        <v>0</v>
      </c>
      <c r="I8">
        <v>0</v>
      </c>
      <c r="J8">
        <v>0.1</v>
      </c>
    </row>
    <row r="9" spans="1:10" x14ac:dyDescent="0.3">
      <c r="A9" t="s">
        <v>278</v>
      </c>
      <c r="B9">
        <v>1700</v>
      </c>
      <c r="C9">
        <v>0</v>
      </c>
      <c r="D9">
        <v>0</v>
      </c>
      <c r="E9">
        <v>50</v>
      </c>
      <c r="F9">
        <v>0</v>
      </c>
      <c r="G9">
        <v>0</v>
      </c>
      <c r="H9">
        <v>0</v>
      </c>
      <c r="I9">
        <v>0</v>
      </c>
      <c r="J9">
        <v>0.1</v>
      </c>
    </row>
    <row r="10" spans="1:10" x14ac:dyDescent="0.3">
      <c r="A10" t="s">
        <v>278</v>
      </c>
      <c r="B10">
        <v>1800</v>
      </c>
      <c r="C10">
        <v>0</v>
      </c>
      <c r="D10">
        <v>0</v>
      </c>
      <c r="E10">
        <v>375</v>
      </c>
      <c r="F10">
        <v>0</v>
      </c>
      <c r="G10">
        <v>0</v>
      </c>
      <c r="H10">
        <v>0</v>
      </c>
      <c r="I10">
        <v>0</v>
      </c>
      <c r="J10">
        <v>0.1</v>
      </c>
    </row>
    <row r="11" spans="1:10" x14ac:dyDescent="0.3">
      <c r="A11" t="s">
        <v>278</v>
      </c>
      <c r="B11">
        <v>1850</v>
      </c>
      <c r="C11">
        <v>0</v>
      </c>
      <c r="D11">
        <v>0</v>
      </c>
      <c r="E11">
        <v>115</v>
      </c>
      <c r="F11">
        <v>0</v>
      </c>
      <c r="G11">
        <v>0</v>
      </c>
      <c r="H11">
        <v>0</v>
      </c>
      <c r="I11">
        <v>0</v>
      </c>
      <c r="J11">
        <v>0.1</v>
      </c>
    </row>
    <row r="12" spans="1:10" x14ac:dyDescent="0.3">
      <c r="A12" t="s">
        <v>278</v>
      </c>
      <c r="B12">
        <v>1900</v>
      </c>
      <c r="C12">
        <v>0</v>
      </c>
      <c r="D12">
        <v>0</v>
      </c>
      <c r="E12">
        <v>204</v>
      </c>
      <c r="F12">
        <v>0</v>
      </c>
      <c r="G12">
        <v>0</v>
      </c>
      <c r="H12">
        <v>0</v>
      </c>
      <c r="I12">
        <v>0</v>
      </c>
      <c r="J12">
        <v>0.1</v>
      </c>
    </row>
    <row r="13" spans="1:10" x14ac:dyDescent="0.3">
      <c r="A13" t="s">
        <v>278</v>
      </c>
      <c r="B13">
        <v>1950</v>
      </c>
      <c r="C13">
        <v>0</v>
      </c>
      <c r="D13">
        <v>0</v>
      </c>
      <c r="E13">
        <v>400</v>
      </c>
      <c r="F13">
        <v>0</v>
      </c>
      <c r="G13">
        <v>0</v>
      </c>
      <c r="H13">
        <v>0</v>
      </c>
      <c r="I13">
        <v>0</v>
      </c>
      <c r="J13">
        <v>0.1</v>
      </c>
    </row>
    <row r="14" spans="1:10" x14ac:dyDescent="0.3">
      <c r="A14" t="s">
        <v>278</v>
      </c>
      <c r="B14">
        <v>2000</v>
      </c>
      <c r="C14">
        <v>0</v>
      </c>
      <c r="D14">
        <v>0</v>
      </c>
      <c r="E14">
        <v>107</v>
      </c>
      <c r="F14">
        <v>0</v>
      </c>
      <c r="G14">
        <v>0</v>
      </c>
      <c r="H14">
        <v>0</v>
      </c>
      <c r="I14">
        <v>0</v>
      </c>
      <c r="J14">
        <v>0.1</v>
      </c>
    </row>
    <row r="15" spans="1:10" x14ac:dyDescent="0.3">
      <c r="A15" t="s">
        <v>278</v>
      </c>
      <c r="B15">
        <v>2050</v>
      </c>
      <c r="C15">
        <v>0</v>
      </c>
      <c r="D15">
        <v>0</v>
      </c>
      <c r="E15">
        <v>224</v>
      </c>
      <c r="F15">
        <v>0</v>
      </c>
      <c r="G15">
        <v>0</v>
      </c>
      <c r="H15">
        <v>0</v>
      </c>
      <c r="I15">
        <v>0</v>
      </c>
      <c r="J15">
        <v>0.1</v>
      </c>
    </row>
    <row r="16" spans="1:10" x14ac:dyDescent="0.3">
      <c r="A16" t="s">
        <v>278</v>
      </c>
      <c r="B16">
        <v>2100</v>
      </c>
      <c r="C16">
        <v>0</v>
      </c>
      <c r="D16">
        <v>0</v>
      </c>
      <c r="E16">
        <v>8</v>
      </c>
      <c r="F16">
        <v>0</v>
      </c>
      <c r="G16">
        <v>0</v>
      </c>
      <c r="H16">
        <v>0</v>
      </c>
      <c r="I16">
        <v>0</v>
      </c>
      <c r="J16">
        <v>0.1</v>
      </c>
    </row>
    <row r="17" spans="1:10" x14ac:dyDescent="0.3">
      <c r="A17" t="s">
        <v>278</v>
      </c>
      <c r="B17">
        <v>2150</v>
      </c>
      <c r="C17">
        <v>0</v>
      </c>
      <c r="D17">
        <v>440</v>
      </c>
      <c r="E17">
        <v>491</v>
      </c>
      <c r="F17">
        <v>0</v>
      </c>
      <c r="G17">
        <v>0</v>
      </c>
      <c r="H17">
        <v>0</v>
      </c>
      <c r="I17">
        <v>0</v>
      </c>
      <c r="J17">
        <v>0.2</v>
      </c>
    </row>
    <row r="18" spans="1:10" x14ac:dyDescent="0.3">
      <c r="A18" t="s">
        <v>278</v>
      </c>
      <c r="B18">
        <v>2200</v>
      </c>
      <c r="C18">
        <v>0</v>
      </c>
      <c r="D18">
        <v>0</v>
      </c>
      <c r="E18">
        <v>11</v>
      </c>
      <c r="F18">
        <v>0</v>
      </c>
      <c r="G18">
        <v>0</v>
      </c>
      <c r="H18">
        <v>0</v>
      </c>
      <c r="I18">
        <v>0</v>
      </c>
      <c r="J18">
        <v>0.2</v>
      </c>
    </row>
    <row r="19" spans="1:10" x14ac:dyDescent="0.3">
      <c r="A19" t="s">
        <v>278</v>
      </c>
      <c r="B19">
        <v>2250</v>
      </c>
      <c r="C19">
        <v>0</v>
      </c>
      <c r="D19">
        <v>0</v>
      </c>
      <c r="E19">
        <v>102</v>
      </c>
      <c r="F19">
        <v>0</v>
      </c>
      <c r="G19">
        <v>0</v>
      </c>
      <c r="H19">
        <v>0</v>
      </c>
      <c r="I19">
        <v>0</v>
      </c>
      <c r="J19">
        <v>0.2</v>
      </c>
    </row>
    <row r="20" spans="1:10" x14ac:dyDescent="0.3">
      <c r="A20" t="s">
        <v>278</v>
      </c>
      <c r="B20">
        <v>2275</v>
      </c>
      <c r="C20">
        <v>0</v>
      </c>
      <c r="D20">
        <v>0</v>
      </c>
      <c r="E20">
        <v>0</v>
      </c>
      <c r="F20">
        <v>0</v>
      </c>
      <c r="G20">
        <v>0</v>
      </c>
      <c r="H20">
        <v>0</v>
      </c>
      <c r="I20">
        <v>0</v>
      </c>
      <c r="J20">
        <v>0.3</v>
      </c>
    </row>
    <row r="21" spans="1:10" x14ac:dyDescent="0.3">
      <c r="A21" t="s">
        <v>278</v>
      </c>
      <c r="B21">
        <v>2300</v>
      </c>
      <c r="C21">
        <v>0</v>
      </c>
      <c r="D21">
        <v>0</v>
      </c>
      <c r="E21">
        <v>23</v>
      </c>
      <c r="F21">
        <v>0</v>
      </c>
      <c r="G21">
        <v>0</v>
      </c>
      <c r="H21">
        <v>0</v>
      </c>
      <c r="I21">
        <v>0</v>
      </c>
      <c r="J21">
        <v>0.3</v>
      </c>
    </row>
    <row r="22" spans="1:10" x14ac:dyDescent="0.3">
      <c r="A22" t="s">
        <v>278</v>
      </c>
      <c r="B22">
        <v>2325</v>
      </c>
      <c r="C22">
        <v>0</v>
      </c>
      <c r="D22">
        <v>0</v>
      </c>
      <c r="E22">
        <v>4</v>
      </c>
      <c r="F22">
        <v>0</v>
      </c>
      <c r="G22">
        <v>0</v>
      </c>
      <c r="H22">
        <v>0</v>
      </c>
      <c r="I22">
        <v>0</v>
      </c>
      <c r="J22">
        <v>0.3</v>
      </c>
    </row>
    <row r="23" spans="1:10" x14ac:dyDescent="0.3">
      <c r="A23" t="s">
        <v>278</v>
      </c>
      <c r="B23">
        <v>2350</v>
      </c>
      <c r="C23">
        <v>0</v>
      </c>
      <c r="D23">
        <v>0</v>
      </c>
      <c r="E23">
        <v>1850</v>
      </c>
      <c r="F23">
        <v>0</v>
      </c>
      <c r="G23">
        <v>0</v>
      </c>
      <c r="H23">
        <v>0</v>
      </c>
      <c r="I23">
        <v>0</v>
      </c>
      <c r="J23">
        <v>0.4</v>
      </c>
    </row>
    <row r="24" spans="1:10" x14ac:dyDescent="0.3">
      <c r="A24" t="s">
        <v>278</v>
      </c>
      <c r="B24">
        <v>2375</v>
      </c>
      <c r="C24">
        <v>0</v>
      </c>
      <c r="D24">
        <v>0</v>
      </c>
      <c r="E24">
        <v>286</v>
      </c>
      <c r="F24">
        <v>0</v>
      </c>
      <c r="G24">
        <v>0</v>
      </c>
      <c r="H24">
        <v>0</v>
      </c>
      <c r="I24">
        <v>0</v>
      </c>
      <c r="J24">
        <v>0.4</v>
      </c>
    </row>
    <row r="25" spans="1:10" x14ac:dyDescent="0.3">
      <c r="A25" t="s">
        <v>278</v>
      </c>
      <c r="B25">
        <v>2400</v>
      </c>
      <c r="C25">
        <v>0</v>
      </c>
      <c r="D25">
        <v>0</v>
      </c>
      <c r="E25">
        <v>7040</v>
      </c>
      <c r="F25">
        <v>0</v>
      </c>
      <c r="G25">
        <v>0</v>
      </c>
      <c r="H25">
        <v>0</v>
      </c>
      <c r="I25">
        <v>0</v>
      </c>
      <c r="J25">
        <v>0.4</v>
      </c>
    </row>
    <row r="26" spans="1:10" x14ac:dyDescent="0.3">
      <c r="A26" t="s">
        <v>278</v>
      </c>
      <c r="B26">
        <v>2425</v>
      </c>
      <c r="C26">
        <v>0</v>
      </c>
      <c r="D26">
        <v>200</v>
      </c>
      <c r="E26">
        <v>300</v>
      </c>
      <c r="F26">
        <v>0.4</v>
      </c>
      <c r="G26">
        <v>0.4</v>
      </c>
      <c r="H26">
        <v>0.4</v>
      </c>
      <c r="I26">
        <v>0.4</v>
      </c>
      <c r="J26">
        <v>0.5</v>
      </c>
    </row>
    <row r="27" spans="1:10" x14ac:dyDescent="0.3">
      <c r="A27" t="s">
        <v>278</v>
      </c>
      <c r="B27">
        <v>2450</v>
      </c>
      <c r="C27">
        <v>0</v>
      </c>
      <c r="D27">
        <v>5</v>
      </c>
      <c r="E27">
        <v>628</v>
      </c>
      <c r="F27">
        <v>0.5</v>
      </c>
      <c r="G27">
        <v>0.5</v>
      </c>
      <c r="H27">
        <v>0.5</v>
      </c>
      <c r="I27">
        <v>0.5</v>
      </c>
      <c r="J27">
        <v>0.5</v>
      </c>
    </row>
    <row r="28" spans="1:10" x14ac:dyDescent="0.3">
      <c r="A28" t="s">
        <v>278</v>
      </c>
      <c r="B28">
        <v>2475</v>
      </c>
      <c r="C28">
        <v>0</v>
      </c>
      <c r="D28">
        <v>0</v>
      </c>
      <c r="E28">
        <v>100</v>
      </c>
      <c r="F28">
        <v>0</v>
      </c>
      <c r="G28">
        <v>0</v>
      </c>
      <c r="H28">
        <v>0</v>
      </c>
      <c r="I28">
        <v>0</v>
      </c>
      <c r="J28">
        <v>0.5</v>
      </c>
    </row>
    <row r="29" spans="1:10" x14ac:dyDescent="0.3">
      <c r="A29" t="s">
        <v>278</v>
      </c>
      <c r="B29">
        <v>2500</v>
      </c>
      <c r="C29">
        <v>0</v>
      </c>
      <c r="D29">
        <v>0</v>
      </c>
      <c r="E29">
        <v>1848</v>
      </c>
      <c r="F29">
        <v>0</v>
      </c>
      <c r="G29">
        <v>0</v>
      </c>
      <c r="H29">
        <v>0</v>
      </c>
      <c r="I29">
        <v>0</v>
      </c>
      <c r="J29">
        <v>0.6</v>
      </c>
    </row>
    <row r="30" spans="1:10" x14ac:dyDescent="0.3">
      <c r="A30" t="s">
        <v>278</v>
      </c>
      <c r="B30">
        <v>2525</v>
      </c>
      <c r="C30">
        <v>0</v>
      </c>
      <c r="D30">
        <v>200</v>
      </c>
      <c r="E30">
        <v>400</v>
      </c>
      <c r="F30">
        <v>0.4</v>
      </c>
      <c r="G30">
        <v>0.4</v>
      </c>
      <c r="H30">
        <v>0.4</v>
      </c>
      <c r="I30">
        <v>0.4</v>
      </c>
      <c r="J30">
        <v>0.6</v>
      </c>
    </row>
    <row r="31" spans="1:10" x14ac:dyDescent="0.3">
      <c r="A31" t="s">
        <v>278</v>
      </c>
      <c r="B31">
        <v>2550</v>
      </c>
      <c r="C31">
        <v>0</v>
      </c>
      <c r="D31">
        <v>420</v>
      </c>
      <c r="E31">
        <v>671</v>
      </c>
      <c r="F31">
        <v>0.6</v>
      </c>
      <c r="G31">
        <v>0.6</v>
      </c>
      <c r="H31">
        <v>0.6</v>
      </c>
      <c r="I31">
        <v>0.6</v>
      </c>
      <c r="J31">
        <v>0.7</v>
      </c>
    </row>
    <row r="32" spans="1:10" x14ac:dyDescent="0.3">
      <c r="A32" t="s">
        <v>278</v>
      </c>
      <c r="B32">
        <v>2575</v>
      </c>
      <c r="C32">
        <v>0</v>
      </c>
      <c r="D32">
        <v>300</v>
      </c>
      <c r="E32">
        <v>620</v>
      </c>
      <c r="F32">
        <v>0.5</v>
      </c>
      <c r="G32">
        <v>0.5</v>
      </c>
      <c r="H32">
        <v>0.5</v>
      </c>
      <c r="I32">
        <v>0.5</v>
      </c>
      <c r="J32">
        <v>0.7</v>
      </c>
    </row>
    <row r="33" spans="1:10" x14ac:dyDescent="0.3">
      <c r="A33" t="s">
        <v>278</v>
      </c>
      <c r="B33">
        <v>2600</v>
      </c>
      <c r="C33">
        <v>0</v>
      </c>
      <c r="D33">
        <v>195</v>
      </c>
      <c r="E33">
        <v>2634</v>
      </c>
      <c r="F33">
        <v>0.6</v>
      </c>
      <c r="G33">
        <v>0.8</v>
      </c>
      <c r="H33">
        <v>0.6</v>
      </c>
      <c r="I33">
        <v>0.8</v>
      </c>
      <c r="J33">
        <v>0.8</v>
      </c>
    </row>
    <row r="34" spans="1:10" x14ac:dyDescent="0.3">
      <c r="A34" t="s">
        <v>278</v>
      </c>
      <c r="B34">
        <v>2625</v>
      </c>
      <c r="C34">
        <v>0</v>
      </c>
      <c r="D34">
        <v>33</v>
      </c>
      <c r="E34">
        <v>722</v>
      </c>
      <c r="F34">
        <v>0.9</v>
      </c>
      <c r="G34">
        <v>0.9</v>
      </c>
      <c r="H34">
        <v>0.8</v>
      </c>
      <c r="I34">
        <v>0.8</v>
      </c>
      <c r="J34">
        <v>0.9</v>
      </c>
    </row>
    <row r="35" spans="1:10" x14ac:dyDescent="0.3">
      <c r="A35" t="s">
        <v>278</v>
      </c>
      <c r="B35">
        <v>2650</v>
      </c>
      <c r="C35">
        <v>0</v>
      </c>
      <c r="D35">
        <v>42</v>
      </c>
      <c r="E35">
        <v>1361</v>
      </c>
      <c r="F35">
        <v>0.9</v>
      </c>
      <c r="G35">
        <v>0.9</v>
      </c>
      <c r="H35">
        <v>0.9</v>
      </c>
      <c r="I35">
        <v>0.9</v>
      </c>
      <c r="J35">
        <v>0.9</v>
      </c>
    </row>
    <row r="36" spans="1:10" x14ac:dyDescent="0.3">
      <c r="A36" t="s">
        <v>278</v>
      </c>
      <c r="B36">
        <v>2675</v>
      </c>
      <c r="C36">
        <v>0</v>
      </c>
      <c r="D36">
        <v>20</v>
      </c>
      <c r="E36">
        <v>1385</v>
      </c>
      <c r="F36">
        <v>1</v>
      </c>
      <c r="G36">
        <v>1</v>
      </c>
      <c r="H36">
        <v>1</v>
      </c>
      <c r="I36">
        <v>1</v>
      </c>
      <c r="J36">
        <v>1</v>
      </c>
    </row>
    <row r="37" spans="1:10" x14ac:dyDescent="0.3">
      <c r="A37" t="s">
        <v>278</v>
      </c>
      <c r="B37">
        <v>2700</v>
      </c>
      <c r="C37">
        <v>0</v>
      </c>
      <c r="D37">
        <v>6</v>
      </c>
      <c r="E37">
        <v>3106</v>
      </c>
      <c r="F37">
        <v>1</v>
      </c>
      <c r="G37">
        <v>1</v>
      </c>
      <c r="H37">
        <v>0.9</v>
      </c>
      <c r="I37">
        <v>1</v>
      </c>
      <c r="J37">
        <v>1.1000000000000001</v>
      </c>
    </row>
    <row r="38" spans="1:10" x14ac:dyDescent="0.3">
      <c r="A38" t="s">
        <v>278</v>
      </c>
      <c r="B38">
        <v>2725</v>
      </c>
      <c r="C38">
        <v>0</v>
      </c>
      <c r="D38">
        <v>42</v>
      </c>
      <c r="E38">
        <v>647</v>
      </c>
      <c r="F38">
        <v>1</v>
      </c>
      <c r="G38">
        <v>1.1000000000000001</v>
      </c>
      <c r="H38">
        <v>1</v>
      </c>
      <c r="I38">
        <v>1</v>
      </c>
      <c r="J38">
        <v>1.1000000000000001</v>
      </c>
    </row>
    <row r="39" spans="1:10" x14ac:dyDescent="0.3">
      <c r="A39" t="s">
        <v>278</v>
      </c>
      <c r="B39">
        <v>2750</v>
      </c>
      <c r="C39">
        <v>0</v>
      </c>
      <c r="D39">
        <v>503</v>
      </c>
      <c r="E39">
        <v>2249</v>
      </c>
      <c r="F39">
        <v>1.1000000000000001</v>
      </c>
      <c r="G39">
        <v>1.1000000000000001</v>
      </c>
      <c r="H39">
        <v>1</v>
      </c>
      <c r="I39">
        <v>1.1000000000000001</v>
      </c>
      <c r="J39">
        <v>1.2</v>
      </c>
    </row>
    <row r="40" spans="1:10" x14ac:dyDescent="0.3">
      <c r="A40" t="s">
        <v>278</v>
      </c>
      <c r="B40">
        <v>2775</v>
      </c>
      <c r="C40">
        <v>0</v>
      </c>
      <c r="D40">
        <v>83</v>
      </c>
      <c r="E40">
        <v>1039</v>
      </c>
      <c r="F40">
        <v>1.2</v>
      </c>
      <c r="G40">
        <v>1.2</v>
      </c>
      <c r="H40">
        <v>1.2</v>
      </c>
      <c r="I40">
        <v>1.2</v>
      </c>
      <c r="J40">
        <v>1.3</v>
      </c>
    </row>
    <row r="41" spans="1:10" x14ac:dyDescent="0.3">
      <c r="A41" t="s">
        <v>278</v>
      </c>
      <c r="B41">
        <v>2800</v>
      </c>
      <c r="C41">
        <v>0</v>
      </c>
      <c r="D41">
        <v>80</v>
      </c>
      <c r="E41">
        <v>6300</v>
      </c>
      <c r="F41">
        <v>1.1000000000000001</v>
      </c>
      <c r="G41">
        <v>1.3</v>
      </c>
      <c r="H41">
        <v>1.1000000000000001</v>
      </c>
      <c r="I41">
        <v>1.3</v>
      </c>
      <c r="J41">
        <v>1.4</v>
      </c>
    </row>
    <row r="42" spans="1:10" x14ac:dyDescent="0.3">
      <c r="A42" t="s">
        <v>278</v>
      </c>
      <c r="B42">
        <v>2825</v>
      </c>
      <c r="C42">
        <v>0</v>
      </c>
      <c r="D42">
        <v>75</v>
      </c>
      <c r="E42">
        <v>1407</v>
      </c>
      <c r="F42">
        <v>1.4</v>
      </c>
      <c r="G42">
        <v>1.4</v>
      </c>
      <c r="H42">
        <v>1.4</v>
      </c>
      <c r="I42">
        <v>1.4</v>
      </c>
      <c r="J42">
        <v>1.5</v>
      </c>
    </row>
    <row r="43" spans="1:10" x14ac:dyDescent="0.3">
      <c r="A43" t="s">
        <v>278</v>
      </c>
      <c r="B43">
        <v>2850</v>
      </c>
      <c r="C43">
        <v>0</v>
      </c>
      <c r="D43">
        <v>95</v>
      </c>
      <c r="E43">
        <v>273</v>
      </c>
      <c r="F43">
        <v>1.4</v>
      </c>
      <c r="G43">
        <v>1.5</v>
      </c>
      <c r="H43">
        <v>1.4</v>
      </c>
      <c r="I43">
        <v>1.5</v>
      </c>
      <c r="J43">
        <v>1.6</v>
      </c>
    </row>
    <row r="44" spans="1:10" x14ac:dyDescent="0.3">
      <c r="A44" t="s">
        <v>278</v>
      </c>
      <c r="B44">
        <v>2875</v>
      </c>
      <c r="C44">
        <v>0</v>
      </c>
      <c r="D44">
        <v>74</v>
      </c>
      <c r="E44">
        <v>144</v>
      </c>
      <c r="F44">
        <v>1.6</v>
      </c>
      <c r="G44">
        <v>1.6</v>
      </c>
      <c r="H44">
        <v>1.6</v>
      </c>
      <c r="I44">
        <v>1.6</v>
      </c>
      <c r="J44">
        <v>1.7</v>
      </c>
    </row>
    <row r="45" spans="1:10" x14ac:dyDescent="0.3">
      <c r="A45" t="s">
        <v>278</v>
      </c>
      <c r="B45">
        <v>2900</v>
      </c>
      <c r="C45">
        <v>0</v>
      </c>
      <c r="D45">
        <v>920</v>
      </c>
      <c r="E45">
        <v>4383</v>
      </c>
      <c r="F45">
        <v>1.5</v>
      </c>
      <c r="G45">
        <v>1.7</v>
      </c>
      <c r="H45">
        <v>1.4</v>
      </c>
      <c r="I45">
        <v>1.7</v>
      </c>
      <c r="J45">
        <v>1.8</v>
      </c>
    </row>
    <row r="46" spans="1:10" x14ac:dyDescent="0.3">
      <c r="A46" t="s">
        <v>278</v>
      </c>
      <c r="B46">
        <v>2925</v>
      </c>
      <c r="C46">
        <v>0</v>
      </c>
      <c r="D46">
        <v>58</v>
      </c>
      <c r="E46">
        <v>243</v>
      </c>
      <c r="F46">
        <v>1.7</v>
      </c>
      <c r="G46">
        <v>1.9</v>
      </c>
      <c r="H46">
        <v>1.7</v>
      </c>
      <c r="I46">
        <v>1.8</v>
      </c>
      <c r="J46">
        <v>1.9</v>
      </c>
    </row>
    <row r="47" spans="1:10" x14ac:dyDescent="0.3">
      <c r="A47" t="s">
        <v>278</v>
      </c>
      <c r="B47">
        <v>2950</v>
      </c>
      <c r="C47">
        <v>0</v>
      </c>
      <c r="D47">
        <v>24</v>
      </c>
      <c r="E47">
        <v>1159</v>
      </c>
      <c r="F47">
        <v>1.9</v>
      </c>
      <c r="G47">
        <v>1.9</v>
      </c>
      <c r="H47">
        <v>1.9</v>
      </c>
      <c r="I47">
        <v>1.9</v>
      </c>
      <c r="J47">
        <v>2</v>
      </c>
    </row>
    <row r="48" spans="1:10" x14ac:dyDescent="0.3">
      <c r="A48" t="s">
        <v>278</v>
      </c>
      <c r="B48">
        <v>2975</v>
      </c>
      <c r="C48">
        <v>0</v>
      </c>
      <c r="D48">
        <v>441</v>
      </c>
      <c r="E48">
        <v>402</v>
      </c>
      <c r="F48">
        <v>2</v>
      </c>
      <c r="G48">
        <v>2.1</v>
      </c>
      <c r="H48">
        <v>1.9</v>
      </c>
      <c r="I48">
        <v>2.1</v>
      </c>
      <c r="J48">
        <v>2.1</v>
      </c>
    </row>
    <row r="49" spans="1:10" x14ac:dyDescent="0.3">
      <c r="A49" t="s">
        <v>278</v>
      </c>
      <c r="B49">
        <v>3000</v>
      </c>
      <c r="C49">
        <v>0</v>
      </c>
      <c r="D49">
        <v>4683</v>
      </c>
      <c r="E49">
        <v>13689</v>
      </c>
      <c r="F49">
        <v>2</v>
      </c>
      <c r="G49">
        <v>2.2999999999999998</v>
      </c>
      <c r="H49">
        <v>1.9</v>
      </c>
      <c r="I49">
        <v>2.2000000000000002</v>
      </c>
      <c r="J49">
        <v>2.2000000000000002</v>
      </c>
    </row>
    <row r="50" spans="1:10" x14ac:dyDescent="0.3">
      <c r="A50" t="s">
        <v>278</v>
      </c>
      <c r="B50">
        <v>3025</v>
      </c>
      <c r="C50">
        <v>0</v>
      </c>
      <c r="D50">
        <v>525</v>
      </c>
      <c r="E50">
        <v>1234</v>
      </c>
      <c r="F50">
        <v>2.2999999999999998</v>
      </c>
      <c r="G50">
        <v>2.2999999999999998</v>
      </c>
      <c r="H50">
        <v>2.2000000000000002</v>
      </c>
      <c r="I50">
        <v>2.2999999999999998</v>
      </c>
      <c r="J50">
        <v>2.4</v>
      </c>
    </row>
    <row r="51" spans="1:10" x14ac:dyDescent="0.3">
      <c r="A51" t="s">
        <v>278</v>
      </c>
      <c r="B51">
        <v>3050</v>
      </c>
      <c r="C51">
        <v>0</v>
      </c>
      <c r="D51">
        <v>483</v>
      </c>
      <c r="E51">
        <v>890</v>
      </c>
      <c r="F51">
        <v>2.5</v>
      </c>
      <c r="G51">
        <v>2.5</v>
      </c>
      <c r="H51">
        <v>2.4</v>
      </c>
      <c r="I51">
        <v>2.5</v>
      </c>
      <c r="J51">
        <v>2.5</v>
      </c>
    </row>
    <row r="52" spans="1:10" x14ac:dyDescent="0.3">
      <c r="A52" t="s">
        <v>278</v>
      </c>
      <c r="B52">
        <v>3075</v>
      </c>
      <c r="C52">
        <v>0</v>
      </c>
      <c r="D52">
        <v>522</v>
      </c>
      <c r="E52">
        <v>1547</v>
      </c>
      <c r="F52">
        <v>2.6</v>
      </c>
      <c r="G52">
        <v>2.6</v>
      </c>
      <c r="H52">
        <v>2.5</v>
      </c>
      <c r="I52">
        <v>2.6</v>
      </c>
      <c r="J52">
        <v>2.7</v>
      </c>
    </row>
    <row r="53" spans="1:10" x14ac:dyDescent="0.3">
      <c r="A53" t="s">
        <v>278</v>
      </c>
      <c r="B53">
        <v>3100</v>
      </c>
      <c r="C53">
        <v>0</v>
      </c>
      <c r="D53">
        <v>599</v>
      </c>
      <c r="E53">
        <v>5415</v>
      </c>
      <c r="F53">
        <v>2.8</v>
      </c>
      <c r="G53">
        <v>2.9</v>
      </c>
      <c r="H53">
        <v>2.7</v>
      </c>
      <c r="I53">
        <v>2.8</v>
      </c>
      <c r="J53">
        <v>2.8</v>
      </c>
    </row>
    <row r="54" spans="1:10" x14ac:dyDescent="0.3">
      <c r="A54" t="s">
        <v>278</v>
      </c>
      <c r="B54">
        <v>3125</v>
      </c>
      <c r="C54">
        <v>0</v>
      </c>
      <c r="D54">
        <v>540</v>
      </c>
      <c r="E54">
        <v>694</v>
      </c>
      <c r="F54">
        <v>2.9</v>
      </c>
      <c r="G54">
        <v>3</v>
      </c>
      <c r="H54">
        <v>2.9</v>
      </c>
      <c r="I54">
        <v>3</v>
      </c>
      <c r="J54">
        <v>3</v>
      </c>
    </row>
    <row r="55" spans="1:10" x14ac:dyDescent="0.3">
      <c r="A55" t="s">
        <v>278</v>
      </c>
      <c r="B55">
        <v>3150</v>
      </c>
      <c r="C55">
        <v>0</v>
      </c>
      <c r="D55">
        <v>365</v>
      </c>
      <c r="E55">
        <v>5018</v>
      </c>
      <c r="F55">
        <v>3.2</v>
      </c>
      <c r="G55">
        <v>3.2</v>
      </c>
      <c r="H55">
        <v>3.1</v>
      </c>
      <c r="I55">
        <v>3.2</v>
      </c>
      <c r="J55">
        <v>3.2</v>
      </c>
    </row>
    <row r="56" spans="1:10" x14ac:dyDescent="0.3">
      <c r="A56" t="s">
        <v>278</v>
      </c>
      <c r="B56">
        <v>3175</v>
      </c>
      <c r="C56">
        <v>0</v>
      </c>
      <c r="D56">
        <v>332</v>
      </c>
      <c r="E56">
        <v>1554</v>
      </c>
      <c r="F56">
        <v>3</v>
      </c>
      <c r="G56">
        <v>3.4</v>
      </c>
      <c r="H56">
        <v>3</v>
      </c>
      <c r="I56">
        <v>3.4</v>
      </c>
      <c r="J56">
        <v>3.4</v>
      </c>
    </row>
    <row r="57" spans="1:10" x14ac:dyDescent="0.3">
      <c r="A57" t="s">
        <v>278</v>
      </c>
      <c r="B57">
        <v>3200</v>
      </c>
      <c r="C57">
        <v>0</v>
      </c>
      <c r="D57">
        <v>1341</v>
      </c>
      <c r="E57">
        <v>10108</v>
      </c>
      <c r="F57">
        <v>3.5</v>
      </c>
      <c r="G57">
        <v>3.7</v>
      </c>
      <c r="H57">
        <v>3</v>
      </c>
      <c r="I57">
        <v>3.7</v>
      </c>
      <c r="J57">
        <v>3.6</v>
      </c>
    </row>
    <row r="58" spans="1:10" x14ac:dyDescent="0.3">
      <c r="A58" t="s">
        <v>278</v>
      </c>
      <c r="B58">
        <v>3225</v>
      </c>
      <c r="C58">
        <v>0</v>
      </c>
      <c r="D58">
        <v>338</v>
      </c>
      <c r="E58">
        <v>1573</v>
      </c>
      <c r="F58">
        <v>3.9</v>
      </c>
      <c r="G58">
        <v>3.9</v>
      </c>
      <c r="H58">
        <v>3.7</v>
      </c>
      <c r="I58">
        <v>3.9</v>
      </c>
      <c r="J58">
        <v>3.8</v>
      </c>
    </row>
    <row r="59" spans="1:10" x14ac:dyDescent="0.3">
      <c r="A59" t="s">
        <v>278</v>
      </c>
      <c r="B59">
        <v>3250</v>
      </c>
      <c r="C59">
        <v>0</v>
      </c>
      <c r="D59">
        <v>927</v>
      </c>
      <c r="E59">
        <v>3101</v>
      </c>
      <c r="F59">
        <v>3.7</v>
      </c>
      <c r="G59">
        <v>4.3</v>
      </c>
      <c r="H59">
        <v>3.5</v>
      </c>
      <c r="I59">
        <v>4.0999999999999996</v>
      </c>
      <c r="J59">
        <v>4.0999999999999996</v>
      </c>
    </row>
    <row r="60" spans="1:10" x14ac:dyDescent="0.3">
      <c r="A60" t="s">
        <v>278</v>
      </c>
      <c r="B60">
        <v>3275</v>
      </c>
      <c r="C60">
        <v>0</v>
      </c>
      <c r="D60">
        <v>232</v>
      </c>
      <c r="E60">
        <v>1137</v>
      </c>
      <c r="F60">
        <v>4.3</v>
      </c>
      <c r="G60">
        <v>4.5</v>
      </c>
      <c r="H60">
        <v>4.2</v>
      </c>
      <c r="I60">
        <v>4.4000000000000004</v>
      </c>
      <c r="J60">
        <v>4.4000000000000004</v>
      </c>
    </row>
    <row r="61" spans="1:10" x14ac:dyDescent="0.3">
      <c r="A61" t="s">
        <v>278</v>
      </c>
      <c r="B61">
        <v>3300</v>
      </c>
      <c r="C61">
        <v>0</v>
      </c>
      <c r="D61">
        <v>6150</v>
      </c>
      <c r="E61">
        <v>25814</v>
      </c>
      <c r="F61">
        <v>4.7</v>
      </c>
      <c r="G61">
        <v>4.8</v>
      </c>
      <c r="H61">
        <v>4.2</v>
      </c>
      <c r="I61">
        <v>4.7</v>
      </c>
      <c r="J61">
        <v>4.7</v>
      </c>
    </row>
    <row r="62" spans="1:10" x14ac:dyDescent="0.3">
      <c r="A62" t="s">
        <v>278</v>
      </c>
      <c r="B62">
        <v>3325</v>
      </c>
      <c r="C62">
        <v>0</v>
      </c>
      <c r="D62">
        <v>396</v>
      </c>
      <c r="E62">
        <v>1386</v>
      </c>
      <c r="F62">
        <v>4.5999999999999996</v>
      </c>
      <c r="G62">
        <v>5.0999999999999996</v>
      </c>
      <c r="H62">
        <v>4.5</v>
      </c>
      <c r="I62">
        <v>5</v>
      </c>
      <c r="J62">
        <v>5</v>
      </c>
    </row>
    <row r="63" spans="1:10" x14ac:dyDescent="0.3">
      <c r="A63" t="s">
        <v>278</v>
      </c>
      <c r="B63">
        <v>3350</v>
      </c>
      <c r="C63">
        <v>0</v>
      </c>
      <c r="D63">
        <v>552</v>
      </c>
      <c r="E63">
        <v>4021</v>
      </c>
      <c r="F63">
        <v>5.7</v>
      </c>
      <c r="G63">
        <v>5.7</v>
      </c>
      <c r="H63">
        <v>5.2</v>
      </c>
      <c r="I63">
        <v>5.4</v>
      </c>
      <c r="J63">
        <v>5.4</v>
      </c>
    </row>
    <row r="64" spans="1:10" x14ac:dyDescent="0.3">
      <c r="A64" t="s">
        <v>278</v>
      </c>
      <c r="B64">
        <v>3375</v>
      </c>
      <c r="C64">
        <v>0</v>
      </c>
      <c r="D64">
        <v>844</v>
      </c>
      <c r="E64">
        <v>4011</v>
      </c>
      <c r="F64">
        <v>5.3</v>
      </c>
      <c r="G64">
        <v>5.8</v>
      </c>
      <c r="H64">
        <v>5.3</v>
      </c>
      <c r="I64">
        <v>5.8</v>
      </c>
      <c r="J64">
        <v>5.8</v>
      </c>
    </row>
    <row r="65" spans="1:10" x14ac:dyDescent="0.3">
      <c r="A65" t="s">
        <v>278</v>
      </c>
      <c r="B65">
        <v>3400</v>
      </c>
      <c r="C65">
        <v>0</v>
      </c>
      <c r="D65">
        <v>12823</v>
      </c>
      <c r="E65">
        <v>52939</v>
      </c>
      <c r="F65">
        <v>6.5</v>
      </c>
      <c r="G65">
        <v>6.7</v>
      </c>
      <c r="H65">
        <v>5.7</v>
      </c>
      <c r="I65">
        <v>6.2</v>
      </c>
      <c r="J65">
        <v>6.2</v>
      </c>
    </row>
    <row r="66" spans="1:10" x14ac:dyDescent="0.3">
      <c r="A66" t="s">
        <v>278</v>
      </c>
      <c r="B66">
        <v>3425</v>
      </c>
      <c r="C66">
        <v>0</v>
      </c>
      <c r="D66">
        <v>304</v>
      </c>
      <c r="E66">
        <v>11898</v>
      </c>
      <c r="F66">
        <v>6.2</v>
      </c>
      <c r="G66">
        <v>6.9</v>
      </c>
      <c r="H66">
        <v>6.1</v>
      </c>
      <c r="I66">
        <v>6.6</v>
      </c>
      <c r="J66">
        <v>6.6</v>
      </c>
    </row>
    <row r="67" spans="1:10" x14ac:dyDescent="0.3">
      <c r="A67" t="s">
        <v>278</v>
      </c>
      <c r="B67">
        <v>3450</v>
      </c>
      <c r="C67">
        <v>0</v>
      </c>
      <c r="D67">
        <v>361</v>
      </c>
      <c r="E67">
        <v>4340</v>
      </c>
      <c r="F67">
        <v>6.1</v>
      </c>
      <c r="G67">
        <v>7.4</v>
      </c>
      <c r="H67">
        <v>6.1</v>
      </c>
      <c r="I67">
        <v>7.2</v>
      </c>
      <c r="J67">
        <v>7.2</v>
      </c>
    </row>
    <row r="68" spans="1:10" x14ac:dyDescent="0.3">
      <c r="A68" t="s">
        <v>278</v>
      </c>
      <c r="B68">
        <v>3475</v>
      </c>
      <c r="C68">
        <v>0</v>
      </c>
      <c r="D68">
        <v>689</v>
      </c>
      <c r="E68">
        <v>11117</v>
      </c>
      <c r="F68">
        <v>8.1</v>
      </c>
      <c r="G68">
        <v>8.1</v>
      </c>
      <c r="H68">
        <v>7.5</v>
      </c>
      <c r="I68">
        <v>7.8</v>
      </c>
      <c r="J68">
        <v>7.7</v>
      </c>
    </row>
    <row r="69" spans="1:10" x14ac:dyDescent="0.3">
      <c r="A69" t="s">
        <v>278</v>
      </c>
      <c r="B69">
        <v>3500</v>
      </c>
      <c r="C69">
        <v>0</v>
      </c>
      <c r="D69">
        <v>2409</v>
      </c>
      <c r="E69">
        <v>52669</v>
      </c>
      <c r="F69">
        <v>9</v>
      </c>
      <c r="G69">
        <v>9</v>
      </c>
      <c r="H69">
        <v>7.8</v>
      </c>
      <c r="I69">
        <v>8.4</v>
      </c>
      <c r="J69">
        <v>8.4</v>
      </c>
    </row>
    <row r="70" spans="1:10" x14ac:dyDescent="0.3">
      <c r="A70" t="s">
        <v>278</v>
      </c>
      <c r="B70">
        <v>3525</v>
      </c>
      <c r="C70">
        <v>0</v>
      </c>
      <c r="D70">
        <v>552</v>
      </c>
      <c r="E70">
        <v>3935</v>
      </c>
      <c r="F70">
        <v>8.5</v>
      </c>
      <c r="G70">
        <v>9.1999999999999993</v>
      </c>
      <c r="H70">
        <v>8.5</v>
      </c>
      <c r="I70">
        <v>9.1999999999999993</v>
      </c>
      <c r="J70">
        <v>9.1</v>
      </c>
    </row>
    <row r="71" spans="1:10" x14ac:dyDescent="0.3">
      <c r="A71" t="s">
        <v>278</v>
      </c>
      <c r="B71">
        <v>3550</v>
      </c>
      <c r="C71">
        <v>0</v>
      </c>
      <c r="D71">
        <v>704</v>
      </c>
      <c r="E71">
        <v>35472</v>
      </c>
      <c r="F71">
        <v>9.3000000000000007</v>
      </c>
      <c r="G71">
        <v>10.199999999999999</v>
      </c>
      <c r="H71">
        <v>9</v>
      </c>
      <c r="I71">
        <v>10</v>
      </c>
      <c r="J71">
        <v>9.9</v>
      </c>
    </row>
    <row r="72" spans="1:10" x14ac:dyDescent="0.3">
      <c r="A72" t="s">
        <v>278</v>
      </c>
      <c r="B72">
        <v>3575</v>
      </c>
      <c r="C72">
        <v>0</v>
      </c>
      <c r="D72">
        <v>1999</v>
      </c>
      <c r="E72">
        <v>14639</v>
      </c>
      <c r="F72">
        <v>11.3</v>
      </c>
      <c r="G72">
        <v>11.3</v>
      </c>
      <c r="H72">
        <v>9.8000000000000007</v>
      </c>
      <c r="I72">
        <v>11</v>
      </c>
      <c r="J72">
        <v>10.9</v>
      </c>
    </row>
    <row r="73" spans="1:10" x14ac:dyDescent="0.3">
      <c r="A73" t="s">
        <v>278</v>
      </c>
      <c r="B73">
        <v>3600</v>
      </c>
      <c r="C73">
        <v>0</v>
      </c>
      <c r="D73">
        <v>25777</v>
      </c>
      <c r="E73">
        <v>71246</v>
      </c>
      <c r="F73">
        <v>13.3</v>
      </c>
      <c r="G73">
        <v>13.3</v>
      </c>
      <c r="H73">
        <v>10.8</v>
      </c>
      <c r="I73">
        <v>12.1</v>
      </c>
      <c r="J73">
        <v>11.9</v>
      </c>
    </row>
    <row r="74" spans="1:10" x14ac:dyDescent="0.3">
      <c r="A74" t="s">
        <v>278</v>
      </c>
      <c r="B74">
        <v>3625</v>
      </c>
      <c r="C74">
        <v>0</v>
      </c>
      <c r="D74">
        <v>894</v>
      </c>
      <c r="E74">
        <v>8282</v>
      </c>
      <c r="F74">
        <v>14.7</v>
      </c>
      <c r="G74">
        <v>14.7</v>
      </c>
      <c r="H74">
        <v>11.4</v>
      </c>
      <c r="I74">
        <v>13.2</v>
      </c>
      <c r="J74">
        <v>13.1</v>
      </c>
    </row>
    <row r="75" spans="1:10" x14ac:dyDescent="0.3">
      <c r="A75" t="s">
        <v>278</v>
      </c>
      <c r="B75">
        <v>3650</v>
      </c>
      <c r="C75">
        <v>0</v>
      </c>
      <c r="D75">
        <v>14529</v>
      </c>
      <c r="E75">
        <v>40849</v>
      </c>
      <c r="F75">
        <v>15.3</v>
      </c>
      <c r="G75">
        <v>16.2</v>
      </c>
      <c r="H75">
        <v>12.8</v>
      </c>
      <c r="I75">
        <v>14.8</v>
      </c>
      <c r="J75">
        <v>14.5</v>
      </c>
    </row>
    <row r="76" spans="1:10" x14ac:dyDescent="0.3">
      <c r="A76" t="s">
        <v>278</v>
      </c>
      <c r="B76">
        <v>3675</v>
      </c>
      <c r="C76">
        <v>0</v>
      </c>
      <c r="D76">
        <v>805</v>
      </c>
      <c r="E76">
        <v>21769</v>
      </c>
      <c r="F76">
        <v>15.3</v>
      </c>
      <c r="G76">
        <v>16.5</v>
      </c>
      <c r="H76">
        <v>14.4</v>
      </c>
      <c r="I76">
        <v>16.100000000000001</v>
      </c>
      <c r="J76">
        <v>16</v>
      </c>
    </row>
    <row r="77" spans="1:10" x14ac:dyDescent="0.3">
      <c r="A77" t="s">
        <v>278</v>
      </c>
      <c r="B77">
        <v>3700</v>
      </c>
      <c r="C77">
        <v>0</v>
      </c>
      <c r="D77">
        <v>21647</v>
      </c>
      <c r="E77">
        <v>75149</v>
      </c>
      <c r="F77">
        <v>19.600000000000001</v>
      </c>
      <c r="G77">
        <v>19.600000000000001</v>
      </c>
      <c r="H77">
        <v>15.1</v>
      </c>
      <c r="I77">
        <v>17.899999999999999</v>
      </c>
      <c r="J77">
        <v>17.8</v>
      </c>
    </row>
    <row r="78" spans="1:10" x14ac:dyDescent="0.3">
      <c r="A78" t="s">
        <v>278</v>
      </c>
      <c r="B78">
        <v>3725</v>
      </c>
      <c r="C78">
        <v>0</v>
      </c>
      <c r="D78">
        <v>5761</v>
      </c>
      <c r="E78">
        <v>9953</v>
      </c>
      <c r="F78">
        <v>22.1</v>
      </c>
      <c r="G78">
        <v>22.1</v>
      </c>
      <c r="H78">
        <v>17.8</v>
      </c>
      <c r="I78">
        <v>20</v>
      </c>
      <c r="J78">
        <v>20</v>
      </c>
    </row>
    <row r="79" spans="1:10" x14ac:dyDescent="0.3">
      <c r="A79" t="s">
        <v>278</v>
      </c>
      <c r="B79">
        <v>3750</v>
      </c>
      <c r="C79">
        <v>0</v>
      </c>
      <c r="D79">
        <v>8352</v>
      </c>
      <c r="E79">
        <v>31937</v>
      </c>
      <c r="F79">
        <v>20.2</v>
      </c>
      <c r="G79">
        <v>23.5</v>
      </c>
      <c r="H79">
        <v>19.600000000000001</v>
      </c>
      <c r="I79">
        <v>22.5</v>
      </c>
      <c r="J79">
        <v>22.4</v>
      </c>
    </row>
    <row r="80" spans="1:10" x14ac:dyDescent="0.3">
      <c r="A80" t="s">
        <v>278</v>
      </c>
      <c r="B80">
        <v>3775</v>
      </c>
      <c r="C80">
        <v>0</v>
      </c>
      <c r="D80">
        <v>4151</v>
      </c>
      <c r="E80">
        <v>26655</v>
      </c>
      <c r="F80">
        <v>26.8</v>
      </c>
      <c r="G80">
        <v>26.8</v>
      </c>
      <c r="H80">
        <v>21.2</v>
      </c>
      <c r="I80">
        <v>25.1</v>
      </c>
      <c r="J80">
        <v>25.3</v>
      </c>
    </row>
    <row r="81" spans="1:10" x14ac:dyDescent="0.3">
      <c r="A81" t="s">
        <v>278</v>
      </c>
      <c r="B81">
        <v>3800</v>
      </c>
      <c r="C81">
        <v>0</v>
      </c>
      <c r="D81">
        <v>17725</v>
      </c>
      <c r="E81">
        <v>114497</v>
      </c>
      <c r="F81">
        <v>29</v>
      </c>
      <c r="G81">
        <v>30.5</v>
      </c>
      <c r="H81">
        <v>24.8</v>
      </c>
      <c r="I81">
        <v>28.3</v>
      </c>
      <c r="J81">
        <v>28.5</v>
      </c>
    </row>
    <row r="82" spans="1:10" x14ac:dyDescent="0.3">
      <c r="A82" t="s">
        <v>278</v>
      </c>
      <c r="B82">
        <v>3825</v>
      </c>
      <c r="C82">
        <v>0</v>
      </c>
      <c r="D82">
        <v>1439</v>
      </c>
      <c r="E82">
        <v>3962</v>
      </c>
      <c r="F82">
        <v>33.200000000000003</v>
      </c>
      <c r="G82">
        <v>34.1</v>
      </c>
      <c r="H82">
        <v>27</v>
      </c>
      <c r="I82">
        <v>32.1</v>
      </c>
      <c r="J82">
        <v>32.200000000000003</v>
      </c>
    </row>
    <row r="83" spans="1:10" x14ac:dyDescent="0.3">
      <c r="A83" t="s">
        <v>278</v>
      </c>
      <c r="B83">
        <v>3850</v>
      </c>
      <c r="C83">
        <v>0</v>
      </c>
      <c r="D83">
        <v>29436</v>
      </c>
      <c r="E83">
        <v>79078</v>
      </c>
      <c r="F83">
        <v>37.299999999999997</v>
      </c>
      <c r="G83">
        <v>37.6</v>
      </c>
      <c r="H83">
        <v>30.7</v>
      </c>
      <c r="I83">
        <v>36.200000000000003</v>
      </c>
      <c r="J83">
        <v>36.4</v>
      </c>
    </row>
    <row r="84" spans="1:10" x14ac:dyDescent="0.3">
      <c r="A84" t="s">
        <v>278</v>
      </c>
      <c r="B84">
        <v>3875</v>
      </c>
      <c r="C84">
        <v>0</v>
      </c>
      <c r="D84">
        <v>5100</v>
      </c>
      <c r="E84">
        <v>38614</v>
      </c>
      <c r="F84">
        <v>40</v>
      </c>
      <c r="G84">
        <v>41.8</v>
      </c>
      <c r="H84">
        <v>34.200000000000003</v>
      </c>
      <c r="I84">
        <v>41</v>
      </c>
      <c r="J84">
        <v>41.1</v>
      </c>
    </row>
    <row r="85" spans="1:10" x14ac:dyDescent="0.3">
      <c r="A85" t="s">
        <v>278</v>
      </c>
      <c r="B85">
        <v>3900</v>
      </c>
      <c r="C85">
        <v>0</v>
      </c>
      <c r="D85">
        <v>38197</v>
      </c>
      <c r="E85">
        <v>96821</v>
      </c>
      <c r="F85">
        <v>46.1</v>
      </c>
      <c r="G85">
        <v>48.3</v>
      </c>
      <c r="H85">
        <v>38.799999999999997</v>
      </c>
      <c r="I85">
        <v>46.5</v>
      </c>
      <c r="J85">
        <v>46.5</v>
      </c>
    </row>
    <row r="86" spans="1:10" x14ac:dyDescent="0.3">
      <c r="A86" t="s">
        <v>278</v>
      </c>
      <c r="B86">
        <v>3925</v>
      </c>
      <c r="C86">
        <v>0</v>
      </c>
      <c r="D86">
        <v>2942</v>
      </c>
      <c r="E86">
        <v>7584</v>
      </c>
      <c r="F86">
        <v>47.6</v>
      </c>
      <c r="G86">
        <v>53.5</v>
      </c>
      <c r="H86">
        <v>45.5</v>
      </c>
      <c r="I86">
        <v>52.5</v>
      </c>
      <c r="J86">
        <v>52.6</v>
      </c>
    </row>
    <row r="87" spans="1:10" x14ac:dyDescent="0.3">
      <c r="A87" t="s">
        <v>278</v>
      </c>
      <c r="B87">
        <v>3950</v>
      </c>
      <c r="C87">
        <v>0</v>
      </c>
      <c r="D87">
        <v>23864</v>
      </c>
      <c r="E87">
        <v>69246</v>
      </c>
      <c r="F87">
        <v>57.8</v>
      </c>
      <c r="G87">
        <v>60</v>
      </c>
      <c r="H87">
        <v>50.5</v>
      </c>
      <c r="I87">
        <v>59.5</v>
      </c>
      <c r="J87">
        <v>59.4</v>
      </c>
    </row>
    <row r="88" spans="1:10" x14ac:dyDescent="0.3">
      <c r="A88" t="s">
        <v>278</v>
      </c>
      <c r="B88">
        <v>3975</v>
      </c>
      <c r="C88">
        <v>0</v>
      </c>
      <c r="D88">
        <v>1268</v>
      </c>
      <c r="E88">
        <v>20560</v>
      </c>
      <c r="F88">
        <v>56</v>
      </c>
      <c r="G88">
        <v>67.900000000000006</v>
      </c>
      <c r="H88">
        <v>56</v>
      </c>
      <c r="I88">
        <v>67.099999999999994</v>
      </c>
      <c r="J88">
        <v>67.099999999999994</v>
      </c>
    </row>
    <row r="89" spans="1:10" x14ac:dyDescent="0.3">
      <c r="A89" t="s">
        <v>278</v>
      </c>
      <c r="B89">
        <v>4000</v>
      </c>
      <c r="C89">
        <v>0</v>
      </c>
      <c r="D89">
        <v>46531</v>
      </c>
      <c r="E89">
        <v>159533</v>
      </c>
      <c r="F89">
        <v>71.599999999999994</v>
      </c>
      <c r="G89">
        <v>77.8</v>
      </c>
      <c r="H89">
        <v>62.4</v>
      </c>
      <c r="I89">
        <v>75.2</v>
      </c>
      <c r="J89">
        <v>75.7</v>
      </c>
    </row>
    <row r="90" spans="1:10" x14ac:dyDescent="0.3">
      <c r="A90" t="s">
        <v>278</v>
      </c>
      <c r="B90">
        <v>4025</v>
      </c>
      <c r="C90">
        <v>0</v>
      </c>
      <c r="D90">
        <v>1040</v>
      </c>
      <c r="E90">
        <v>10508</v>
      </c>
      <c r="F90">
        <v>83</v>
      </c>
      <c r="G90">
        <v>86</v>
      </c>
      <c r="H90">
        <v>70.099999999999994</v>
      </c>
      <c r="I90">
        <v>85</v>
      </c>
      <c r="J90">
        <v>85.3</v>
      </c>
    </row>
    <row r="91" spans="1:10" x14ac:dyDescent="0.3">
      <c r="A91" t="s">
        <v>278</v>
      </c>
      <c r="B91">
        <v>4050</v>
      </c>
      <c r="C91">
        <v>0</v>
      </c>
      <c r="D91">
        <v>10586</v>
      </c>
      <c r="E91">
        <v>58854</v>
      </c>
      <c r="F91">
        <v>93.9</v>
      </c>
      <c r="G91">
        <v>97</v>
      </c>
      <c r="H91">
        <v>79.900000000000006</v>
      </c>
      <c r="I91">
        <v>97</v>
      </c>
      <c r="J91">
        <v>95.8</v>
      </c>
    </row>
    <row r="92" spans="1:10" x14ac:dyDescent="0.3">
      <c r="A92" t="s">
        <v>278</v>
      </c>
      <c r="B92">
        <v>4075</v>
      </c>
      <c r="C92">
        <v>0</v>
      </c>
      <c r="D92">
        <v>3349</v>
      </c>
      <c r="E92">
        <v>31493</v>
      </c>
      <c r="F92">
        <v>104.7</v>
      </c>
      <c r="G92">
        <v>106.4</v>
      </c>
      <c r="H92">
        <v>92</v>
      </c>
      <c r="I92">
        <v>101.4</v>
      </c>
      <c r="J92">
        <v>107.6</v>
      </c>
    </row>
    <row r="93" spans="1:10" x14ac:dyDescent="0.3">
      <c r="A93" t="s">
        <v>278</v>
      </c>
      <c r="B93">
        <v>4100</v>
      </c>
      <c r="C93">
        <v>0</v>
      </c>
      <c r="D93">
        <v>28681</v>
      </c>
      <c r="E93">
        <v>150609</v>
      </c>
      <c r="F93">
        <v>111.3</v>
      </c>
      <c r="G93">
        <v>120.5</v>
      </c>
      <c r="H93">
        <v>104.2</v>
      </c>
      <c r="I93">
        <v>120</v>
      </c>
      <c r="J93">
        <v>120.5</v>
      </c>
    </row>
    <row r="94" spans="1:10" x14ac:dyDescent="0.3">
      <c r="A94" t="s">
        <v>278</v>
      </c>
      <c r="B94">
        <v>4125</v>
      </c>
      <c r="C94">
        <v>0</v>
      </c>
      <c r="D94">
        <v>129</v>
      </c>
      <c r="E94">
        <v>13591</v>
      </c>
      <c r="F94">
        <v>123.8</v>
      </c>
      <c r="G94">
        <v>123.8</v>
      </c>
      <c r="H94">
        <v>123.8</v>
      </c>
      <c r="I94">
        <v>123.8</v>
      </c>
      <c r="J94">
        <v>134.80000000000001</v>
      </c>
    </row>
    <row r="95" spans="1:10" x14ac:dyDescent="0.3">
      <c r="A95" t="s">
        <v>278</v>
      </c>
      <c r="B95">
        <v>4150</v>
      </c>
      <c r="C95">
        <v>0</v>
      </c>
      <c r="D95">
        <v>2469</v>
      </c>
      <c r="E95">
        <v>41808</v>
      </c>
      <c r="F95">
        <v>145</v>
      </c>
      <c r="G95">
        <v>145</v>
      </c>
      <c r="H95">
        <v>133</v>
      </c>
      <c r="I95">
        <v>142.5</v>
      </c>
      <c r="J95">
        <v>150.4</v>
      </c>
    </row>
    <row r="96" spans="1:10" x14ac:dyDescent="0.3">
      <c r="A96" t="s">
        <v>278</v>
      </c>
      <c r="B96">
        <v>4175</v>
      </c>
      <c r="C96">
        <v>0</v>
      </c>
      <c r="D96">
        <v>120</v>
      </c>
      <c r="E96">
        <v>8284</v>
      </c>
      <c r="F96">
        <v>159.30000000000001</v>
      </c>
      <c r="G96">
        <v>159.30000000000001</v>
      </c>
      <c r="H96">
        <v>159.30000000000001</v>
      </c>
      <c r="I96">
        <v>159.30000000000001</v>
      </c>
      <c r="J96">
        <v>167.4</v>
      </c>
    </row>
    <row r="97" spans="1:10" x14ac:dyDescent="0.3">
      <c r="A97" t="s">
        <v>278</v>
      </c>
      <c r="B97">
        <v>4200</v>
      </c>
      <c r="C97">
        <v>0</v>
      </c>
      <c r="D97">
        <v>337</v>
      </c>
      <c r="E97">
        <v>32506</v>
      </c>
      <c r="F97">
        <v>174</v>
      </c>
      <c r="G97">
        <v>185</v>
      </c>
      <c r="H97">
        <v>169</v>
      </c>
      <c r="I97">
        <v>178</v>
      </c>
      <c r="J97">
        <v>185.6</v>
      </c>
    </row>
    <row r="98" spans="1:10" x14ac:dyDescent="0.3">
      <c r="A98" t="s">
        <v>278</v>
      </c>
      <c r="B98">
        <v>4225</v>
      </c>
      <c r="C98">
        <v>0</v>
      </c>
      <c r="D98">
        <v>2</v>
      </c>
      <c r="E98">
        <v>12810</v>
      </c>
      <c r="F98">
        <v>194.5</v>
      </c>
      <c r="G98">
        <v>195</v>
      </c>
      <c r="H98">
        <v>194.5</v>
      </c>
      <c r="I98">
        <v>195</v>
      </c>
      <c r="J98">
        <v>205.1</v>
      </c>
    </row>
    <row r="99" spans="1:10" x14ac:dyDescent="0.3">
      <c r="A99" t="s">
        <v>278</v>
      </c>
      <c r="B99">
        <v>4250</v>
      </c>
      <c r="C99">
        <v>0</v>
      </c>
      <c r="D99">
        <v>423</v>
      </c>
      <c r="E99">
        <v>43139</v>
      </c>
      <c r="F99">
        <v>215.2</v>
      </c>
      <c r="G99">
        <v>215.2</v>
      </c>
      <c r="H99">
        <v>210</v>
      </c>
      <c r="I99">
        <v>214.4</v>
      </c>
      <c r="J99">
        <v>225.6</v>
      </c>
    </row>
    <row r="100" spans="1:10" x14ac:dyDescent="0.3">
      <c r="A100" t="s">
        <v>278</v>
      </c>
      <c r="B100">
        <v>4275</v>
      </c>
      <c r="C100">
        <v>0</v>
      </c>
      <c r="D100">
        <v>6</v>
      </c>
      <c r="E100">
        <v>1641</v>
      </c>
      <c r="F100">
        <v>225.8</v>
      </c>
      <c r="G100">
        <v>225.8</v>
      </c>
      <c r="H100">
        <v>225.8</v>
      </c>
      <c r="I100">
        <v>225.8</v>
      </c>
      <c r="J100">
        <v>247.1</v>
      </c>
    </row>
    <row r="101" spans="1:10" x14ac:dyDescent="0.3">
      <c r="A101" t="s">
        <v>278</v>
      </c>
      <c r="B101">
        <v>4300</v>
      </c>
      <c r="C101">
        <v>0</v>
      </c>
      <c r="D101">
        <v>14</v>
      </c>
      <c r="E101">
        <v>22896</v>
      </c>
      <c r="F101">
        <v>250.6</v>
      </c>
      <c r="G101">
        <v>259</v>
      </c>
      <c r="H101">
        <v>250.3</v>
      </c>
      <c r="I101">
        <v>259</v>
      </c>
      <c r="J101">
        <v>269.39999999999998</v>
      </c>
    </row>
    <row r="102" spans="1:10" x14ac:dyDescent="0.3">
      <c r="A102" t="s">
        <v>278</v>
      </c>
      <c r="B102">
        <v>4325</v>
      </c>
      <c r="C102">
        <v>0</v>
      </c>
      <c r="D102">
        <v>1</v>
      </c>
      <c r="E102">
        <v>2271</v>
      </c>
      <c r="F102">
        <v>273.2</v>
      </c>
      <c r="G102">
        <v>273.2</v>
      </c>
      <c r="H102">
        <v>273.2</v>
      </c>
      <c r="I102">
        <v>273.2</v>
      </c>
      <c r="J102">
        <v>292.39999999999998</v>
      </c>
    </row>
    <row r="103" spans="1:10" x14ac:dyDescent="0.3">
      <c r="A103" t="s">
        <v>278</v>
      </c>
      <c r="B103">
        <v>4350</v>
      </c>
      <c r="C103">
        <v>0</v>
      </c>
      <c r="D103">
        <v>400</v>
      </c>
      <c r="E103">
        <v>5052</v>
      </c>
      <c r="F103">
        <v>0</v>
      </c>
      <c r="G103">
        <v>0</v>
      </c>
      <c r="H103">
        <v>0</v>
      </c>
      <c r="I103">
        <v>0</v>
      </c>
      <c r="J103">
        <v>316</v>
      </c>
    </row>
    <row r="104" spans="1:10" x14ac:dyDescent="0.3">
      <c r="A104" t="s">
        <v>278</v>
      </c>
      <c r="B104">
        <v>4375</v>
      </c>
      <c r="C104">
        <v>0</v>
      </c>
      <c r="D104">
        <v>1</v>
      </c>
      <c r="E104">
        <v>3280</v>
      </c>
      <c r="F104">
        <v>329.3</v>
      </c>
      <c r="G104">
        <v>329.3</v>
      </c>
      <c r="H104">
        <v>329.3</v>
      </c>
      <c r="I104">
        <v>329.3</v>
      </c>
      <c r="J104">
        <v>339.9</v>
      </c>
    </row>
    <row r="105" spans="1:10" x14ac:dyDescent="0.3">
      <c r="A105" t="s">
        <v>278</v>
      </c>
      <c r="B105">
        <v>4400</v>
      </c>
      <c r="C105">
        <v>0</v>
      </c>
      <c r="D105">
        <v>401</v>
      </c>
      <c r="E105">
        <v>5690</v>
      </c>
      <c r="F105">
        <v>349.5</v>
      </c>
      <c r="G105">
        <v>349.5</v>
      </c>
      <c r="H105">
        <v>349.5</v>
      </c>
      <c r="I105">
        <v>349.5</v>
      </c>
      <c r="J105">
        <v>364.2</v>
      </c>
    </row>
    <row r="106" spans="1:10" x14ac:dyDescent="0.3">
      <c r="A106" t="s">
        <v>278</v>
      </c>
      <c r="B106">
        <v>4425</v>
      </c>
      <c r="C106">
        <v>0</v>
      </c>
      <c r="D106">
        <v>0</v>
      </c>
      <c r="E106">
        <v>277</v>
      </c>
      <c r="F106">
        <v>0</v>
      </c>
      <c r="G106">
        <v>0</v>
      </c>
      <c r="H106">
        <v>0</v>
      </c>
      <c r="I106">
        <v>0</v>
      </c>
      <c r="J106">
        <v>388.6</v>
      </c>
    </row>
    <row r="107" spans="1:10" x14ac:dyDescent="0.3">
      <c r="A107" t="s">
        <v>278</v>
      </c>
      <c r="B107">
        <v>4450</v>
      </c>
      <c r="C107">
        <v>0</v>
      </c>
      <c r="D107">
        <v>0</v>
      </c>
      <c r="E107">
        <v>3434</v>
      </c>
      <c r="F107">
        <v>0</v>
      </c>
      <c r="G107">
        <v>0</v>
      </c>
      <c r="H107">
        <v>0</v>
      </c>
      <c r="I107">
        <v>0</v>
      </c>
      <c r="J107">
        <v>413.2</v>
      </c>
    </row>
    <row r="108" spans="1:10" x14ac:dyDescent="0.3">
      <c r="A108" t="s">
        <v>278</v>
      </c>
      <c r="B108">
        <v>4475</v>
      </c>
      <c r="C108">
        <v>0</v>
      </c>
      <c r="D108">
        <v>0</v>
      </c>
      <c r="E108">
        <v>1</v>
      </c>
      <c r="F108">
        <v>0</v>
      </c>
      <c r="G108">
        <v>0</v>
      </c>
      <c r="H108">
        <v>0</v>
      </c>
      <c r="I108">
        <v>0</v>
      </c>
      <c r="J108">
        <v>437.9</v>
      </c>
    </row>
    <row r="109" spans="1:10" x14ac:dyDescent="0.3">
      <c r="A109" t="s">
        <v>278</v>
      </c>
      <c r="B109">
        <v>4500</v>
      </c>
      <c r="C109">
        <v>0</v>
      </c>
      <c r="D109">
        <v>0</v>
      </c>
      <c r="E109">
        <v>2450</v>
      </c>
      <c r="F109">
        <v>0</v>
      </c>
      <c r="G109">
        <v>0</v>
      </c>
      <c r="H109">
        <v>0</v>
      </c>
      <c r="I109">
        <v>0</v>
      </c>
      <c r="J109">
        <v>462.7</v>
      </c>
    </row>
    <row r="110" spans="1:10" x14ac:dyDescent="0.3">
      <c r="A110" t="s">
        <v>278</v>
      </c>
      <c r="B110">
        <v>4525</v>
      </c>
      <c r="C110">
        <v>0</v>
      </c>
      <c r="D110">
        <v>0</v>
      </c>
      <c r="E110">
        <v>0</v>
      </c>
      <c r="F110">
        <v>0</v>
      </c>
      <c r="G110">
        <v>0</v>
      </c>
      <c r="H110">
        <v>0</v>
      </c>
      <c r="I110">
        <v>0</v>
      </c>
      <c r="J110">
        <v>487.5</v>
      </c>
    </row>
    <row r="111" spans="1:10" x14ac:dyDescent="0.3">
      <c r="A111" t="s">
        <v>278</v>
      </c>
      <c r="B111">
        <v>4550</v>
      </c>
      <c r="C111">
        <v>0</v>
      </c>
      <c r="D111">
        <v>0</v>
      </c>
      <c r="E111">
        <v>3</v>
      </c>
      <c r="F111">
        <v>0</v>
      </c>
      <c r="G111">
        <v>0</v>
      </c>
      <c r="H111">
        <v>0</v>
      </c>
      <c r="I111">
        <v>0</v>
      </c>
      <c r="J111">
        <v>512.4</v>
      </c>
    </row>
    <row r="112" spans="1:10" x14ac:dyDescent="0.3">
      <c r="A112" t="s">
        <v>278</v>
      </c>
      <c r="B112">
        <v>4575</v>
      </c>
      <c r="C112">
        <v>0</v>
      </c>
      <c r="D112">
        <v>0</v>
      </c>
      <c r="E112">
        <v>0</v>
      </c>
      <c r="F112">
        <v>0</v>
      </c>
      <c r="G112">
        <v>0</v>
      </c>
      <c r="H112">
        <v>0</v>
      </c>
      <c r="I112">
        <v>0</v>
      </c>
      <c r="J112">
        <v>537.29999999999995</v>
      </c>
    </row>
    <row r="113" spans="1:10" x14ac:dyDescent="0.3">
      <c r="A113" t="s">
        <v>278</v>
      </c>
      <c r="B113">
        <v>4600</v>
      </c>
      <c r="C113">
        <v>0</v>
      </c>
      <c r="D113">
        <v>0</v>
      </c>
      <c r="E113">
        <v>0</v>
      </c>
      <c r="F113">
        <v>0</v>
      </c>
      <c r="G113">
        <v>0</v>
      </c>
      <c r="H113">
        <v>0</v>
      </c>
      <c r="I113">
        <v>0</v>
      </c>
      <c r="J113">
        <v>562.20000000000005</v>
      </c>
    </row>
    <row r="114" spans="1:10" x14ac:dyDescent="0.3">
      <c r="A114" t="s">
        <v>278</v>
      </c>
      <c r="B114">
        <v>4625</v>
      </c>
      <c r="C114">
        <v>0</v>
      </c>
      <c r="D114">
        <v>0</v>
      </c>
      <c r="E114">
        <v>0</v>
      </c>
      <c r="F114">
        <v>0</v>
      </c>
      <c r="G114">
        <v>0</v>
      </c>
      <c r="H114">
        <v>0</v>
      </c>
      <c r="I114">
        <v>0</v>
      </c>
      <c r="J114">
        <v>587.1</v>
      </c>
    </row>
    <row r="115" spans="1:10" x14ac:dyDescent="0.3">
      <c r="A115" t="s">
        <v>278</v>
      </c>
      <c r="B115">
        <v>4650</v>
      </c>
      <c r="C115">
        <v>0</v>
      </c>
      <c r="D115">
        <v>0</v>
      </c>
      <c r="E115">
        <v>1</v>
      </c>
      <c r="F115">
        <v>0</v>
      </c>
      <c r="G115">
        <v>0</v>
      </c>
      <c r="H115">
        <v>0</v>
      </c>
      <c r="I115">
        <v>0</v>
      </c>
      <c r="J115">
        <v>612</v>
      </c>
    </row>
    <row r="116" spans="1:10" x14ac:dyDescent="0.3">
      <c r="A116" t="s">
        <v>278</v>
      </c>
      <c r="B116">
        <v>4675</v>
      </c>
      <c r="C116">
        <v>0</v>
      </c>
      <c r="D116">
        <v>0</v>
      </c>
      <c r="E116">
        <v>0</v>
      </c>
      <c r="F116">
        <v>0</v>
      </c>
      <c r="G116">
        <v>0</v>
      </c>
      <c r="H116">
        <v>0</v>
      </c>
      <c r="I116">
        <v>0</v>
      </c>
      <c r="J116">
        <v>636.9</v>
      </c>
    </row>
    <row r="117" spans="1:10" x14ac:dyDescent="0.3">
      <c r="A117" t="s">
        <v>278</v>
      </c>
      <c r="B117">
        <v>4700</v>
      </c>
      <c r="C117">
        <v>0</v>
      </c>
      <c r="D117">
        <v>0</v>
      </c>
      <c r="E117">
        <v>0</v>
      </c>
      <c r="F117">
        <v>0</v>
      </c>
      <c r="G117">
        <v>0</v>
      </c>
      <c r="H117">
        <v>0</v>
      </c>
      <c r="I117">
        <v>0</v>
      </c>
      <c r="J117">
        <v>661.8</v>
      </c>
    </row>
    <row r="118" spans="1:10" x14ac:dyDescent="0.3">
      <c r="A118" t="s">
        <v>278</v>
      </c>
      <c r="B118">
        <v>4725</v>
      </c>
      <c r="C118">
        <v>0</v>
      </c>
      <c r="D118">
        <v>0</v>
      </c>
      <c r="E118">
        <v>0</v>
      </c>
      <c r="F118">
        <v>0</v>
      </c>
      <c r="G118">
        <v>0</v>
      </c>
      <c r="H118">
        <v>0</v>
      </c>
      <c r="I118">
        <v>0</v>
      </c>
      <c r="J118">
        <v>686.7</v>
      </c>
    </row>
    <row r="119" spans="1:10" x14ac:dyDescent="0.3">
      <c r="A119" t="s">
        <v>278</v>
      </c>
      <c r="B119">
        <v>4750</v>
      </c>
      <c r="C119">
        <v>0</v>
      </c>
      <c r="D119">
        <v>0</v>
      </c>
      <c r="E119">
        <v>0</v>
      </c>
      <c r="F119">
        <v>0</v>
      </c>
      <c r="G119">
        <v>0</v>
      </c>
      <c r="H119">
        <v>0</v>
      </c>
      <c r="I119">
        <v>0</v>
      </c>
      <c r="J119">
        <v>711.6</v>
      </c>
    </row>
    <row r="120" spans="1:10" x14ac:dyDescent="0.3">
      <c r="A120" t="s">
        <v>278</v>
      </c>
      <c r="B120">
        <v>4775</v>
      </c>
      <c r="C120">
        <v>0</v>
      </c>
      <c r="D120">
        <v>0</v>
      </c>
      <c r="E120">
        <v>0</v>
      </c>
      <c r="F120">
        <v>0</v>
      </c>
      <c r="G120">
        <v>0</v>
      </c>
      <c r="H120">
        <v>0</v>
      </c>
      <c r="I120">
        <v>0</v>
      </c>
      <c r="J120">
        <v>736.5</v>
      </c>
    </row>
    <row r="121" spans="1:10" x14ac:dyDescent="0.3">
      <c r="A121" t="s">
        <v>278</v>
      </c>
      <c r="B121">
        <v>4800</v>
      </c>
      <c r="C121">
        <v>0</v>
      </c>
      <c r="D121">
        <v>1</v>
      </c>
      <c r="E121">
        <v>1</v>
      </c>
      <c r="F121">
        <v>745.6</v>
      </c>
      <c r="G121">
        <v>745.6</v>
      </c>
      <c r="H121">
        <v>745.6</v>
      </c>
      <c r="I121">
        <v>745.6</v>
      </c>
      <c r="J121">
        <v>761.4</v>
      </c>
    </row>
    <row r="122" spans="1:10" x14ac:dyDescent="0.3">
      <c r="A122" t="s">
        <v>278</v>
      </c>
      <c r="B122">
        <v>4825</v>
      </c>
      <c r="C122">
        <v>0</v>
      </c>
      <c r="D122">
        <v>0</v>
      </c>
      <c r="E122">
        <v>0</v>
      </c>
      <c r="F122">
        <v>0</v>
      </c>
      <c r="G122">
        <v>0</v>
      </c>
      <c r="H122">
        <v>0</v>
      </c>
      <c r="I122">
        <v>0</v>
      </c>
      <c r="J122">
        <v>786.3</v>
      </c>
    </row>
    <row r="123" spans="1:10" x14ac:dyDescent="0.3">
      <c r="A123" t="s">
        <v>278</v>
      </c>
      <c r="B123">
        <v>4850</v>
      </c>
      <c r="C123">
        <v>0</v>
      </c>
      <c r="D123">
        <v>0</v>
      </c>
      <c r="E123">
        <v>0</v>
      </c>
      <c r="F123">
        <v>0</v>
      </c>
      <c r="G123">
        <v>0</v>
      </c>
      <c r="H123">
        <v>0</v>
      </c>
      <c r="I123">
        <v>0</v>
      </c>
      <c r="J123">
        <v>811.2</v>
      </c>
    </row>
    <row r="124" spans="1:10" x14ac:dyDescent="0.3">
      <c r="A124" t="s">
        <v>278</v>
      </c>
      <c r="B124">
        <v>4875</v>
      </c>
      <c r="C124">
        <v>0</v>
      </c>
      <c r="D124">
        <v>0</v>
      </c>
      <c r="E124">
        <v>0</v>
      </c>
      <c r="F124">
        <v>0</v>
      </c>
      <c r="G124">
        <v>0</v>
      </c>
      <c r="H124">
        <v>0</v>
      </c>
      <c r="I124">
        <v>0</v>
      </c>
      <c r="J124">
        <v>836.2</v>
      </c>
    </row>
    <row r="125" spans="1:10" x14ac:dyDescent="0.3">
      <c r="A125" t="s">
        <v>278</v>
      </c>
      <c r="B125">
        <v>4900</v>
      </c>
      <c r="C125">
        <v>0</v>
      </c>
      <c r="D125">
        <v>0</v>
      </c>
      <c r="E125">
        <v>0</v>
      </c>
      <c r="F125">
        <v>0</v>
      </c>
      <c r="G125">
        <v>0</v>
      </c>
      <c r="H125">
        <v>0</v>
      </c>
      <c r="I125">
        <v>0</v>
      </c>
      <c r="J125">
        <v>861.1</v>
      </c>
    </row>
    <row r="126" spans="1:10" x14ac:dyDescent="0.3">
      <c r="A126" t="s">
        <v>278</v>
      </c>
      <c r="B126">
        <v>4925</v>
      </c>
      <c r="C126">
        <v>0</v>
      </c>
      <c r="D126">
        <v>0</v>
      </c>
      <c r="E126">
        <v>0</v>
      </c>
      <c r="F126">
        <v>0</v>
      </c>
      <c r="G126">
        <v>0</v>
      </c>
      <c r="H126">
        <v>0</v>
      </c>
      <c r="I126">
        <v>0</v>
      </c>
      <c r="J126">
        <v>886</v>
      </c>
    </row>
    <row r="127" spans="1:10" x14ac:dyDescent="0.3">
      <c r="A127" t="s">
        <v>278</v>
      </c>
      <c r="B127">
        <v>4950</v>
      </c>
      <c r="C127">
        <v>0</v>
      </c>
      <c r="D127">
        <v>0</v>
      </c>
      <c r="E127">
        <v>0</v>
      </c>
      <c r="F127">
        <v>0</v>
      </c>
      <c r="G127">
        <v>0</v>
      </c>
      <c r="H127">
        <v>0</v>
      </c>
      <c r="I127">
        <v>0</v>
      </c>
      <c r="J127">
        <v>910.9</v>
      </c>
    </row>
    <row r="128" spans="1:10" x14ac:dyDescent="0.3">
      <c r="A128" t="s">
        <v>278</v>
      </c>
      <c r="B128">
        <v>4975</v>
      </c>
      <c r="C128">
        <v>0</v>
      </c>
      <c r="D128">
        <v>0</v>
      </c>
      <c r="E128">
        <v>0</v>
      </c>
      <c r="F128">
        <v>0</v>
      </c>
      <c r="G128">
        <v>0</v>
      </c>
      <c r="H128">
        <v>0</v>
      </c>
      <c r="I128">
        <v>0</v>
      </c>
      <c r="J128">
        <v>935.8</v>
      </c>
    </row>
    <row r="129" spans="1:10" x14ac:dyDescent="0.3">
      <c r="A129" t="s">
        <v>278</v>
      </c>
      <c r="B129">
        <v>5000</v>
      </c>
      <c r="C129">
        <v>0</v>
      </c>
      <c r="D129">
        <v>0</v>
      </c>
      <c r="E129">
        <v>3</v>
      </c>
      <c r="F129">
        <v>0</v>
      </c>
      <c r="G129">
        <v>0</v>
      </c>
      <c r="H129">
        <v>0</v>
      </c>
      <c r="I129">
        <v>0</v>
      </c>
      <c r="J129">
        <v>960.8</v>
      </c>
    </row>
    <row r="130" spans="1:10" x14ac:dyDescent="0.3">
      <c r="A130" t="s">
        <v>278</v>
      </c>
      <c r="B130">
        <v>5025</v>
      </c>
      <c r="C130">
        <v>0</v>
      </c>
      <c r="D130">
        <v>0</v>
      </c>
      <c r="E130">
        <v>0</v>
      </c>
      <c r="F130">
        <v>0</v>
      </c>
      <c r="G130">
        <v>0</v>
      </c>
      <c r="H130">
        <v>0</v>
      </c>
      <c r="I130">
        <v>0</v>
      </c>
      <c r="J130">
        <v>985.7</v>
      </c>
    </row>
    <row r="131" spans="1:10" x14ac:dyDescent="0.3">
      <c r="A131" t="s">
        <v>278</v>
      </c>
      <c r="B131">
        <v>5050</v>
      </c>
      <c r="C131">
        <v>0</v>
      </c>
      <c r="D131">
        <v>0</v>
      </c>
      <c r="E131">
        <v>0</v>
      </c>
      <c r="F131">
        <v>0</v>
      </c>
      <c r="G131">
        <v>0</v>
      </c>
      <c r="H131">
        <v>0</v>
      </c>
      <c r="I131">
        <v>0</v>
      </c>
      <c r="J131">
        <v>1010.6</v>
      </c>
    </row>
    <row r="132" spans="1:10" x14ac:dyDescent="0.3">
      <c r="A132" t="s">
        <v>278</v>
      </c>
      <c r="B132">
        <v>5075</v>
      </c>
      <c r="C132">
        <v>0</v>
      </c>
      <c r="D132">
        <v>0</v>
      </c>
      <c r="E132">
        <v>0</v>
      </c>
      <c r="F132">
        <v>0</v>
      </c>
      <c r="G132">
        <v>0</v>
      </c>
      <c r="H132">
        <v>0</v>
      </c>
      <c r="I132">
        <v>0</v>
      </c>
      <c r="J132">
        <v>1035.5</v>
      </c>
    </row>
    <row r="133" spans="1:10" x14ac:dyDescent="0.3">
      <c r="A133" t="s">
        <v>278</v>
      </c>
      <c r="B133">
        <v>5100</v>
      </c>
      <c r="C133">
        <v>0</v>
      </c>
      <c r="D133">
        <v>0</v>
      </c>
      <c r="E133">
        <v>0</v>
      </c>
      <c r="F133">
        <v>0</v>
      </c>
      <c r="G133">
        <v>0</v>
      </c>
      <c r="H133">
        <v>0</v>
      </c>
      <c r="I133">
        <v>0</v>
      </c>
      <c r="J133">
        <v>1060.4000000000001</v>
      </c>
    </row>
    <row r="134" spans="1:10" x14ac:dyDescent="0.3">
      <c r="A134" t="s">
        <v>278</v>
      </c>
      <c r="B134">
        <v>5125</v>
      </c>
      <c r="C134">
        <v>0</v>
      </c>
      <c r="D134">
        <v>0</v>
      </c>
      <c r="E134">
        <v>0</v>
      </c>
      <c r="F134">
        <v>0</v>
      </c>
      <c r="G134">
        <v>0</v>
      </c>
      <c r="H134">
        <v>0</v>
      </c>
      <c r="I134">
        <v>0</v>
      </c>
      <c r="J134">
        <v>1085.4000000000001</v>
      </c>
    </row>
    <row r="135" spans="1:10" x14ac:dyDescent="0.3">
      <c r="A135" t="s">
        <v>278</v>
      </c>
      <c r="B135">
        <v>5150</v>
      </c>
      <c r="C135">
        <v>0</v>
      </c>
      <c r="D135">
        <v>0</v>
      </c>
      <c r="E135">
        <v>0</v>
      </c>
      <c r="F135">
        <v>0</v>
      </c>
      <c r="G135">
        <v>0</v>
      </c>
      <c r="H135">
        <v>0</v>
      </c>
      <c r="I135">
        <v>0</v>
      </c>
      <c r="J135">
        <v>1110.3</v>
      </c>
    </row>
    <row r="136" spans="1:10" x14ac:dyDescent="0.3">
      <c r="A136" t="s">
        <v>278</v>
      </c>
      <c r="B136">
        <v>5175</v>
      </c>
      <c r="C136">
        <v>0</v>
      </c>
      <c r="D136">
        <v>0</v>
      </c>
      <c r="E136">
        <v>0</v>
      </c>
      <c r="F136">
        <v>0</v>
      </c>
      <c r="G136">
        <v>0</v>
      </c>
      <c r="H136">
        <v>0</v>
      </c>
      <c r="I136">
        <v>0</v>
      </c>
      <c r="J136">
        <v>1135.2</v>
      </c>
    </row>
    <row r="137" spans="1:10" x14ac:dyDescent="0.3">
      <c r="A137" t="s">
        <v>278</v>
      </c>
      <c r="B137">
        <v>5200</v>
      </c>
      <c r="C137">
        <v>0</v>
      </c>
      <c r="D137">
        <v>0</v>
      </c>
      <c r="E137">
        <v>0</v>
      </c>
      <c r="F137">
        <v>0</v>
      </c>
      <c r="G137">
        <v>0</v>
      </c>
      <c r="H137">
        <v>0</v>
      </c>
      <c r="I137">
        <v>0</v>
      </c>
      <c r="J137">
        <v>1160.0999999999999</v>
      </c>
    </row>
    <row r="138" spans="1:10" x14ac:dyDescent="0.3">
      <c r="A138" t="s">
        <v>278</v>
      </c>
      <c r="B138">
        <v>5300</v>
      </c>
      <c r="C138">
        <v>0</v>
      </c>
      <c r="D138">
        <v>0</v>
      </c>
      <c r="E138">
        <v>0</v>
      </c>
      <c r="F138">
        <v>0</v>
      </c>
      <c r="G138">
        <v>0</v>
      </c>
      <c r="H138">
        <v>0</v>
      </c>
      <c r="I138">
        <v>0</v>
      </c>
      <c r="J138">
        <v>1259.8</v>
      </c>
    </row>
    <row r="139" spans="1:10" x14ac:dyDescent="0.3">
      <c r="A139" t="s">
        <v>278</v>
      </c>
      <c r="B139">
        <v>5400</v>
      </c>
      <c r="C139">
        <v>0</v>
      </c>
      <c r="D139">
        <v>0</v>
      </c>
      <c r="E139">
        <v>0</v>
      </c>
      <c r="F139">
        <v>0</v>
      </c>
      <c r="G139">
        <v>0</v>
      </c>
      <c r="H139">
        <v>0</v>
      </c>
      <c r="I139">
        <v>0</v>
      </c>
      <c r="J139">
        <v>1359.5</v>
      </c>
    </row>
    <row r="140" spans="1:10" x14ac:dyDescent="0.3">
      <c r="A140" t="s">
        <v>278</v>
      </c>
      <c r="B140">
        <v>5500</v>
      </c>
      <c r="C140">
        <v>0</v>
      </c>
      <c r="D140">
        <v>0</v>
      </c>
      <c r="E140">
        <v>0</v>
      </c>
      <c r="F140">
        <v>0</v>
      </c>
      <c r="G140">
        <v>0</v>
      </c>
      <c r="H140">
        <v>0</v>
      </c>
      <c r="I140">
        <v>0</v>
      </c>
      <c r="J140">
        <v>1459.2</v>
      </c>
    </row>
    <row r="141" spans="1:10" x14ac:dyDescent="0.3">
      <c r="A141" t="s">
        <v>278</v>
      </c>
      <c r="B141">
        <v>5600</v>
      </c>
      <c r="C141">
        <v>0</v>
      </c>
      <c r="D141">
        <v>0</v>
      </c>
      <c r="E141">
        <v>0</v>
      </c>
      <c r="F141">
        <v>0</v>
      </c>
      <c r="G141">
        <v>0</v>
      </c>
      <c r="H141">
        <v>0</v>
      </c>
      <c r="I141">
        <v>0</v>
      </c>
      <c r="J141">
        <v>1558.9</v>
      </c>
    </row>
    <row r="142" spans="1:10" x14ac:dyDescent="0.3">
      <c r="A142" t="s">
        <v>278</v>
      </c>
      <c r="B142">
        <v>5700</v>
      </c>
      <c r="C142">
        <v>0</v>
      </c>
      <c r="D142">
        <v>0</v>
      </c>
      <c r="E142">
        <v>0</v>
      </c>
      <c r="F142">
        <v>0</v>
      </c>
      <c r="G142">
        <v>0</v>
      </c>
      <c r="H142">
        <v>0</v>
      </c>
      <c r="I142">
        <v>0</v>
      </c>
      <c r="J142">
        <v>1658.6</v>
      </c>
    </row>
    <row r="143" spans="1:10" x14ac:dyDescent="0.3">
      <c r="A143" t="s">
        <v>278</v>
      </c>
      <c r="B143">
        <v>5800</v>
      </c>
      <c r="C143">
        <v>0</v>
      </c>
      <c r="D143">
        <v>0</v>
      </c>
      <c r="E143">
        <v>0</v>
      </c>
      <c r="F143">
        <v>0</v>
      </c>
      <c r="G143">
        <v>0</v>
      </c>
      <c r="H143">
        <v>0</v>
      </c>
      <c r="I143">
        <v>0</v>
      </c>
      <c r="J143">
        <v>1758.2</v>
      </c>
    </row>
    <row r="144" spans="1:10" x14ac:dyDescent="0.3">
      <c r="A144" t="s">
        <v>278</v>
      </c>
      <c r="B144">
        <v>5900</v>
      </c>
      <c r="C144">
        <v>0</v>
      </c>
      <c r="D144">
        <v>0</v>
      </c>
      <c r="E144">
        <v>0</v>
      </c>
      <c r="F144">
        <v>0</v>
      </c>
      <c r="G144">
        <v>0</v>
      </c>
      <c r="H144">
        <v>0</v>
      </c>
      <c r="I144">
        <v>0</v>
      </c>
      <c r="J144">
        <v>1857.9</v>
      </c>
    </row>
    <row r="145" spans="1:10" x14ac:dyDescent="0.3">
      <c r="A145" t="s">
        <v>278</v>
      </c>
      <c r="B145">
        <v>6000</v>
      </c>
      <c r="C145">
        <v>0</v>
      </c>
      <c r="D145">
        <v>0</v>
      </c>
      <c r="E145">
        <v>0</v>
      </c>
      <c r="F145">
        <v>0</v>
      </c>
      <c r="G145">
        <v>0</v>
      </c>
      <c r="H145">
        <v>0</v>
      </c>
      <c r="I145">
        <v>0</v>
      </c>
      <c r="J145">
        <v>1957.6</v>
      </c>
    </row>
    <row r="146" spans="1:10" x14ac:dyDescent="0.3">
      <c r="A146" t="s">
        <v>278</v>
      </c>
      <c r="B146">
        <v>7000</v>
      </c>
      <c r="C146">
        <v>0</v>
      </c>
      <c r="D146">
        <v>1</v>
      </c>
      <c r="E146">
        <v>1</v>
      </c>
      <c r="F146">
        <v>0</v>
      </c>
      <c r="G146">
        <v>0</v>
      </c>
      <c r="H146">
        <v>0</v>
      </c>
      <c r="I146">
        <v>0</v>
      </c>
      <c r="J146">
        <v>2954.5</v>
      </c>
    </row>
    <row r="147" spans="1:10" x14ac:dyDescent="0.3">
      <c r="A147" t="s">
        <v>278</v>
      </c>
      <c r="B147">
        <v>8000</v>
      </c>
      <c r="C147">
        <v>0</v>
      </c>
      <c r="D147">
        <v>0</v>
      </c>
      <c r="E147">
        <v>0</v>
      </c>
      <c r="F147">
        <v>0</v>
      </c>
      <c r="G147">
        <v>0</v>
      </c>
      <c r="H147">
        <v>0</v>
      </c>
      <c r="I147">
        <v>0</v>
      </c>
      <c r="J147">
        <v>3951.5</v>
      </c>
    </row>
    <row r="148" spans="1:10" x14ac:dyDescent="0.3">
      <c r="A148" t="s">
        <v>278</v>
      </c>
      <c r="B148">
        <v>9000</v>
      </c>
      <c r="C148">
        <v>0</v>
      </c>
      <c r="D148">
        <v>0</v>
      </c>
      <c r="E148">
        <v>0</v>
      </c>
      <c r="F148">
        <v>0</v>
      </c>
      <c r="G148">
        <v>0</v>
      </c>
      <c r="H148">
        <v>0</v>
      </c>
      <c r="I148">
        <v>0</v>
      </c>
      <c r="J148">
        <v>4948.3999999999996</v>
      </c>
    </row>
    <row r="149" spans="1:10" x14ac:dyDescent="0.3">
      <c r="A149" t="s">
        <v>278</v>
      </c>
      <c r="B149">
        <v>10000</v>
      </c>
      <c r="C149">
        <v>0</v>
      </c>
      <c r="D149">
        <v>0</v>
      </c>
      <c r="E149">
        <v>0</v>
      </c>
      <c r="F149">
        <v>0</v>
      </c>
      <c r="G149">
        <v>0</v>
      </c>
      <c r="H149">
        <v>0</v>
      </c>
      <c r="I149">
        <v>0</v>
      </c>
      <c r="J149">
        <v>5945.4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A01A3-51FD-430F-B2BC-845E4E09F5BB}">
  <dimension ref="A1:J149"/>
  <sheetViews>
    <sheetView workbookViewId="0">
      <selection activeCell="E91" sqref="E91"/>
    </sheetView>
  </sheetViews>
  <sheetFormatPr baseColWidth="10" defaultColWidth="8.88671875" defaultRowHeight="14.4" x14ac:dyDescent="0.3"/>
  <sheetData>
    <row r="1" spans="1:10" x14ac:dyDescent="0.3">
      <c r="A1" s="138" t="s">
        <v>277</v>
      </c>
      <c r="B1" s="138" t="s">
        <v>276</v>
      </c>
      <c r="C1" s="138" t="s">
        <v>275</v>
      </c>
      <c r="D1" s="138" t="s">
        <v>274</v>
      </c>
      <c r="E1" s="138" t="s">
        <v>273</v>
      </c>
      <c r="F1" s="138" t="s">
        <v>272</v>
      </c>
      <c r="G1" s="138" t="s">
        <v>271</v>
      </c>
      <c r="H1" s="138" t="s">
        <v>270</v>
      </c>
      <c r="I1" s="138" t="s">
        <v>269</v>
      </c>
      <c r="J1" s="138" t="s">
        <v>268</v>
      </c>
    </row>
    <row r="2" spans="1:10" x14ac:dyDescent="0.3">
      <c r="A2" t="s">
        <v>267</v>
      </c>
      <c r="B2">
        <v>1000</v>
      </c>
      <c r="C2">
        <v>0</v>
      </c>
      <c r="D2">
        <v>0</v>
      </c>
      <c r="E2">
        <v>0</v>
      </c>
      <c r="F2">
        <v>0</v>
      </c>
      <c r="G2">
        <v>0</v>
      </c>
      <c r="H2">
        <v>0</v>
      </c>
      <c r="I2">
        <v>0</v>
      </c>
      <c r="J2">
        <v>3087.4</v>
      </c>
    </row>
    <row r="3" spans="1:10" x14ac:dyDescent="0.3">
      <c r="A3" t="s">
        <v>267</v>
      </c>
      <c r="B3">
        <v>1100</v>
      </c>
      <c r="C3">
        <v>0</v>
      </c>
      <c r="D3">
        <v>0</v>
      </c>
      <c r="E3">
        <v>0</v>
      </c>
      <c r="F3">
        <v>0</v>
      </c>
      <c r="G3">
        <v>0</v>
      </c>
      <c r="H3">
        <v>0</v>
      </c>
      <c r="I3">
        <v>0</v>
      </c>
      <c r="J3">
        <v>2987.7</v>
      </c>
    </row>
    <row r="4" spans="1:10" x14ac:dyDescent="0.3">
      <c r="A4" t="s">
        <v>267</v>
      </c>
      <c r="B4">
        <v>1200</v>
      </c>
      <c r="C4">
        <v>0</v>
      </c>
      <c r="D4">
        <v>0</v>
      </c>
      <c r="E4">
        <v>1</v>
      </c>
      <c r="F4">
        <v>0</v>
      </c>
      <c r="G4">
        <v>0</v>
      </c>
      <c r="H4">
        <v>0</v>
      </c>
      <c r="I4">
        <v>0</v>
      </c>
      <c r="J4">
        <v>2888</v>
      </c>
    </row>
    <row r="5" spans="1:10" x14ac:dyDescent="0.3">
      <c r="A5" t="s">
        <v>267</v>
      </c>
      <c r="B5">
        <v>1300</v>
      </c>
      <c r="C5">
        <v>0</v>
      </c>
      <c r="D5">
        <v>0</v>
      </c>
      <c r="E5">
        <v>0</v>
      </c>
      <c r="F5">
        <v>0</v>
      </c>
      <c r="G5">
        <v>0</v>
      </c>
      <c r="H5">
        <v>0</v>
      </c>
      <c r="I5">
        <v>0</v>
      </c>
      <c r="J5">
        <v>2788.3</v>
      </c>
    </row>
    <row r="6" spans="1:10" x14ac:dyDescent="0.3">
      <c r="A6" t="s">
        <v>267</v>
      </c>
      <c r="B6">
        <v>1400</v>
      </c>
      <c r="C6">
        <v>0</v>
      </c>
      <c r="D6">
        <v>0</v>
      </c>
      <c r="E6">
        <v>0</v>
      </c>
      <c r="F6">
        <v>0</v>
      </c>
      <c r="G6">
        <v>0</v>
      </c>
      <c r="H6">
        <v>0</v>
      </c>
      <c r="I6">
        <v>0</v>
      </c>
      <c r="J6">
        <v>2688.6</v>
      </c>
    </row>
    <row r="7" spans="1:10" x14ac:dyDescent="0.3">
      <c r="A7" t="s">
        <v>267</v>
      </c>
      <c r="B7">
        <v>1500</v>
      </c>
      <c r="C7">
        <v>0</v>
      </c>
      <c r="D7">
        <v>0</v>
      </c>
      <c r="E7">
        <v>0</v>
      </c>
      <c r="F7">
        <v>0</v>
      </c>
      <c r="G7">
        <v>0</v>
      </c>
      <c r="H7">
        <v>0</v>
      </c>
      <c r="I7">
        <v>0</v>
      </c>
      <c r="J7">
        <v>2588.9</v>
      </c>
    </row>
    <row r="8" spans="1:10" x14ac:dyDescent="0.3">
      <c r="A8" t="s">
        <v>267</v>
      </c>
      <c r="B8">
        <v>1600</v>
      </c>
      <c r="C8">
        <v>0</v>
      </c>
      <c r="D8">
        <v>0</v>
      </c>
      <c r="E8">
        <v>0</v>
      </c>
      <c r="F8">
        <v>0</v>
      </c>
      <c r="G8">
        <v>0</v>
      </c>
      <c r="H8">
        <v>0</v>
      </c>
      <c r="I8">
        <v>0</v>
      </c>
      <c r="J8">
        <v>2489.3000000000002</v>
      </c>
    </row>
    <row r="9" spans="1:10" x14ac:dyDescent="0.3">
      <c r="A9" t="s">
        <v>267</v>
      </c>
      <c r="B9">
        <v>1700</v>
      </c>
      <c r="C9">
        <v>0</v>
      </c>
      <c r="D9">
        <v>0</v>
      </c>
      <c r="E9">
        <v>0</v>
      </c>
      <c r="F9">
        <v>0</v>
      </c>
      <c r="G9">
        <v>0</v>
      </c>
      <c r="H9">
        <v>0</v>
      </c>
      <c r="I9">
        <v>0</v>
      </c>
      <c r="J9">
        <v>2389.6</v>
      </c>
    </row>
    <row r="10" spans="1:10" x14ac:dyDescent="0.3">
      <c r="A10" t="s">
        <v>267</v>
      </c>
      <c r="B10">
        <v>1800</v>
      </c>
      <c r="C10">
        <v>0</v>
      </c>
      <c r="D10">
        <v>0</v>
      </c>
      <c r="E10">
        <v>0</v>
      </c>
      <c r="F10">
        <v>0</v>
      </c>
      <c r="G10">
        <v>0</v>
      </c>
      <c r="H10">
        <v>0</v>
      </c>
      <c r="I10">
        <v>0</v>
      </c>
      <c r="J10">
        <v>2289.9</v>
      </c>
    </row>
    <row r="11" spans="1:10" x14ac:dyDescent="0.3">
      <c r="A11" t="s">
        <v>267</v>
      </c>
      <c r="B11">
        <v>1850</v>
      </c>
      <c r="C11">
        <v>0</v>
      </c>
      <c r="D11">
        <v>0</v>
      </c>
      <c r="E11">
        <v>0</v>
      </c>
      <c r="F11">
        <v>0</v>
      </c>
      <c r="G11">
        <v>0</v>
      </c>
      <c r="H11">
        <v>0</v>
      </c>
      <c r="I11">
        <v>0</v>
      </c>
      <c r="J11">
        <v>2240.1</v>
      </c>
    </row>
    <row r="12" spans="1:10" x14ac:dyDescent="0.3">
      <c r="A12" t="s">
        <v>267</v>
      </c>
      <c r="B12">
        <v>1900</v>
      </c>
      <c r="C12">
        <v>0</v>
      </c>
      <c r="D12">
        <v>0</v>
      </c>
      <c r="E12">
        <v>0</v>
      </c>
      <c r="F12">
        <v>0</v>
      </c>
      <c r="G12">
        <v>0</v>
      </c>
      <c r="H12">
        <v>0</v>
      </c>
      <c r="I12">
        <v>0</v>
      </c>
      <c r="J12">
        <v>2190.1999999999998</v>
      </c>
    </row>
    <row r="13" spans="1:10" x14ac:dyDescent="0.3">
      <c r="A13" t="s">
        <v>267</v>
      </c>
      <c r="B13">
        <v>1950</v>
      </c>
      <c r="C13">
        <v>0</v>
      </c>
      <c r="D13">
        <v>0</v>
      </c>
      <c r="E13">
        <v>800</v>
      </c>
      <c r="F13">
        <v>0</v>
      </c>
      <c r="G13">
        <v>0</v>
      </c>
      <c r="H13">
        <v>0</v>
      </c>
      <c r="I13">
        <v>0</v>
      </c>
      <c r="J13">
        <v>2140.4</v>
      </c>
    </row>
    <row r="14" spans="1:10" x14ac:dyDescent="0.3">
      <c r="A14" t="s">
        <v>267</v>
      </c>
      <c r="B14">
        <v>2000</v>
      </c>
      <c r="C14">
        <v>0</v>
      </c>
      <c r="D14">
        <v>0</v>
      </c>
      <c r="E14">
        <v>0</v>
      </c>
      <c r="F14">
        <v>0</v>
      </c>
      <c r="G14">
        <v>0</v>
      </c>
      <c r="H14">
        <v>0</v>
      </c>
      <c r="I14">
        <v>0</v>
      </c>
      <c r="J14">
        <v>2090.6</v>
      </c>
    </row>
    <row r="15" spans="1:10" x14ac:dyDescent="0.3">
      <c r="A15" t="s">
        <v>267</v>
      </c>
      <c r="B15">
        <v>2050</v>
      </c>
      <c r="C15">
        <v>0</v>
      </c>
      <c r="D15">
        <v>0</v>
      </c>
      <c r="E15">
        <v>0</v>
      </c>
      <c r="F15">
        <v>0</v>
      </c>
      <c r="G15">
        <v>0</v>
      </c>
      <c r="H15">
        <v>0</v>
      </c>
      <c r="I15">
        <v>0</v>
      </c>
      <c r="J15">
        <v>2040.7</v>
      </c>
    </row>
    <row r="16" spans="1:10" x14ac:dyDescent="0.3">
      <c r="A16" t="s">
        <v>267</v>
      </c>
      <c r="B16">
        <v>2100</v>
      </c>
      <c r="C16">
        <v>0</v>
      </c>
      <c r="D16">
        <v>0</v>
      </c>
      <c r="E16">
        <v>0</v>
      </c>
      <c r="F16">
        <v>0</v>
      </c>
      <c r="G16">
        <v>0</v>
      </c>
      <c r="H16">
        <v>0</v>
      </c>
      <c r="I16">
        <v>0</v>
      </c>
      <c r="J16">
        <v>1990.9</v>
      </c>
    </row>
    <row r="17" spans="1:10" x14ac:dyDescent="0.3">
      <c r="A17" t="s">
        <v>267</v>
      </c>
      <c r="B17">
        <v>2150</v>
      </c>
      <c r="C17">
        <v>0</v>
      </c>
      <c r="D17">
        <v>0</v>
      </c>
      <c r="E17">
        <v>0</v>
      </c>
      <c r="F17">
        <v>0</v>
      </c>
      <c r="G17">
        <v>0</v>
      </c>
      <c r="H17">
        <v>0</v>
      </c>
      <c r="I17">
        <v>0</v>
      </c>
      <c r="J17">
        <v>1941.1</v>
      </c>
    </row>
    <row r="18" spans="1:10" x14ac:dyDescent="0.3">
      <c r="A18" t="s">
        <v>267</v>
      </c>
      <c r="B18">
        <v>2200</v>
      </c>
      <c r="C18">
        <v>0</v>
      </c>
      <c r="D18">
        <v>0</v>
      </c>
      <c r="E18">
        <v>0</v>
      </c>
      <c r="F18">
        <v>0</v>
      </c>
      <c r="G18">
        <v>0</v>
      </c>
      <c r="H18">
        <v>0</v>
      </c>
      <c r="I18">
        <v>0</v>
      </c>
      <c r="J18">
        <v>1891.3</v>
      </c>
    </row>
    <row r="19" spans="1:10" x14ac:dyDescent="0.3">
      <c r="A19" t="s">
        <v>267</v>
      </c>
      <c r="B19">
        <v>2250</v>
      </c>
      <c r="C19">
        <v>0</v>
      </c>
      <c r="D19">
        <v>0</v>
      </c>
      <c r="E19">
        <v>0</v>
      </c>
      <c r="F19">
        <v>0</v>
      </c>
      <c r="G19">
        <v>0</v>
      </c>
      <c r="H19">
        <v>0</v>
      </c>
      <c r="I19">
        <v>0</v>
      </c>
      <c r="J19">
        <v>1841.4</v>
      </c>
    </row>
    <row r="20" spans="1:10" x14ac:dyDescent="0.3">
      <c r="A20" t="s">
        <v>267</v>
      </c>
      <c r="B20">
        <v>2275</v>
      </c>
      <c r="C20">
        <v>0</v>
      </c>
      <c r="D20">
        <v>0</v>
      </c>
      <c r="E20">
        <v>0</v>
      </c>
      <c r="F20">
        <v>0</v>
      </c>
      <c r="G20">
        <v>0</v>
      </c>
      <c r="H20">
        <v>0</v>
      </c>
      <c r="I20">
        <v>0</v>
      </c>
      <c r="J20">
        <v>1816.5</v>
      </c>
    </row>
    <row r="21" spans="1:10" x14ac:dyDescent="0.3">
      <c r="A21" t="s">
        <v>267</v>
      </c>
      <c r="B21">
        <v>2300</v>
      </c>
      <c r="C21">
        <v>0</v>
      </c>
      <c r="D21">
        <v>0</v>
      </c>
      <c r="E21">
        <v>0</v>
      </c>
      <c r="F21">
        <v>0</v>
      </c>
      <c r="G21">
        <v>0</v>
      </c>
      <c r="H21">
        <v>0</v>
      </c>
      <c r="I21">
        <v>0</v>
      </c>
      <c r="J21">
        <v>1791.6</v>
      </c>
    </row>
    <row r="22" spans="1:10" x14ac:dyDescent="0.3">
      <c r="A22" t="s">
        <v>267</v>
      </c>
      <c r="B22">
        <v>2325</v>
      </c>
      <c r="C22">
        <v>0</v>
      </c>
      <c r="D22">
        <v>0</v>
      </c>
      <c r="E22">
        <v>0</v>
      </c>
      <c r="F22">
        <v>0</v>
      </c>
      <c r="G22">
        <v>0</v>
      </c>
      <c r="H22">
        <v>0</v>
      </c>
      <c r="I22">
        <v>0</v>
      </c>
      <c r="J22">
        <v>1766.7</v>
      </c>
    </row>
    <row r="23" spans="1:10" x14ac:dyDescent="0.3">
      <c r="A23" t="s">
        <v>267</v>
      </c>
      <c r="B23">
        <v>2350</v>
      </c>
      <c r="C23">
        <v>0</v>
      </c>
      <c r="D23">
        <v>0</v>
      </c>
      <c r="E23">
        <v>0</v>
      </c>
      <c r="F23">
        <v>0</v>
      </c>
      <c r="G23">
        <v>0</v>
      </c>
      <c r="H23">
        <v>0</v>
      </c>
      <c r="I23">
        <v>0</v>
      </c>
      <c r="J23">
        <v>1741.8</v>
      </c>
    </row>
    <row r="24" spans="1:10" x14ac:dyDescent="0.3">
      <c r="A24" t="s">
        <v>267</v>
      </c>
      <c r="B24">
        <v>2375</v>
      </c>
      <c r="C24">
        <v>0</v>
      </c>
      <c r="D24">
        <v>0</v>
      </c>
      <c r="E24">
        <v>0</v>
      </c>
      <c r="F24">
        <v>0</v>
      </c>
      <c r="G24">
        <v>0</v>
      </c>
      <c r="H24">
        <v>0</v>
      </c>
      <c r="I24">
        <v>0</v>
      </c>
      <c r="J24">
        <v>1716.9</v>
      </c>
    </row>
    <row r="25" spans="1:10" x14ac:dyDescent="0.3">
      <c r="A25" t="s">
        <v>267</v>
      </c>
      <c r="B25">
        <v>2400</v>
      </c>
      <c r="C25">
        <v>0</v>
      </c>
      <c r="D25">
        <v>0</v>
      </c>
      <c r="E25">
        <v>0</v>
      </c>
      <c r="F25">
        <v>0</v>
      </c>
      <c r="G25">
        <v>0</v>
      </c>
      <c r="H25">
        <v>0</v>
      </c>
      <c r="I25">
        <v>0</v>
      </c>
      <c r="J25">
        <v>1692</v>
      </c>
    </row>
    <row r="26" spans="1:10" x14ac:dyDescent="0.3">
      <c r="A26" t="s">
        <v>267</v>
      </c>
      <c r="B26">
        <v>2425</v>
      </c>
      <c r="C26">
        <v>0</v>
      </c>
      <c r="D26">
        <v>0</v>
      </c>
      <c r="E26">
        <v>0</v>
      </c>
      <c r="F26">
        <v>0</v>
      </c>
      <c r="G26">
        <v>0</v>
      </c>
      <c r="H26">
        <v>0</v>
      </c>
      <c r="I26">
        <v>0</v>
      </c>
      <c r="J26">
        <v>1667.1</v>
      </c>
    </row>
    <row r="27" spans="1:10" x14ac:dyDescent="0.3">
      <c r="A27" t="s">
        <v>267</v>
      </c>
      <c r="B27">
        <v>2450</v>
      </c>
      <c r="C27">
        <v>0</v>
      </c>
      <c r="D27">
        <v>0</v>
      </c>
      <c r="E27">
        <v>0</v>
      </c>
      <c r="F27">
        <v>0</v>
      </c>
      <c r="G27">
        <v>0</v>
      </c>
      <c r="H27">
        <v>0</v>
      </c>
      <c r="I27">
        <v>0</v>
      </c>
      <c r="J27">
        <v>1642.2</v>
      </c>
    </row>
    <row r="28" spans="1:10" x14ac:dyDescent="0.3">
      <c r="A28" t="s">
        <v>267</v>
      </c>
      <c r="B28">
        <v>2475</v>
      </c>
      <c r="C28">
        <v>0</v>
      </c>
      <c r="D28">
        <v>0</v>
      </c>
      <c r="E28">
        <v>0</v>
      </c>
      <c r="F28">
        <v>0</v>
      </c>
      <c r="G28">
        <v>0</v>
      </c>
      <c r="H28">
        <v>0</v>
      </c>
      <c r="I28">
        <v>0</v>
      </c>
      <c r="J28">
        <v>1617.3</v>
      </c>
    </row>
    <row r="29" spans="1:10" x14ac:dyDescent="0.3">
      <c r="A29" t="s">
        <v>267</v>
      </c>
      <c r="B29">
        <v>2500</v>
      </c>
      <c r="C29">
        <v>0</v>
      </c>
      <c r="D29">
        <v>0</v>
      </c>
      <c r="E29">
        <v>0</v>
      </c>
      <c r="F29">
        <v>0</v>
      </c>
      <c r="G29">
        <v>0</v>
      </c>
      <c r="H29">
        <v>0</v>
      </c>
      <c r="I29">
        <v>0</v>
      </c>
      <c r="J29">
        <v>1592.4</v>
      </c>
    </row>
    <row r="30" spans="1:10" x14ac:dyDescent="0.3">
      <c r="A30" t="s">
        <v>267</v>
      </c>
      <c r="B30">
        <v>2525</v>
      </c>
      <c r="C30">
        <v>0</v>
      </c>
      <c r="D30">
        <v>0</v>
      </c>
      <c r="E30">
        <v>0</v>
      </c>
      <c r="F30">
        <v>0</v>
      </c>
      <c r="G30">
        <v>0</v>
      </c>
      <c r="H30">
        <v>0</v>
      </c>
      <c r="I30">
        <v>0</v>
      </c>
      <c r="J30">
        <v>1567.6</v>
      </c>
    </row>
    <row r="31" spans="1:10" x14ac:dyDescent="0.3">
      <c r="A31" t="s">
        <v>267</v>
      </c>
      <c r="B31">
        <v>2550</v>
      </c>
      <c r="C31">
        <v>0</v>
      </c>
      <c r="D31">
        <v>0</v>
      </c>
      <c r="E31">
        <v>0</v>
      </c>
      <c r="F31">
        <v>0</v>
      </c>
      <c r="G31">
        <v>0</v>
      </c>
      <c r="H31">
        <v>0</v>
      </c>
      <c r="I31">
        <v>0</v>
      </c>
      <c r="J31">
        <v>1542.7</v>
      </c>
    </row>
    <row r="32" spans="1:10" x14ac:dyDescent="0.3">
      <c r="A32" t="s">
        <v>267</v>
      </c>
      <c r="B32">
        <v>2575</v>
      </c>
      <c r="C32">
        <v>0</v>
      </c>
      <c r="D32">
        <v>0</v>
      </c>
      <c r="E32">
        <v>0</v>
      </c>
      <c r="F32">
        <v>0</v>
      </c>
      <c r="G32">
        <v>0</v>
      </c>
      <c r="H32">
        <v>0</v>
      </c>
      <c r="I32">
        <v>0</v>
      </c>
      <c r="J32">
        <v>1517.8</v>
      </c>
    </row>
    <row r="33" spans="1:10" x14ac:dyDescent="0.3">
      <c r="A33" t="s">
        <v>267</v>
      </c>
      <c r="B33">
        <v>2600</v>
      </c>
      <c r="C33">
        <v>0</v>
      </c>
      <c r="D33">
        <v>0</v>
      </c>
      <c r="E33">
        <v>0</v>
      </c>
      <c r="F33">
        <v>0</v>
      </c>
      <c r="G33">
        <v>0</v>
      </c>
      <c r="H33">
        <v>0</v>
      </c>
      <c r="I33">
        <v>0</v>
      </c>
      <c r="J33">
        <v>1492.9</v>
      </c>
    </row>
    <row r="34" spans="1:10" x14ac:dyDescent="0.3">
      <c r="A34" t="s">
        <v>267</v>
      </c>
      <c r="B34">
        <v>2625</v>
      </c>
      <c r="C34">
        <v>0</v>
      </c>
      <c r="D34">
        <v>0</v>
      </c>
      <c r="E34">
        <v>0</v>
      </c>
      <c r="F34">
        <v>0</v>
      </c>
      <c r="G34">
        <v>0</v>
      </c>
      <c r="H34">
        <v>0</v>
      </c>
      <c r="I34">
        <v>0</v>
      </c>
      <c r="J34">
        <v>1468</v>
      </c>
    </row>
    <row r="35" spans="1:10" x14ac:dyDescent="0.3">
      <c r="A35" t="s">
        <v>267</v>
      </c>
      <c r="B35">
        <v>2650</v>
      </c>
      <c r="C35">
        <v>0</v>
      </c>
      <c r="D35">
        <v>0</v>
      </c>
      <c r="E35">
        <v>0</v>
      </c>
      <c r="F35">
        <v>0</v>
      </c>
      <c r="G35">
        <v>0</v>
      </c>
      <c r="H35">
        <v>0</v>
      </c>
      <c r="I35">
        <v>0</v>
      </c>
      <c r="J35">
        <v>1443.2</v>
      </c>
    </row>
    <row r="36" spans="1:10" x14ac:dyDescent="0.3">
      <c r="A36" t="s">
        <v>267</v>
      </c>
      <c r="B36">
        <v>2675</v>
      </c>
      <c r="C36">
        <v>0</v>
      </c>
      <c r="D36">
        <v>0</v>
      </c>
      <c r="E36">
        <v>0</v>
      </c>
      <c r="F36">
        <v>0</v>
      </c>
      <c r="G36">
        <v>0</v>
      </c>
      <c r="H36">
        <v>0</v>
      </c>
      <c r="I36">
        <v>0</v>
      </c>
      <c r="J36">
        <v>1418.3</v>
      </c>
    </row>
    <row r="37" spans="1:10" x14ac:dyDescent="0.3">
      <c r="A37" t="s">
        <v>267</v>
      </c>
      <c r="B37">
        <v>2700</v>
      </c>
      <c r="C37">
        <v>0</v>
      </c>
      <c r="D37">
        <v>0</v>
      </c>
      <c r="E37">
        <v>0</v>
      </c>
      <c r="F37">
        <v>0</v>
      </c>
      <c r="G37">
        <v>0</v>
      </c>
      <c r="H37">
        <v>0</v>
      </c>
      <c r="I37">
        <v>0</v>
      </c>
      <c r="J37">
        <v>1393.4</v>
      </c>
    </row>
    <row r="38" spans="1:10" x14ac:dyDescent="0.3">
      <c r="A38" t="s">
        <v>267</v>
      </c>
      <c r="B38">
        <v>2725</v>
      </c>
      <c r="C38">
        <v>0</v>
      </c>
      <c r="D38">
        <v>0</v>
      </c>
      <c r="E38">
        <v>0</v>
      </c>
      <c r="F38">
        <v>0</v>
      </c>
      <c r="G38">
        <v>0</v>
      </c>
      <c r="H38">
        <v>0</v>
      </c>
      <c r="I38">
        <v>0</v>
      </c>
      <c r="J38">
        <v>1368.6</v>
      </c>
    </row>
    <row r="39" spans="1:10" x14ac:dyDescent="0.3">
      <c r="A39" t="s">
        <v>267</v>
      </c>
      <c r="B39">
        <v>2750</v>
      </c>
      <c r="C39">
        <v>0</v>
      </c>
      <c r="D39">
        <v>0</v>
      </c>
      <c r="E39">
        <v>0</v>
      </c>
      <c r="F39">
        <v>0</v>
      </c>
      <c r="G39">
        <v>0</v>
      </c>
      <c r="H39">
        <v>0</v>
      </c>
      <c r="I39">
        <v>0</v>
      </c>
      <c r="J39">
        <v>1343.7</v>
      </c>
    </row>
    <row r="40" spans="1:10" x14ac:dyDescent="0.3">
      <c r="A40" t="s">
        <v>267</v>
      </c>
      <c r="B40">
        <v>2775</v>
      </c>
      <c r="C40">
        <v>0</v>
      </c>
      <c r="D40">
        <v>0</v>
      </c>
      <c r="E40">
        <v>30</v>
      </c>
      <c r="F40">
        <v>0</v>
      </c>
      <c r="G40">
        <v>0</v>
      </c>
      <c r="H40">
        <v>0</v>
      </c>
      <c r="I40">
        <v>0</v>
      </c>
      <c r="J40">
        <v>1318.9</v>
      </c>
    </row>
    <row r="41" spans="1:10" x14ac:dyDescent="0.3">
      <c r="A41" t="s">
        <v>267</v>
      </c>
      <c r="B41">
        <v>2800</v>
      </c>
      <c r="C41">
        <v>0</v>
      </c>
      <c r="D41">
        <v>0</v>
      </c>
      <c r="E41">
        <v>0</v>
      </c>
      <c r="F41">
        <v>0</v>
      </c>
      <c r="G41">
        <v>0</v>
      </c>
      <c r="H41">
        <v>0</v>
      </c>
      <c r="I41">
        <v>0</v>
      </c>
      <c r="J41">
        <v>1294</v>
      </c>
    </row>
    <row r="42" spans="1:10" x14ac:dyDescent="0.3">
      <c r="A42" t="s">
        <v>267</v>
      </c>
      <c r="B42">
        <v>2825</v>
      </c>
      <c r="C42">
        <v>0</v>
      </c>
      <c r="D42">
        <v>0</v>
      </c>
      <c r="E42">
        <v>0</v>
      </c>
      <c r="F42">
        <v>0</v>
      </c>
      <c r="G42">
        <v>0</v>
      </c>
      <c r="H42">
        <v>0</v>
      </c>
      <c r="I42">
        <v>0</v>
      </c>
      <c r="J42">
        <v>1269.2</v>
      </c>
    </row>
    <row r="43" spans="1:10" x14ac:dyDescent="0.3">
      <c r="A43" t="s">
        <v>267</v>
      </c>
      <c r="B43">
        <v>2850</v>
      </c>
      <c r="C43">
        <v>0</v>
      </c>
      <c r="D43">
        <v>0</v>
      </c>
      <c r="E43">
        <v>30</v>
      </c>
      <c r="F43">
        <v>0</v>
      </c>
      <c r="G43">
        <v>0</v>
      </c>
      <c r="H43">
        <v>0</v>
      </c>
      <c r="I43">
        <v>0</v>
      </c>
      <c r="J43">
        <v>1244.3</v>
      </c>
    </row>
    <row r="44" spans="1:10" x14ac:dyDescent="0.3">
      <c r="A44" t="s">
        <v>267</v>
      </c>
      <c r="B44">
        <v>2875</v>
      </c>
      <c r="C44">
        <v>0</v>
      </c>
      <c r="D44">
        <v>0</v>
      </c>
      <c r="E44">
        <v>0</v>
      </c>
      <c r="F44">
        <v>0</v>
      </c>
      <c r="G44">
        <v>0</v>
      </c>
      <c r="H44">
        <v>0</v>
      </c>
      <c r="I44">
        <v>0</v>
      </c>
      <c r="J44">
        <v>1219.5</v>
      </c>
    </row>
    <row r="45" spans="1:10" x14ac:dyDescent="0.3">
      <c r="A45" t="s">
        <v>267</v>
      </c>
      <c r="B45">
        <v>2900</v>
      </c>
      <c r="C45">
        <v>0</v>
      </c>
      <c r="D45">
        <v>0</v>
      </c>
      <c r="E45">
        <v>0</v>
      </c>
      <c r="F45">
        <v>0</v>
      </c>
      <c r="G45">
        <v>0</v>
      </c>
      <c r="H45">
        <v>0</v>
      </c>
      <c r="I45">
        <v>0</v>
      </c>
      <c r="J45">
        <v>1194.7</v>
      </c>
    </row>
    <row r="46" spans="1:10" x14ac:dyDescent="0.3">
      <c r="A46" t="s">
        <v>267</v>
      </c>
      <c r="B46">
        <v>2925</v>
      </c>
      <c r="C46">
        <v>0</v>
      </c>
      <c r="D46">
        <v>0</v>
      </c>
      <c r="E46">
        <v>0</v>
      </c>
      <c r="F46">
        <v>0</v>
      </c>
      <c r="G46">
        <v>0</v>
      </c>
      <c r="H46">
        <v>0</v>
      </c>
      <c r="I46">
        <v>0</v>
      </c>
      <c r="J46">
        <v>1169.9000000000001</v>
      </c>
    </row>
    <row r="47" spans="1:10" x14ac:dyDescent="0.3">
      <c r="A47" t="s">
        <v>267</v>
      </c>
      <c r="B47">
        <v>2950</v>
      </c>
      <c r="C47">
        <v>0</v>
      </c>
      <c r="D47">
        <v>0</v>
      </c>
      <c r="E47">
        <v>0</v>
      </c>
      <c r="F47">
        <v>0</v>
      </c>
      <c r="G47">
        <v>0</v>
      </c>
      <c r="H47">
        <v>0</v>
      </c>
      <c r="I47">
        <v>0</v>
      </c>
      <c r="J47">
        <v>1145.0999999999999</v>
      </c>
    </row>
    <row r="48" spans="1:10" x14ac:dyDescent="0.3">
      <c r="A48" t="s">
        <v>267</v>
      </c>
      <c r="B48">
        <v>2975</v>
      </c>
      <c r="C48">
        <v>0</v>
      </c>
      <c r="D48">
        <v>0</v>
      </c>
      <c r="E48">
        <v>0</v>
      </c>
      <c r="F48">
        <v>0</v>
      </c>
      <c r="G48">
        <v>0</v>
      </c>
      <c r="H48">
        <v>0</v>
      </c>
      <c r="I48">
        <v>0</v>
      </c>
      <c r="J48">
        <v>1120.3</v>
      </c>
    </row>
    <row r="49" spans="1:10" x14ac:dyDescent="0.3">
      <c r="A49" t="s">
        <v>267</v>
      </c>
      <c r="B49">
        <v>3000</v>
      </c>
      <c r="C49">
        <v>0</v>
      </c>
      <c r="D49">
        <v>7</v>
      </c>
      <c r="E49">
        <v>7</v>
      </c>
      <c r="F49">
        <v>0</v>
      </c>
      <c r="G49">
        <v>0</v>
      </c>
      <c r="H49">
        <v>0</v>
      </c>
      <c r="I49">
        <v>0</v>
      </c>
      <c r="J49">
        <v>1095.5</v>
      </c>
    </row>
    <row r="50" spans="1:10" x14ac:dyDescent="0.3">
      <c r="A50" t="s">
        <v>267</v>
      </c>
      <c r="B50">
        <v>3025</v>
      </c>
      <c r="C50">
        <v>0</v>
      </c>
      <c r="D50">
        <v>0</v>
      </c>
      <c r="E50">
        <v>0</v>
      </c>
      <c r="F50">
        <v>0</v>
      </c>
      <c r="G50">
        <v>0</v>
      </c>
      <c r="H50">
        <v>0</v>
      </c>
      <c r="I50">
        <v>0</v>
      </c>
      <c r="J50">
        <v>1070.7</v>
      </c>
    </row>
    <row r="51" spans="1:10" x14ac:dyDescent="0.3">
      <c r="A51" t="s">
        <v>267</v>
      </c>
      <c r="B51">
        <v>3050</v>
      </c>
      <c r="C51">
        <v>0</v>
      </c>
      <c r="D51">
        <v>0</v>
      </c>
      <c r="E51">
        <v>0</v>
      </c>
      <c r="F51">
        <v>0</v>
      </c>
      <c r="G51">
        <v>0</v>
      </c>
      <c r="H51">
        <v>0</v>
      </c>
      <c r="I51">
        <v>0</v>
      </c>
      <c r="J51">
        <v>1045.9000000000001</v>
      </c>
    </row>
    <row r="52" spans="1:10" x14ac:dyDescent="0.3">
      <c r="A52" t="s">
        <v>267</v>
      </c>
      <c r="B52">
        <v>3075</v>
      </c>
      <c r="C52">
        <v>0</v>
      </c>
      <c r="D52">
        <v>0</v>
      </c>
      <c r="E52">
        <v>0</v>
      </c>
      <c r="F52">
        <v>0</v>
      </c>
      <c r="G52">
        <v>0</v>
      </c>
      <c r="H52">
        <v>0</v>
      </c>
      <c r="I52">
        <v>0</v>
      </c>
      <c r="J52">
        <v>1021.1</v>
      </c>
    </row>
    <row r="53" spans="1:10" x14ac:dyDescent="0.3">
      <c r="A53" t="s">
        <v>267</v>
      </c>
      <c r="B53">
        <v>3100</v>
      </c>
      <c r="C53">
        <v>0</v>
      </c>
      <c r="D53">
        <v>0</v>
      </c>
      <c r="E53">
        <v>0</v>
      </c>
      <c r="F53">
        <v>0</v>
      </c>
      <c r="G53">
        <v>0</v>
      </c>
      <c r="H53">
        <v>0</v>
      </c>
      <c r="I53">
        <v>0</v>
      </c>
      <c r="J53">
        <v>996.3</v>
      </c>
    </row>
    <row r="54" spans="1:10" x14ac:dyDescent="0.3">
      <c r="A54" t="s">
        <v>267</v>
      </c>
      <c r="B54">
        <v>3125</v>
      </c>
      <c r="C54">
        <v>0</v>
      </c>
      <c r="D54">
        <v>0</v>
      </c>
      <c r="E54">
        <v>0</v>
      </c>
      <c r="F54">
        <v>0</v>
      </c>
      <c r="G54">
        <v>0</v>
      </c>
      <c r="H54">
        <v>0</v>
      </c>
      <c r="I54">
        <v>0</v>
      </c>
      <c r="J54">
        <v>971.5</v>
      </c>
    </row>
    <row r="55" spans="1:10" x14ac:dyDescent="0.3">
      <c r="A55" t="s">
        <v>267</v>
      </c>
      <c r="B55">
        <v>3150</v>
      </c>
      <c r="C55">
        <v>0</v>
      </c>
      <c r="D55">
        <v>0</v>
      </c>
      <c r="E55">
        <v>0</v>
      </c>
      <c r="F55">
        <v>0</v>
      </c>
      <c r="G55">
        <v>0</v>
      </c>
      <c r="H55">
        <v>0</v>
      </c>
      <c r="I55">
        <v>0</v>
      </c>
      <c r="J55">
        <v>946.8</v>
      </c>
    </row>
    <row r="56" spans="1:10" x14ac:dyDescent="0.3">
      <c r="A56" t="s">
        <v>267</v>
      </c>
      <c r="B56">
        <v>3175</v>
      </c>
      <c r="C56">
        <v>0</v>
      </c>
      <c r="D56">
        <v>0</v>
      </c>
      <c r="E56">
        <v>0</v>
      </c>
      <c r="F56">
        <v>0</v>
      </c>
      <c r="G56">
        <v>0</v>
      </c>
      <c r="H56">
        <v>0</v>
      </c>
      <c r="I56">
        <v>0</v>
      </c>
      <c r="J56">
        <v>922</v>
      </c>
    </row>
    <row r="57" spans="1:10" x14ac:dyDescent="0.3">
      <c r="A57" t="s">
        <v>267</v>
      </c>
      <c r="B57">
        <v>3200</v>
      </c>
      <c r="C57">
        <v>0</v>
      </c>
      <c r="D57">
        <v>0</v>
      </c>
      <c r="E57">
        <v>0</v>
      </c>
      <c r="F57">
        <v>0</v>
      </c>
      <c r="G57">
        <v>0</v>
      </c>
      <c r="H57">
        <v>0</v>
      </c>
      <c r="I57">
        <v>0</v>
      </c>
      <c r="J57">
        <v>897.3</v>
      </c>
    </row>
    <row r="58" spans="1:10" x14ac:dyDescent="0.3">
      <c r="A58" t="s">
        <v>267</v>
      </c>
      <c r="B58">
        <v>3225</v>
      </c>
      <c r="C58">
        <v>0</v>
      </c>
      <c r="D58">
        <v>0</v>
      </c>
      <c r="E58">
        <v>0</v>
      </c>
      <c r="F58">
        <v>0</v>
      </c>
      <c r="G58">
        <v>0</v>
      </c>
      <c r="H58">
        <v>0</v>
      </c>
      <c r="I58">
        <v>0</v>
      </c>
      <c r="J58">
        <v>872.6</v>
      </c>
    </row>
    <row r="59" spans="1:10" x14ac:dyDescent="0.3">
      <c r="A59" t="s">
        <v>267</v>
      </c>
      <c r="B59">
        <v>3250</v>
      </c>
      <c r="C59">
        <v>0</v>
      </c>
      <c r="D59">
        <v>0</v>
      </c>
      <c r="E59">
        <v>0</v>
      </c>
      <c r="F59">
        <v>0</v>
      </c>
      <c r="G59">
        <v>0</v>
      </c>
      <c r="H59">
        <v>0</v>
      </c>
      <c r="I59">
        <v>0</v>
      </c>
      <c r="J59">
        <v>847.9</v>
      </c>
    </row>
    <row r="60" spans="1:10" x14ac:dyDescent="0.3">
      <c r="A60" t="s">
        <v>267</v>
      </c>
      <c r="B60">
        <v>3275</v>
      </c>
      <c r="C60">
        <v>0</v>
      </c>
      <c r="D60">
        <v>0</v>
      </c>
      <c r="E60">
        <v>0</v>
      </c>
      <c r="F60">
        <v>0</v>
      </c>
      <c r="G60">
        <v>0</v>
      </c>
      <c r="H60">
        <v>0</v>
      </c>
      <c r="I60">
        <v>0</v>
      </c>
      <c r="J60">
        <v>823.2</v>
      </c>
    </row>
    <row r="61" spans="1:10" x14ac:dyDescent="0.3">
      <c r="A61" t="s">
        <v>267</v>
      </c>
      <c r="B61">
        <v>3300</v>
      </c>
      <c r="C61">
        <v>0</v>
      </c>
      <c r="D61">
        <v>0</v>
      </c>
      <c r="E61">
        <v>1</v>
      </c>
      <c r="F61">
        <v>0</v>
      </c>
      <c r="G61">
        <v>0</v>
      </c>
      <c r="H61">
        <v>0</v>
      </c>
      <c r="I61">
        <v>0</v>
      </c>
      <c r="J61">
        <v>798.5</v>
      </c>
    </row>
    <row r="62" spans="1:10" x14ac:dyDescent="0.3">
      <c r="A62" t="s">
        <v>267</v>
      </c>
      <c r="B62">
        <v>3325</v>
      </c>
      <c r="C62">
        <v>0</v>
      </c>
      <c r="D62">
        <v>0</v>
      </c>
      <c r="E62">
        <v>0</v>
      </c>
      <c r="F62">
        <v>0</v>
      </c>
      <c r="G62">
        <v>0</v>
      </c>
      <c r="H62">
        <v>0</v>
      </c>
      <c r="I62">
        <v>0</v>
      </c>
      <c r="J62">
        <v>773.9</v>
      </c>
    </row>
    <row r="63" spans="1:10" x14ac:dyDescent="0.3">
      <c r="A63" t="s">
        <v>267</v>
      </c>
      <c r="B63">
        <v>3350</v>
      </c>
      <c r="C63">
        <v>0</v>
      </c>
      <c r="D63">
        <v>0</v>
      </c>
      <c r="E63">
        <v>0</v>
      </c>
      <c r="F63">
        <v>0</v>
      </c>
      <c r="G63">
        <v>0</v>
      </c>
      <c r="H63">
        <v>0</v>
      </c>
      <c r="I63">
        <v>0</v>
      </c>
      <c r="J63">
        <v>749.3</v>
      </c>
    </row>
    <row r="64" spans="1:10" x14ac:dyDescent="0.3">
      <c r="A64" t="s">
        <v>267</v>
      </c>
      <c r="B64">
        <v>3375</v>
      </c>
      <c r="C64">
        <v>0</v>
      </c>
      <c r="D64">
        <v>0</v>
      </c>
      <c r="E64">
        <v>0</v>
      </c>
      <c r="F64">
        <v>0</v>
      </c>
      <c r="G64">
        <v>0</v>
      </c>
      <c r="H64">
        <v>0</v>
      </c>
      <c r="I64">
        <v>0</v>
      </c>
      <c r="J64">
        <v>724.7</v>
      </c>
    </row>
    <row r="65" spans="1:10" x14ac:dyDescent="0.3">
      <c r="A65" t="s">
        <v>267</v>
      </c>
      <c r="B65">
        <v>3400</v>
      </c>
      <c r="C65">
        <v>0</v>
      </c>
      <c r="D65">
        <v>0</v>
      </c>
      <c r="E65">
        <v>5</v>
      </c>
      <c r="F65">
        <v>0</v>
      </c>
      <c r="G65">
        <v>0</v>
      </c>
      <c r="H65">
        <v>0</v>
      </c>
      <c r="I65">
        <v>0</v>
      </c>
      <c r="J65">
        <v>700.1</v>
      </c>
    </row>
    <row r="66" spans="1:10" x14ac:dyDescent="0.3">
      <c r="A66" t="s">
        <v>267</v>
      </c>
      <c r="B66">
        <v>3425</v>
      </c>
      <c r="C66">
        <v>0</v>
      </c>
      <c r="D66">
        <v>0</v>
      </c>
      <c r="E66">
        <v>0</v>
      </c>
      <c r="F66">
        <v>0</v>
      </c>
      <c r="G66">
        <v>0</v>
      </c>
      <c r="H66">
        <v>0</v>
      </c>
      <c r="I66">
        <v>0</v>
      </c>
      <c r="J66">
        <v>675.6</v>
      </c>
    </row>
    <row r="67" spans="1:10" x14ac:dyDescent="0.3">
      <c r="A67" t="s">
        <v>267</v>
      </c>
      <c r="B67">
        <v>3450</v>
      </c>
      <c r="C67">
        <v>0</v>
      </c>
      <c r="D67">
        <v>0</v>
      </c>
      <c r="E67">
        <v>1</v>
      </c>
      <c r="F67">
        <v>0</v>
      </c>
      <c r="G67">
        <v>0</v>
      </c>
      <c r="H67">
        <v>0</v>
      </c>
      <c r="I67">
        <v>0</v>
      </c>
      <c r="J67">
        <v>651</v>
      </c>
    </row>
    <row r="68" spans="1:10" x14ac:dyDescent="0.3">
      <c r="A68" t="s">
        <v>267</v>
      </c>
      <c r="B68">
        <v>3475</v>
      </c>
      <c r="C68">
        <v>0</v>
      </c>
      <c r="D68">
        <v>0</v>
      </c>
      <c r="E68">
        <v>0</v>
      </c>
      <c r="F68">
        <v>0</v>
      </c>
      <c r="G68">
        <v>0</v>
      </c>
      <c r="H68">
        <v>0</v>
      </c>
      <c r="I68">
        <v>0</v>
      </c>
      <c r="J68">
        <v>626.6</v>
      </c>
    </row>
    <row r="69" spans="1:10" x14ac:dyDescent="0.3">
      <c r="A69" t="s">
        <v>267</v>
      </c>
      <c r="B69">
        <v>3500</v>
      </c>
      <c r="C69">
        <v>0</v>
      </c>
      <c r="D69">
        <v>0</v>
      </c>
      <c r="E69">
        <v>2</v>
      </c>
      <c r="F69">
        <v>0</v>
      </c>
      <c r="G69">
        <v>0</v>
      </c>
      <c r="H69">
        <v>0</v>
      </c>
      <c r="I69">
        <v>0</v>
      </c>
      <c r="J69">
        <v>602.20000000000005</v>
      </c>
    </row>
    <row r="70" spans="1:10" x14ac:dyDescent="0.3">
      <c r="A70" t="s">
        <v>267</v>
      </c>
      <c r="B70">
        <v>3525</v>
      </c>
      <c r="C70">
        <v>0</v>
      </c>
      <c r="D70">
        <v>2</v>
      </c>
      <c r="E70">
        <v>3</v>
      </c>
      <c r="F70">
        <v>0</v>
      </c>
      <c r="G70">
        <v>0</v>
      </c>
      <c r="H70">
        <v>0</v>
      </c>
      <c r="I70">
        <v>0</v>
      </c>
      <c r="J70">
        <v>577.79999999999995</v>
      </c>
    </row>
    <row r="71" spans="1:10" x14ac:dyDescent="0.3">
      <c r="A71" t="s">
        <v>267</v>
      </c>
      <c r="B71">
        <v>3550</v>
      </c>
      <c r="C71">
        <v>0</v>
      </c>
      <c r="D71">
        <v>0</v>
      </c>
      <c r="E71">
        <v>0</v>
      </c>
      <c r="F71">
        <v>0</v>
      </c>
      <c r="G71">
        <v>0</v>
      </c>
      <c r="H71">
        <v>0</v>
      </c>
      <c r="I71">
        <v>0</v>
      </c>
      <c r="J71">
        <v>553.5</v>
      </c>
    </row>
    <row r="72" spans="1:10" x14ac:dyDescent="0.3">
      <c r="A72" t="s">
        <v>267</v>
      </c>
      <c r="B72">
        <v>3575</v>
      </c>
      <c r="C72">
        <v>0</v>
      </c>
      <c r="D72">
        <v>0</v>
      </c>
      <c r="E72">
        <v>0</v>
      </c>
      <c r="F72">
        <v>0</v>
      </c>
      <c r="G72">
        <v>0</v>
      </c>
      <c r="H72">
        <v>0</v>
      </c>
      <c r="I72">
        <v>0</v>
      </c>
      <c r="J72">
        <v>529.29999999999995</v>
      </c>
    </row>
    <row r="73" spans="1:10" x14ac:dyDescent="0.3">
      <c r="A73" t="s">
        <v>267</v>
      </c>
      <c r="B73">
        <v>3600</v>
      </c>
      <c r="C73">
        <v>0</v>
      </c>
      <c r="D73">
        <v>0</v>
      </c>
      <c r="E73">
        <v>15</v>
      </c>
      <c r="F73">
        <v>0</v>
      </c>
      <c r="G73">
        <v>0</v>
      </c>
      <c r="H73">
        <v>0</v>
      </c>
      <c r="I73">
        <v>0</v>
      </c>
      <c r="J73">
        <v>505.2</v>
      </c>
    </row>
    <row r="74" spans="1:10" x14ac:dyDescent="0.3">
      <c r="A74" t="s">
        <v>267</v>
      </c>
      <c r="B74">
        <v>3625</v>
      </c>
      <c r="C74">
        <v>0</v>
      </c>
      <c r="D74">
        <v>0</v>
      </c>
      <c r="E74">
        <v>0</v>
      </c>
      <c r="F74">
        <v>0</v>
      </c>
      <c r="G74">
        <v>0</v>
      </c>
      <c r="H74">
        <v>0</v>
      </c>
      <c r="I74">
        <v>0</v>
      </c>
      <c r="J74">
        <v>481.2</v>
      </c>
    </row>
    <row r="75" spans="1:10" x14ac:dyDescent="0.3">
      <c r="A75" t="s">
        <v>267</v>
      </c>
      <c r="B75">
        <v>3650</v>
      </c>
      <c r="C75">
        <v>0</v>
      </c>
      <c r="D75">
        <v>0</v>
      </c>
      <c r="E75">
        <v>0</v>
      </c>
      <c r="F75">
        <v>0</v>
      </c>
      <c r="G75">
        <v>0</v>
      </c>
      <c r="H75">
        <v>0</v>
      </c>
      <c r="I75">
        <v>0</v>
      </c>
      <c r="J75">
        <v>457.3</v>
      </c>
    </row>
    <row r="76" spans="1:10" x14ac:dyDescent="0.3">
      <c r="A76" t="s">
        <v>267</v>
      </c>
      <c r="B76">
        <v>3675</v>
      </c>
      <c r="C76">
        <v>0</v>
      </c>
      <c r="D76">
        <v>0</v>
      </c>
      <c r="E76">
        <v>1</v>
      </c>
      <c r="F76">
        <v>0</v>
      </c>
      <c r="G76">
        <v>0</v>
      </c>
      <c r="H76">
        <v>0</v>
      </c>
      <c r="I76">
        <v>0</v>
      </c>
      <c r="J76">
        <v>433.6</v>
      </c>
    </row>
    <row r="77" spans="1:10" x14ac:dyDescent="0.3">
      <c r="A77" t="s">
        <v>267</v>
      </c>
      <c r="B77">
        <v>3700</v>
      </c>
      <c r="C77">
        <v>0</v>
      </c>
      <c r="D77">
        <v>1</v>
      </c>
      <c r="E77">
        <v>1151</v>
      </c>
      <c r="F77">
        <v>423</v>
      </c>
      <c r="G77">
        <v>423</v>
      </c>
      <c r="H77">
        <v>423</v>
      </c>
      <c r="I77">
        <v>423</v>
      </c>
      <c r="J77">
        <v>410</v>
      </c>
    </row>
    <row r="78" spans="1:10" x14ac:dyDescent="0.3">
      <c r="A78" t="s">
        <v>267</v>
      </c>
      <c r="B78">
        <v>3725</v>
      </c>
      <c r="C78">
        <v>0</v>
      </c>
      <c r="D78">
        <v>0</v>
      </c>
      <c r="E78">
        <v>5</v>
      </c>
      <c r="F78">
        <v>0</v>
      </c>
      <c r="G78">
        <v>0</v>
      </c>
      <c r="H78">
        <v>0</v>
      </c>
      <c r="I78">
        <v>0</v>
      </c>
      <c r="J78">
        <v>386.7</v>
      </c>
    </row>
    <row r="79" spans="1:10" x14ac:dyDescent="0.3">
      <c r="A79" t="s">
        <v>267</v>
      </c>
      <c r="B79">
        <v>3750</v>
      </c>
      <c r="C79">
        <v>0</v>
      </c>
      <c r="D79">
        <v>0</v>
      </c>
      <c r="E79">
        <v>217</v>
      </c>
      <c r="F79">
        <v>0</v>
      </c>
      <c r="G79">
        <v>0</v>
      </c>
      <c r="H79">
        <v>0</v>
      </c>
      <c r="I79">
        <v>0</v>
      </c>
      <c r="J79">
        <v>363.5</v>
      </c>
    </row>
    <row r="80" spans="1:10" x14ac:dyDescent="0.3">
      <c r="A80" t="s">
        <v>267</v>
      </c>
      <c r="B80">
        <v>3775</v>
      </c>
      <c r="C80">
        <v>0</v>
      </c>
      <c r="D80">
        <v>0</v>
      </c>
      <c r="E80">
        <v>2</v>
      </c>
      <c r="F80">
        <v>0</v>
      </c>
      <c r="G80">
        <v>0</v>
      </c>
      <c r="H80">
        <v>0</v>
      </c>
      <c r="I80">
        <v>0</v>
      </c>
      <c r="J80">
        <v>340.7</v>
      </c>
    </row>
    <row r="81" spans="1:10" x14ac:dyDescent="0.3">
      <c r="A81" t="s">
        <v>267</v>
      </c>
      <c r="B81">
        <v>3800</v>
      </c>
      <c r="C81">
        <v>0</v>
      </c>
      <c r="D81">
        <v>1</v>
      </c>
      <c r="E81">
        <v>501</v>
      </c>
      <c r="F81">
        <v>333.3</v>
      </c>
      <c r="G81">
        <v>333.3</v>
      </c>
      <c r="H81">
        <v>333.3</v>
      </c>
      <c r="I81">
        <v>333.3</v>
      </c>
      <c r="J81">
        <v>318.10000000000002</v>
      </c>
    </row>
    <row r="82" spans="1:10" x14ac:dyDescent="0.3">
      <c r="A82" t="s">
        <v>267</v>
      </c>
      <c r="B82">
        <v>3825</v>
      </c>
      <c r="C82">
        <v>0</v>
      </c>
      <c r="D82">
        <v>0</v>
      </c>
      <c r="E82">
        <v>0</v>
      </c>
      <c r="F82">
        <v>0</v>
      </c>
      <c r="G82">
        <v>0</v>
      </c>
      <c r="H82">
        <v>0</v>
      </c>
      <c r="I82">
        <v>0</v>
      </c>
      <c r="J82">
        <v>295.8</v>
      </c>
    </row>
    <row r="83" spans="1:10" x14ac:dyDescent="0.3">
      <c r="A83" t="s">
        <v>267</v>
      </c>
      <c r="B83">
        <v>3850</v>
      </c>
      <c r="C83">
        <v>0</v>
      </c>
      <c r="D83">
        <v>0</v>
      </c>
      <c r="E83">
        <v>15</v>
      </c>
      <c r="F83">
        <v>0</v>
      </c>
      <c r="G83">
        <v>0</v>
      </c>
      <c r="H83">
        <v>0</v>
      </c>
      <c r="I83">
        <v>0</v>
      </c>
      <c r="J83">
        <v>273.89999999999998</v>
      </c>
    </row>
    <row r="84" spans="1:10" x14ac:dyDescent="0.3">
      <c r="A84" t="s">
        <v>267</v>
      </c>
      <c r="B84">
        <v>3875</v>
      </c>
      <c r="C84">
        <v>0</v>
      </c>
      <c r="D84">
        <v>2</v>
      </c>
      <c r="E84">
        <v>340</v>
      </c>
      <c r="F84">
        <v>247</v>
      </c>
      <c r="G84">
        <v>247</v>
      </c>
      <c r="H84">
        <v>247</v>
      </c>
      <c r="I84">
        <v>247</v>
      </c>
      <c r="J84">
        <v>252.4</v>
      </c>
    </row>
    <row r="85" spans="1:10" x14ac:dyDescent="0.3">
      <c r="A85" t="s">
        <v>267</v>
      </c>
      <c r="B85">
        <v>3900</v>
      </c>
      <c r="C85">
        <v>0</v>
      </c>
      <c r="D85">
        <v>6</v>
      </c>
      <c r="E85">
        <v>26</v>
      </c>
      <c r="F85">
        <v>242</v>
      </c>
      <c r="G85">
        <v>242</v>
      </c>
      <c r="H85">
        <v>242</v>
      </c>
      <c r="I85">
        <v>242</v>
      </c>
      <c r="J85">
        <v>231.3</v>
      </c>
    </row>
    <row r="86" spans="1:10" x14ac:dyDescent="0.3">
      <c r="A86" t="s">
        <v>267</v>
      </c>
      <c r="B86">
        <v>3925</v>
      </c>
      <c r="C86">
        <v>0</v>
      </c>
      <c r="D86">
        <v>0</v>
      </c>
      <c r="E86">
        <v>8</v>
      </c>
      <c r="F86">
        <v>0</v>
      </c>
      <c r="G86">
        <v>0</v>
      </c>
      <c r="H86">
        <v>0</v>
      </c>
      <c r="I86">
        <v>0</v>
      </c>
      <c r="J86">
        <v>210.8</v>
      </c>
    </row>
    <row r="87" spans="1:10" x14ac:dyDescent="0.3">
      <c r="A87" t="s">
        <v>267</v>
      </c>
      <c r="B87">
        <v>3950</v>
      </c>
      <c r="C87">
        <v>0</v>
      </c>
      <c r="D87">
        <v>113</v>
      </c>
      <c r="E87">
        <v>324</v>
      </c>
      <c r="F87">
        <v>0</v>
      </c>
      <c r="G87">
        <v>0</v>
      </c>
      <c r="H87">
        <v>0</v>
      </c>
      <c r="I87">
        <v>0</v>
      </c>
      <c r="J87">
        <v>190.8</v>
      </c>
    </row>
    <row r="88" spans="1:10" x14ac:dyDescent="0.3">
      <c r="A88" t="s">
        <v>267</v>
      </c>
      <c r="B88">
        <v>3975</v>
      </c>
      <c r="C88">
        <v>0</v>
      </c>
      <c r="D88">
        <v>0</v>
      </c>
      <c r="E88">
        <v>2</v>
      </c>
      <c r="F88">
        <v>0</v>
      </c>
      <c r="G88">
        <v>0</v>
      </c>
      <c r="H88">
        <v>0</v>
      </c>
      <c r="I88">
        <v>0</v>
      </c>
      <c r="J88">
        <v>171.5</v>
      </c>
    </row>
    <row r="89" spans="1:10" x14ac:dyDescent="0.3">
      <c r="A89" t="s">
        <v>267</v>
      </c>
      <c r="B89">
        <v>4000</v>
      </c>
      <c r="C89">
        <v>0</v>
      </c>
      <c r="D89">
        <v>874</v>
      </c>
      <c r="E89">
        <v>2183</v>
      </c>
      <c r="F89">
        <v>162</v>
      </c>
      <c r="G89">
        <v>165</v>
      </c>
      <c r="H89">
        <v>150</v>
      </c>
      <c r="I89">
        <v>155</v>
      </c>
      <c r="J89">
        <v>152.9</v>
      </c>
    </row>
    <row r="90" spans="1:10" x14ac:dyDescent="0.3">
      <c r="A90" t="s">
        <v>267</v>
      </c>
      <c r="B90">
        <v>4025</v>
      </c>
      <c r="C90">
        <v>0</v>
      </c>
      <c r="D90">
        <v>23</v>
      </c>
      <c r="E90">
        <v>74</v>
      </c>
      <c r="F90">
        <v>145</v>
      </c>
      <c r="G90">
        <v>145</v>
      </c>
      <c r="H90">
        <v>136</v>
      </c>
      <c r="I90">
        <v>136</v>
      </c>
      <c r="J90">
        <v>135.1</v>
      </c>
    </row>
    <row r="91" spans="1:10" x14ac:dyDescent="0.3">
      <c r="A91" t="s">
        <v>267</v>
      </c>
      <c r="B91">
        <v>4050</v>
      </c>
      <c r="C91">
        <v>0</v>
      </c>
      <c r="D91">
        <v>2905</v>
      </c>
      <c r="E91">
        <v>7722</v>
      </c>
      <c r="F91">
        <v>0</v>
      </c>
      <c r="G91">
        <v>0</v>
      </c>
      <c r="H91">
        <v>0</v>
      </c>
      <c r="I91">
        <v>0</v>
      </c>
      <c r="J91">
        <v>118.2</v>
      </c>
    </row>
    <row r="92" spans="1:10" x14ac:dyDescent="0.3">
      <c r="A92" t="s">
        <v>267</v>
      </c>
      <c r="B92">
        <v>4075</v>
      </c>
      <c r="C92">
        <v>0</v>
      </c>
      <c r="D92">
        <v>373</v>
      </c>
      <c r="E92">
        <v>1053</v>
      </c>
      <c r="F92">
        <v>106.5</v>
      </c>
      <c r="G92">
        <v>108.7</v>
      </c>
      <c r="H92">
        <v>106.5</v>
      </c>
      <c r="I92">
        <v>107.7</v>
      </c>
      <c r="J92">
        <v>102.3</v>
      </c>
    </row>
    <row r="93" spans="1:10" x14ac:dyDescent="0.3">
      <c r="A93" t="s">
        <v>267</v>
      </c>
      <c r="B93">
        <v>4100</v>
      </c>
      <c r="C93">
        <v>0</v>
      </c>
      <c r="D93">
        <v>5629</v>
      </c>
      <c r="E93">
        <v>21129</v>
      </c>
      <c r="F93">
        <v>86.8</v>
      </c>
      <c r="G93">
        <v>96.5</v>
      </c>
      <c r="H93">
        <v>80.8</v>
      </c>
      <c r="I93">
        <v>86.4</v>
      </c>
      <c r="J93">
        <v>87.6</v>
      </c>
    </row>
    <row r="94" spans="1:10" x14ac:dyDescent="0.3">
      <c r="A94" t="s">
        <v>267</v>
      </c>
      <c r="B94">
        <v>4125</v>
      </c>
      <c r="C94">
        <v>0</v>
      </c>
      <c r="D94">
        <v>2188</v>
      </c>
      <c r="E94">
        <v>6994</v>
      </c>
      <c r="F94">
        <v>71.8</v>
      </c>
      <c r="G94">
        <v>79.3</v>
      </c>
      <c r="H94">
        <v>65.599999999999994</v>
      </c>
      <c r="I94">
        <v>73.900000000000006</v>
      </c>
      <c r="J94">
        <v>73.900000000000006</v>
      </c>
    </row>
    <row r="95" spans="1:10" x14ac:dyDescent="0.3">
      <c r="A95" t="s">
        <v>267</v>
      </c>
      <c r="B95">
        <v>4150</v>
      </c>
      <c r="C95">
        <v>0</v>
      </c>
      <c r="D95">
        <v>3518</v>
      </c>
      <c r="E95">
        <v>18487</v>
      </c>
      <c r="F95">
        <v>60</v>
      </c>
      <c r="G95">
        <v>67.8</v>
      </c>
      <c r="H95">
        <v>60</v>
      </c>
      <c r="I95">
        <v>60.4</v>
      </c>
      <c r="J95">
        <v>61.5</v>
      </c>
    </row>
    <row r="96" spans="1:10" x14ac:dyDescent="0.3">
      <c r="A96" t="s">
        <v>267</v>
      </c>
      <c r="B96">
        <v>4175</v>
      </c>
      <c r="C96">
        <v>0</v>
      </c>
      <c r="D96">
        <v>104</v>
      </c>
      <c r="E96">
        <v>8706</v>
      </c>
      <c r="F96">
        <v>48.8</v>
      </c>
      <c r="G96">
        <v>53.8</v>
      </c>
      <c r="H96">
        <v>44</v>
      </c>
      <c r="I96">
        <v>50.3</v>
      </c>
      <c r="J96">
        <v>50.2</v>
      </c>
    </row>
    <row r="97" spans="1:10" x14ac:dyDescent="0.3">
      <c r="A97" t="s">
        <v>267</v>
      </c>
      <c r="B97">
        <v>4200</v>
      </c>
      <c r="C97">
        <v>0</v>
      </c>
      <c r="D97">
        <v>12754</v>
      </c>
      <c r="E97">
        <v>42846</v>
      </c>
      <c r="F97">
        <v>38.700000000000003</v>
      </c>
      <c r="G97">
        <v>44.8</v>
      </c>
      <c r="H97">
        <v>35</v>
      </c>
      <c r="I97">
        <v>40.1</v>
      </c>
      <c r="J97">
        <v>40.299999999999997</v>
      </c>
    </row>
    <row r="98" spans="1:10" x14ac:dyDescent="0.3">
      <c r="A98" t="s">
        <v>267</v>
      </c>
      <c r="B98">
        <v>4225</v>
      </c>
      <c r="C98">
        <v>0</v>
      </c>
      <c r="D98">
        <v>897</v>
      </c>
      <c r="E98">
        <v>7996</v>
      </c>
      <c r="F98">
        <v>30.7</v>
      </c>
      <c r="G98">
        <v>34.9</v>
      </c>
      <c r="H98">
        <v>29.1</v>
      </c>
      <c r="I98">
        <v>30</v>
      </c>
      <c r="J98">
        <v>31.5</v>
      </c>
    </row>
    <row r="99" spans="1:10" x14ac:dyDescent="0.3">
      <c r="A99" t="s">
        <v>267</v>
      </c>
      <c r="B99">
        <v>4250</v>
      </c>
      <c r="C99">
        <v>0</v>
      </c>
      <c r="D99">
        <v>4227</v>
      </c>
      <c r="E99">
        <v>35834</v>
      </c>
      <c r="F99">
        <v>23.2</v>
      </c>
      <c r="G99">
        <v>27.3</v>
      </c>
      <c r="H99">
        <v>21.9</v>
      </c>
      <c r="I99">
        <v>24.3</v>
      </c>
      <c r="J99">
        <v>24.1</v>
      </c>
    </row>
    <row r="100" spans="1:10" x14ac:dyDescent="0.3">
      <c r="A100" t="s">
        <v>267</v>
      </c>
      <c r="B100">
        <v>4275</v>
      </c>
      <c r="C100">
        <v>0</v>
      </c>
      <c r="D100">
        <v>2349</v>
      </c>
      <c r="E100">
        <v>13252</v>
      </c>
      <c r="F100">
        <v>16.600000000000001</v>
      </c>
      <c r="G100">
        <v>20.8</v>
      </c>
      <c r="H100">
        <v>16.3</v>
      </c>
      <c r="I100">
        <v>18.3</v>
      </c>
      <c r="J100">
        <v>18</v>
      </c>
    </row>
    <row r="101" spans="1:10" x14ac:dyDescent="0.3">
      <c r="A101" t="s">
        <v>267</v>
      </c>
      <c r="B101">
        <v>4300</v>
      </c>
      <c r="C101">
        <v>0</v>
      </c>
      <c r="D101">
        <v>27821</v>
      </c>
      <c r="E101">
        <v>107167</v>
      </c>
      <c r="F101">
        <v>14.7</v>
      </c>
      <c r="G101">
        <v>15.6</v>
      </c>
      <c r="H101">
        <v>12.4</v>
      </c>
      <c r="I101">
        <v>12.8</v>
      </c>
      <c r="J101">
        <v>13.5</v>
      </c>
    </row>
    <row r="102" spans="1:10" x14ac:dyDescent="0.3">
      <c r="A102" t="s">
        <v>267</v>
      </c>
      <c r="B102">
        <v>4325</v>
      </c>
      <c r="C102">
        <v>0</v>
      </c>
      <c r="D102">
        <v>1900</v>
      </c>
      <c r="E102">
        <v>8026</v>
      </c>
      <c r="F102">
        <v>9.6</v>
      </c>
      <c r="G102">
        <v>10.7</v>
      </c>
      <c r="H102">
        <v>8.9</v>
      </c>
      <c r="I102">
        <v>9.9</v>
      </c>
      <c r="J102">
        <v>9.9</v>
      </c>
    </row>
    <row r="103" spans="1:10" x14ac:dyDescent="0.3">
      <c r="A103" t="s">
        <v>267</v>
      </c>
      <c r="B103">
        <v>4350</v>
      </c>
      <c r="C103">
        <v>0</v>
      </c>
      <c r="D103">
        <v>14105</v>
      </c>
      <c r="E103">
        <v>147453</v>
      </c>
      <c r="F103">
        <v>7.7</v>
      </c>
      <c r="G103">
        <v>8</v>
      </c>
      <c r="H103">
        <v>6.4</v>
      </c>
      <c r="I103">
        <v>7.4</v>
      </c>
      <c r="J103">
        <v>7.1</v>
      </c>
    </row>
    <row r="104" spans="1:10" x14ac:dyDescent="0.3">
      <c r="A104" t="s">
        <v>267</v>
      </c>
      <c r="B104">
        <v>4375</v>
      </c>
      <c r="C104">
        <v>0</v>
      </c>
      <c r="D104">
        <v>575</v>
      </c>
      <c r="E104">
        <v>155815</v>
      </c>
      <c r="F104">
        <v>5</v>
      </c>
      <c r="G104">
        <v>5.6</v>
      </c>
      <c r="H104">
        <v>4.5999999999999996</v>
      </c>
      <c r="I104">
        <v>5.3</v>
      </c>
      <c r="J104">
        <v>5</v>
      </c>
    </row>
    <row r="105" spans="1:10" x14ac:dyDescent="0.3">
      <c r="A105" t="s">
        <v>267</v>
      </c>
      <c r="B105">
        <v>4400</v>
      </c>
      <c r="C105">
        <v>0</v>
      </c>
      <c r="D105">
        <v>11574</v>
      </c>
      <c r="E105">
        <v>73070</v>
      </c>
      <c r="F105">
        <v>3.8</v>
      </c>
      <c r="G105">
        <v>4</v>
      </c>
      <c r="H105">
        <v>3.2</v>
      </c>
      <c r="I105">
        <v>3.8</v>
      </c>
      <c r="J105">
        <v>3.5</v>
      </c>
    </row>
    <row r="106" spans="1:10" x14ac:dyDescent="0.3">
      <c r="A106" t="s">
        <v>267</v>
      </c>
      <c r="B106">
        <v>4425</v>
      </c>
      <c r="C106">
        <v>0</v>
      </c>
      <c r="D106">
        <v>2257</v>
      </c>
      <c r="E106">
        <v>31271</v>
      </c>
      <c r="F106">
        <v>2.2999999999999998</v>
      </c>
      <c r="G106">
        <v>2.7</v>
      </c>
      <c r="H106">
        <v>2.2999999999999998</v>
      </c>
      <c r="I106">
        <v>2.5</v>
      </c>
      <c r="J106">
        <v>2.5</v>
      </c>
    </row>
    <row r="107" spans="1:10" x14ac:dyDescent="0.3">
      <c r="A107" t="s">
        <v>267</v>
      </c>
      <c r="B107">
        <v>4450</v>
      </c>
      <c r="C107">
        <v>0</v>
      </c>
      <c r="D107">
        <v>5554</v>
      </c>
      <c r="E107">
        <v>18100</v>
      </c>
      <c r="F107">
        <v>1.6</v>
      </c>
      <c r="G107">
        <v>2</v>
      </c>
      <c r="H107">
        <v>1.6</v>
      </c>
      <c r="I107">
        <v>1.9</v>
      </c>
      <c r="J107">
        <v>1.8</v>
      </c>
    </row>
    <row r="108" spans="1:10" x14ac:dyDescent="0.3">
      <c r="A108" t="s">
        <v>267</v>
      </c>
      <c r="B108">
        <v>4475</v>
      </c>
      <c r="C108">
        <v>0</v>
      </c>
      <c r="D108">
        <v>200</v>
      </c>
      <c r="E108">
        <v>19584</v>
      </c>
      <c r="F108">
        <v>0</v>
      </c>
      <c r="G108">
        <v>0</v>
      </c>
      <c r="H108">
        <v>0</v>
      </c>
      <c r="I108">
        <v>0</v>
      </c>
      <c r="J108">
        <v>1.4</v>
      </c>
    </row>
    <row r="109" spans="1:10" x14ac:dyDescent="0.3">
      <c r="A109" t="s">
        <v>267</v>
      </c>
      <c r="B109">
        <v>4500</v>
      </c>
      <c r="C109">
        <v>0</v>
      </c>
      <c r="D109">
        <v>12051</v>
      </c>
      <c r="E109">
        <v>59603</v>
      </c>
      <c r="F109">
        <v>1.2</v>
      </c>
      <c r="G109">
        <v>1.2</v>
      </c>
      <c r="H109">
        <v>1.1000000000000001</v>
      </c>
      <c r="I109">
        <v>1.1000000000000001</v>
      </c>
      <c r="J109">
        <v>1</v>
      </c>
    </row>
    <row r="110" spans="1:10" x14ac:dyDescent="0.3">
      <c r="A110" t="s">
        <v>267</v>
      </c>
      <c r="B110">
        <v>4525</v>
      </c>
      <c r="C110">
        <v>0</v>
      </c>
      <c r="D110">
        <v>0</v>
      </c>
      <c r="E110">
        <v>5175</v>
      </c>
      <c r="F110">
        <v>0</v>
      </c>
      <c r="G110">
        <v>0</v>
      </c>
      <c r="H110">
        <v>0</v>
      </c>
      <c r="I110">
        <v>0</v>
      </c>
      <c r="J110">
        <v>0.8</v>
      </c>
    </row>
    <row r="111" spans="1:10" x14ac:dyDescent="0.3">
      <c r="A111" t="s">
        <v>267</v>
      </c>
      <c r="B111">
        <v>4550</v>
      </c>
      <c r="C111">
        <v>0</v>
      </c>
      <c r="D111">
        <v>0</v>
      </c>
      <c r="E111">
        <v>9329</v>
      </c>
      <c r="F111">
        <v>0</v>
      </c>
      <c r="G111">
        <v>0</v>
      </c>
      <c r="H111">
        <v>0</v>
      </c>
      <c r="I111">
        <v>0</v>
      </c>
      <c r="J111">
        <v>0.6</v>
      </c>
    </row>
    <row r="112" spans="1:10" x14ac:dyDescent="0.3">
      <c r="A112" t="s">
        <v>267</v>
      </c>
      <c r="B112">
        <v>4575</v>
      </c>
      <c r="C112">
        <v>0</v>
      </c>
      <c r="D112">
        <v>0</v>
      </c>
      <c r="E112">
        <v>3335</v>
      </c>
      <c r="F112">
        <v>0</v>
      </c>
      <c r="G112">
        <v>0</v>
      </c>
      <c r="H112">
        <v>0</v>
      </c>
      <c r="I112">
        <v>0</v>
      </c>
      <c r="J112">
        <v>0.5</v>
      </c>
    </row>
    <row r="113" spans="1:10" x14ac:dyDescent="0.3">
      <c r="A113" t="s">
        <v>267</v>
      </c>
      <c r="B113">
        <v>4600</v>
      </c>
      <c r="C113">
        <v>0</v>
      </c>
      <c r="D113">
        <v>1000</v>
      </c>
      <c r="E113">
        <v>23016</v>
      </c>
      <c r="F113">
        <v>0</v>
      </c>
      <c r="G113">
        <v>0</v>
      </c>
      <c r="H113">
        <v>0</v>
      </c>
      <c r="I113">
        <v>0</v>
      </c>
      <c r="J113">
        <v>0.4</v>
      </c>
    </row>
    <row r="114" spans="1:10" x14ac:dyDescent="0.3">
      <c r="A114" t="s">
        <v>267</v>
      </c>
      <c r="B114">
        <v>4625</v>
      </c>
      <c r="C114">
        <v>0</v>
      </c>
      <c r="D114">
        <v>6</v>
      </c>
      <c r="E114">
        <v>1667</v>
      </c>
      <c r="F114">
        <v>0.5</v>
      </c>
      <c r="G114">
        <v>0.5</v>
      </c>
      <c r="H114">
        <v>0.5</v>
      </c>
      <c r="I114">
        <v>0.5</v>
      </c>
      <c r="J114">
        <v>0.3</v>
      </c>
    </row>
    <row r="115" spans="1:10" x14ac:dyDescent="0.3">
      <c r="A115" t="s">
        <v>267</v>
      </c>
      <c r="B115">
        <v>4650</v>
      </c>
      <c r="C115">
        <v>0</v>
      </c>
      <c r="D115">
        <v>0</v>
      </c>
      <c r="E115">
        <v>2828</v>
      </c>
      <c r="F115">
        <v>0</v>
      </c>
      <c r="G115">
        <v>0</v>
      </c>
      <c r="H115">
        <v>0</v>
      </c>
      <c r="I115">
        <v>0</v>
      </c>
      <c r="J115">
        <v>0.3</v>
      </c>
    </row>
    <row r="116" spans="1:10" x14ac:dyDescent="0.3">
      <c r="A116" t="s">
        <v>267</v>
      </c>
      <c r="B116">
        <v>4675</v>
      </c>
      <c r="C116">
        <v>0</v>
      </c>
      <c r="D116">
        <v>2</v>
      </c>
      <c r="E116">
        <v>1368</v>
      </c>
      <c r="F116">
        <v>0.4</v>
      </c>
      <c r="G116">
        <v>0.4</v>
      </c>
      <c r="H116">
        <v>0.4</v>
      </c>
      <c r="I116">
        <v>0.4</v>
      </c>
      <c r="J116">
        <v>0.2</v>
      </c>
    </row>
    <row r="117" spans="1:10" x14ac:dyDescent="0.3">
      <c r="A117" t="s">
        <v>267</v>
      </c>
      <c r="B117">
        <v>4700</v>
      </c>
      <c r="C117">
        <v>0</v>
      </c>
      <c r="D117">
        <v>3726</v>
      </c>
      <c r="E117">
        <v>43482</v>
      </c>
      <c r="F117">
        <v>0</v>
      </c>
      <c r="G117">
        <v>0</v>
      </c>
      <c r="H117">
        <v>0</v>
      </c>
      <c r="I117">
        <v>0</v>
      </c>
      <c r="J117">
        <v>0.2</v>
      </c>
    </row>
    <row r="118" spans="1:10" x14ac:dyDescent="0.3">
      <c r="A118" t="s">
        <v>267</v>
      </c>
      <c r="B118">
        <v>4725</v>
      </c>
      <c r="C118">
        <v>0</v>
      </c>
      <c r="D118">
        <v>0</v>
      </c>
      <c r="E118">
        <v>494</v>
      </c>
      <c r="F118">
        <v>0</v>
      </c>
      <c r="G118">
        <v>0</v>
      </c>
      <c r="H118">
        <v>0</v>
      </c>
      <c r="I118">
        <v>0</v>
      </c>
      <c r="J118">
        <v>0.2</v>
      </c>
    </row>
    <row r="119" spans="1:10" x14ac:dyDescent="0.3">
      <c r="A119" t="s">
        <v>267</v>
      </c>
      <c r="B119">
        <v>4750</v>
      </c>
      <c r="C119">
        <v>0</v>
      </c>
      <c r="D119">
        <v>0</v>
      </c>
      <c r="E119">
        <v>2072</v>
      </c>
      <c r="F119">
        <v>0</v>
      </c>
      <c r="G119">
        <v>0</v>
      </c>
      <c r="H119">
        <v>0</v>
      </c>
      <c r="I119">
        <v>0</v>
      </c>
      <c r="J119">
        <v>0.2</v>
      </c>
    </row>
    <row r="120" spans="1:10" x14ac:dyDescent="0.3">
      <c r="A120" t="s">
        <v>267</v>
      </c>
      <c r="B120">
        <v>4775</v>
      </c>
      <c r="C120">
        <v>0</v>
      </c>
      <c r="D120">
        <v>0</v>
      </c>
      <c r="E120">
        <v>866</v>
      </c>
      <c r="F120">
        <v>0</v>
      </c>
      <c r="G120">
        <v>0</v>
      </c>
      <c r="H120">
        <v>0</v>
      </c>
      <c r="I120">
        <v>0</v>
      </c>
      <c r="J120">
        <v>0.1</v>
      </c>
    </row>
    <row r="121" spans="1:10" x14ac:dyDescent="0.3">
      <c r="A121" t="s">
        <v>267</v>
      </c>
      <c r="B121">
        <v>4800</v>
      </c>
      <c r="C121">
        <v>0</v>
      </c>
      <c r="D121">
        <v>0</v>
      </c>
      <c r="E121">
        <v>4802</v>
      </c>
      <c r="F121">
        <v>0</v>
      </c>
      <c r="G121">
        <v>0</v>
      </c>
      <c r="H121">
        <v>0</v>
      </c>
      <c r="I121">
        <v>0</v>
      </c>
      <c r="J121">
        <v>0.1</v>
      </c>
    </row>
    <row r="122" spans="1:10" x14ac:dyDescent="0.3">
      <c r="A122" t="s">
        <v>267</v>
      </c>
      <c r="B122">
        <v>4825</v>
      </c>
      <c r="C122">
        <v>0</v>
      </c>
      <c r="D122">
        <v>3</v>
      </c>
      <c r="E122">
        <v>1272</v>
      </c>
      <c r="F122">
        <v>0.3</v>
      </c>
      <c r="G122">
        <v>0.3</v>
      </c>
      <c r="H122">
        <v>0.3</v>
      </c>
      <c r="I122">
        <v>0.3</v>
      </c>
      <c r="J122">
        <v>0.1</v>
      </c>
    </row>
    <row r="123" spans="1:10" x14ac:dyDescent="0.3">
      <c r="A123" t="s">
        <v>267</v>
      </c>
      <c r="B123">
        <v>4850</v>
      </c>
      <c r="C123">
        <v>0</v>
      </c>
      <c r="D123">
        <v>0</v>
      </c>
      <c r="E123">
        <v>7850</v>
      </c>
      <c r="F123">
        <v>0</v>
      </c>
      <c r="G123">
        <v>0</v>
      </c>
      <c r="H123">
        <v>0</v>
      </c>
      <c r="I123">
        <v>0</v>
      </c>
      <c r="J123">
        <v>0.1</v>
      </c>
    </row>
    <row r="124" spans="1:10" x14ac:dyDescent="0.3">
      <c r="A124" t="s">
        <v>267</v>
      </c>
      <c r="B124">
        <v>4875</v>
      </c>
      <c r="C124">
        <v>0</v>
      </c>
      <c r="D124">
        <v>0</v>
      </c>
      <c r="E124">
        <v>53</v>
      </c>
      <c r="F124">
        <v>0</v>
      </c>
      <c r="G124">
        <v>0</v>
      </c>
      <c r="H124">
        <v>0</v>
      </c>
      <c r="I124">
        <v>0</v>
      </c>
      <c r="J124">
        <v>0.1</v>
      </c>
    </row>
    <row r="125" spans="1:10" x14ac:dyDescent="0.3">
      <c r="A125" t="s">
        <v>267</v>
      </c>
      <c r="B125">
        <v>4900</v>
      </c>
      <c r="C125">
        <v>0</v>
      </c>
      <c r="D125">
        <v>0</v>
      </c>
      <c r="E125">
        <v>4396</v>
      </c>
      <c r="F125">
        <v>0</v>
      </c>
      <c r="G125">
        <v>0</v>
      </c>
      <c r="H125">
        <v>0</v>
      </c>
      <c r="I125">
        <v>0</v>
      </c>
      <c r="J125">
        <v>0.1</v>
      </c>
    </row>
    <row r="126" spans="1:10" x14ac:dyDescent="0.3">
      <c r="A126" t="s">
        <v>267</v>
      </c>
      <c r="B126">
        <v>4925</v>
      </c>
      <c r="C126">
        <v>0</v>
      </c>
      <c r="D126">
        <v>0</v>
      </c>
      <c r="E126">
        <v>576</v>
      </c>
      <c r="F126">
        <v>0</v>
      </c>
      <c r="G126">
        <v>0</v>
      </c>
      <c r="H126">
        <v>0</v>
      </c>
      <c r="I126">
        <v>0</v>
      </c>
      <c r="J126">
        <v>0.1</v>
      </c>
    </row>
    <row r="127" spans="1:10" x14ac:dyDescent="0.3">
      <c r="A127" t="s">
        <v>267</v>
      </c>
      <c r="B127">
        <v>4950</v>
      </c>
      <c r="C127">
        <v>0</v>
      </c>
      <c r="D127">
        <v>0</v>
      </c>
      <c r="E127">
        <v>479</v>
      </c>
      <c r="F127">
        <v>0</v>
      </c>
      <c r="G127">
        <v>0</v>
      </c>
      <c r="H127">
        <v>0</v>
      </c>
      <c r="I127">
        <v>0</v>
      </c>
      <c r="J127">
        <v>0.1</v>
      </c>
    </row>
    <row r="128" spans="1:10" x14ac:dyDescent="0.3">
      <c r="A128" t="s">
        <v>267</v>
      </c>
      <c r="B128">
        <v>4975</v>
      </c>
      <c r="C128">
        <v>0</v>
      </c>
      <c r="D128">
        <v>0</v>
      </c>
      <c r="E128">
        <v>81</v>
      </c>
      <c r="F128">
        <v>0</v>
      </c>
      <c r="G128">
        <v>0</v>
      </c>
      <c r="H128">
        <v>0</v>
      </c>
      <c r="I128">
        <v>0</v>
      </c>
      <c r="J128">
        <v>0.1</v>
      </c>
    </row>
    <row r="129" spans="1:10" x14ac:dyDescent="0.3">
      <c r="A129" t="s">
        <v>267</v>
      </c>
      <c r="B129">
        <v>5000</v>
      </c>
      <c r="C129">
        <v>0</v>
      </c>
      <c r="D129">
        <v>0</v>
      </c>
      <c r="E129">
        <v>1432</v>
      </c>
      <c r="F129">
        <v>0</v>
      </c>
      <c r="G129">
        <v>0</v>
      </c>
      <c r="H129">
        <v>0</v>
      </c>
      <c r="I129">
        <v>0</v>
      </c>
      <c r="J129">
        <v>0.1</v>
      </c>
    </row>
    <row r="130" spans="1:10" x14ac:dyDescent="0.3">
      <c r="A130" t="s">
        <v>267</v>
      </c>
      <c r="B130">
        <v>5025</v>
      </c>
      <c r="C130">
        <v>0</v>
      </c>
      <c r="D130">
        <v>0</v>
      </c>
      <c r="E130">
        <v>39</v>
      </c>
      <c r="F130">
        <v>0</v>
      </c>
      <c r="G130">
        <v>0</v>
      </c>
      <c r="H130">
        <v>0</v>
      </c>
      <c r="I130">
        <v>0</v>
      </c>
      <c r="J130">
        <v>0.1</v>
      </c>
    </row>
    <row r="131" spans="1:10" x14ac:dyDescent="0.3">
      <c r="A131" t="s">
        <v>267</v>
      </c>
      <c r="B131">
        <v>5050</v>
      </c>
      <c r="C131">
        <v>0</v>
      </c>
      <c r="D131">
        <v>0</v>
      </c>
      <c r="E131">
        <v>23</v>
      </c>
      <c r="F131">
        <v>0</v>
      </c>
      <c r="G131">
        <v>0</v>
      </c>
      <c r="H131">
        <v>0</v>
      </c>
      <c r="I131">
        <v>0</v>
      </c>
      <c r="J131">
        <v>0.1</v>
      </c>
    </row>
    <row r="132" spans="1:10" x14ac:dyDescent="0.3">
      <c r="A132" t="s">
        <v>267</v>
      </c>
      <c r="B132">
        <v>5075</v>
      </c>
      <c r="C132">
        <v>0</v>
      </c>
      <c r="D132">
        <v>0</v>
      </c>
      <c r="E132">
        <v>131</v>
      </c>
      <c r="F132">
        <v>0</v>
      </c>
      <c r="G132">
        <v>0</v>
      </c>
      <c r="H132">
        <v>0</v>
      </c>
      <c r="I132">
        <v>0</v>
      </c>
      <c r="J132">
        <v>0.1</v>
      </c>
    </row>
    <row r="133" spans="1:10" x14ac:dyDescent="0.3">
      <c r="A133" t="s">
        <v>267</v>
      </c>
      <c r="B133">
        <v>5100</v>
      </c>
      <c r="C133">
        <v>0</v>
      </c>
      <c r="D133">
        <v>0</v>
      </c>
      <c r="E133">
        <v>69</v>
      </c>
      <c r="F133">
        <v>0</v>
      </c>
      <c r="G133">
        <v>0</v>
      </c>
      <c r="H133">
        <v>0</v>
      </c>
      <c r="I133">
        <v>0</v>
      </c>
      <c r="J133">
        <v>0.1</v>
      </c>
    </row>
    <row r="134" spans="1:10" x14ac:dyDescent="0.3">
      <c r="A134" t="s">
        <v>267</v>
      </c>
      <c r="B134">
        <v>5125</v>
      </c>
      <c r="C134">
        <v>0</v>
      </c>
      <c r="D134">
        <v>0</v>
      </c>
      <c r="E134">
        <v>4</v>
      </c>
      <c r="F134">
        <v>0</v>
      </c>
      <c r="G134">
        <v>0</v>
      </c>
      <c r="H134">
        <v>0</v>
      </c>
      <c r="I134">
        <v>0</v>
      </c>
      <c r="J134">
        <v>0.1</v>
      </c>
    </row>
    <row r="135" spans="1:10" x14ac:dyDescent="0.3">
      <c r="A135" t="s">
        <v>267</v>
      </c>
      <c r="B135">
        <v>5150</v>
      </c>
      <c r="C135">
        <v>0</v>
      </c>
      <c r="D135">
        <v>0</v>
      </c>
      <c r="E135">
        <v>7</v>
      </c>
      <c r="F135">
        <v>0</v>
      </c>
      <c r="G135">
        <v>0</v>
      </c>
      <c r="H135">
        <v>0</v>
      </c>
      <c r="I135">
        <v>0</v>
      </c>
      <c r="J135">
        <v>0.1</v>
      </c>
    </row>
    <row r="136" spans="1:10" x14ac:dyDescent="0.3">
      <c r="A136" t="s">
        <v>267</v>
      </c>
      <c r="B136">
        <v>5175</v>
      </c>
      <c r="C136">
        <v>0</v>
      </c>
      <c r="D136">
        <v>0</v>
      </c>
      <c r="E136">
        <v>109</v>
      </c>
      <c r="F136">
        <v>0</v>
      </c>
      <c r="G136">
        <v>0</v>
      </c>
      <c r="H136">
        <v>0</v>
      </c>
      <c r="I136">
        <v>0</v>
      </c>
      <c r="J136">
        <v>0.1</v>
      </c>
    </row>
    <row r="137" spans="1:10" x14ac:dyDescent="0.3">
      <c r="A137" t="s">
        <v>267</v>
      </c>
      <c r="B137">
        <v>5200</v>
      </c>
      <c r="C137">
        <v>0</v>
      </c>
      <c r="D137">
        <v>0</v>
      </c>
      <c r="E137">
        <v>6</v>
      </c>
      <c r="F137">
        <v>0</v>
      </c>
      <c r="G137">
        <v>0</v>
      </c>
      <c r="H137">
        <v>0</v>
      </c>
      <c r="I137">
        <v>0</v>
      </c>
      <c r="J137">
        <v>0.1</v>
      </c>
    </row>
    <row r="138" spans="1:10" x14ac:dyDescent="0.3">
      <c r="A138" t="s">
        <v>267</v>
      </c>
      <c r="B138">
        <v>5300</v>
      </c>
      <c r="C138">
        <v>0</v>
      </c>
      <c r="D138">
        <v>0</v>
      </c>
      <c r="E138">
        <v>0</v>
      </c>
      <c r="F138">
        <v>0</v>
      </c>
      <c r="G138">
        <v>0</v>
      </c>
      <c r="H138">
        <v>0</v>
      </c>
      <c r="I138">
        <v>0</v>
      </c>
      <c r="J138">
        <v>0.1</v>
      </c>
    </row>
    <row r="139" spans="1:10" x14ac:dyDescent="0.3">
      <c r="A139" t="s">
        <v>267</v>
      </c>
      <c r="B139">
        <v>5400</v>
      </c>
      <c r="C139">
        <v>0</v>
      </c>
      <c r="D139">
        <v>0</v>
      </c>
      <c r="E139">
        <v>0</v>
      </c>
      <c r="F139">
        <v>0</v>
      </c>
      <c r="G139">
        <v>0</v>
      </c>
      <c r="H139">
        <v>0</v>
      </c>
      <c r="I139">
        <v>0</v>
      </c>
      <c r="J139">
        <v>0.2</v>
      </c>
    </row>
    <row r="140" spans="1:10" x14ac:dyDescent="0.3">
      <c r="A140" t="s">
        <v>267</v>
      </c>
      <c r="B140">
        <v>5500</v>
      </c>
      <c r="C140">
        <v>0</v>
      </c>
      <c r="D140">
        <v>0</v>
      </c>
      <c r="E140">
        <v>13</v>
      </c>
      <c r="F140">
        <v>0</v>
      </c>
      <c r="G140">
        <v>0</v>
      </c>
      <c r="H140">
        <v>0</v>
      </c>
      <c r="I140">
        <v>0</v>
      </c>
      <c r="J140">
        <v>0.2</v>
      </c>
    </row>
    <row r="141" spans="1:10" x14ac:dyDescent="0.3">
      <c r="A141" t="s">
        <v>267</v>
      </c>
      <c r="B141">
        <v>5600</v>
      </c>
      <c r="C141">
        <v>0</v>
      </c>
      <c r="D141">
        <v>0</v>
      </c>
      <c r="E141">
        <v>84</v>
      </c>
      <c r="F141">
        <v>0</v>
      </c>
      <c r="G141">
        <v>0</v>
      </c>
      <c r="H141">
        <v>0</v>
      </c>
      <c r="I141">
        <v>0</v>
      </c>
      <c r="J141">
        <v>0.2</v>
      </c>
    </row>
    <row r="142" spans="1:10" x14ac:dyDescent="0.3">
      <c r="A142" t="s">
        <v>267</v>
      </c>
      <c r="B142">
        <v>5700</v>
      </c>
      <c r="C142">
        <v>0</v>
      </c>
      <c r="D142">
        <v>0</v>
      </c>
      <c r="E142">
        <v>0</v>
      </c>
      <c r="F142">
        <v>0</v>
      </c>
      <c r="G142">
        <v>0</v>
      </c>
      <c r="H142">
        <v>0</v>
      </c>
      <c r="I142">
        <v>0</v>
      </c>
      <c r="J142">
        <v>0.3</v>
      </c>
    </row>
    <row r="143" spans="1:10" x14ac:dyDescent="0.3">
      <c r="A143" t="s">
        <v>267</v>
      </c>
      <c r="B143">
        <v>5800</v>
      </c>
      <c r="C143">
        <v>0</v>
      </c>
      <c r="D143">
        <v>0</v>
      </c>
      <c r="E143">
        <v>0</v>
      </c>
      <c r="F143">
        <v>0</v>
      </c>
      <c r="G143">
        <v>0</v>
      </c>
      <c r="H143">
        <v>0</v>
      </c>
      <c r="I143">
        <v>0</v>
      </c>
      <c r="J143">
        <v>0.2</v>
      </c>
    </row>
    <row r="144" spans="1:10" x14ac:dyDescent="0.3">
      <c r="A144" t="s">
        <v>267</v>
      </c>
      <c r="B144">
        <v>5900</v>
      </c>
      <c r="C144">
        <v>0</v>
      </c>
      <c r="D144">
        <v>0</v>
      </c>
      <c r="E144">
        <v>0</v>
      </c>
      <c r="F144">
        <v>0</v>
      </c>
      <c r="G144">
        <v>0</v>
      </c>
      <c r="H144">
        <v>0</v>
      </c>
      <c r="I144">
        <v>0</v>
      </c>
      <c r="J144">
        <v>0.1</v>
      </c>
    </row>
    <row r="145" spans="1:10" x14ac:dyDescent="0.3">
      <c r="A145" t="s">
        <v>267</v>
      </c>
      <c r="B145">
        <v>6000</v>
      </c>
      <c r="C145">
        <v>0</v>
      </c>
      <c r="D145">
        <v>0</v>
      </c>
      <c r="E145">
        <v>0</v>
      </c>
      <c r="F145">
        <v>0</v>
      </c>
      <c r="G145">
        <v>0</v>
      </c>
      <c r="H145">
        <v>0</v>
      </c>
      <c r="I145">
        <v>0</v>
      </c>
      <c r="J145">
        <v>0.1</v>
      </c>
    </row>
    <row r="146" spans="1:10" x14ac:dyDescent="0.3">
      <c r="A146" t="s">
        <v>267</v>
      </c>
      <c r="B146">
        <v>7000</v>
      </c>
      <c r="C146">
        <v>0</v>
      </c>
      <c r="D146">
        <v>0</v>
      </c>
      <c r="E146">
        <v>0</v>
      </c>
      <c r="F146">
        <v>0</v>
      </c>
      <c r="G146">
        <v>0</v>
      </c>
      <c r="H146">
        <v>0</v>
      </c>
      <c r="I146">
        <v>0</v>
      </c>
      <c r="J146">
        <v>0.1</v>
      </c>
    </row>
    <row r="147" spans="1:10" x14ac:dyDescent="0.3">
      <c r="A147" t="s">
        <v>267</v>
      </c>
      <c r="B147">
        <v>8000</v>
      </c>
      <c r="C147">
        <v>0</v>
      </c>
      <c r="D147">
        <v>0</v>
      </c>
      <c r="E147">
        <v>0</v>
      </c>
      <c r="F147">
        <v>0</v>
      </c>
      <c r="G147">
        <v>0</v>
      </c>
      <c r="H147">
        <v>0</v>
      </c>
      <c r="I147">
        <v>0</v>
      </c>
      <c r="J147">
        <v>0.1</v>
      </c>
    </row>
    <row r="148" spans="1:10" x14ac:dyDescent="0.3">
      <c r="A148" t="s">
        <v>267</v>
      </c>
      <c r="B148">
        <v>9000</v>
      </c>
      <c r="C148">
        <v>0</v>
      </c>
      <c r="D148">
        <v>0</v>
      </c>
      <c r="E148">
        <v>0</v>
      </c>
      <c r="F148">
        <v>0</v>
      </c>
      <c r="G148">
        <v>0</v>
      </c>
      <c r="H148">
        <v>0</v>
      </c>
      <c r="I148">
        <v>0</v>
      </c>
      <c r="J148">
        <v>0.1</v>
      </c>
    </row>
    <row r="149" spans="1:10" x14ac:dyDescent="0.3">
      <c r="A149" t="s">
        <v>267</v>
      </c>
      <c r="B149">
        <v>10000</v>
      </c>
      <c r="C149">
        <v>0</v>
      </c>
      <c r="D149">
        <v>0</v>
      </c>
      <c r="E149">
        <v>0</v>
      </c>
      <c r="F149">
        <v>0</v>
      </c>
      <c r="G149">
        <v>0</v>
      </c>
      <c r="H149">
        <v>0</v>
      </c>
      <c r="I149">
        <v>0</v>
      </c>
      <c r="J149">
        <v>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A855B-262E-45D4-8950-A80478F34AA5}">
  <dimension ref="A1:J149"/>
  <sheetViews>
    <sheetView workbookViewId="0">
      <selection activeCell="E91" sqref="E91"/>
    </sheetView>
  </sheetViews>
  <sheetFormatPr baseColWidth="10" defaultColWidth="8.88671875" defaultRowHeight="14.4" x14ac:dyDescent="0.3"/>
  <sheetData>
    <row r="1" spans="1:10" x14ac:dyDescent="0.3">
      <c r="A1" s="138" t="s">
        <v>277</v>
      </c>
      <c r="B1" s="138" t="s">
        <v>276</v>
      </c>
      <c r="C1" s="138" t="s">
        <v>275</v>
      </c>
      <c r="D1" s="138" t="s">
        <v>274</v>
      </c>
      <c r="E1" s="138" t="s">
        <v>273</v>
      </c>
      <c r="F1" s="138" t="s">
        <v>272</v>
      </c>
      <c r="G1" s="138" t="s">
        <v>271</v>
      </c>
      <c r="H1" s="138" t="s">
        <v>270</v>
      </c>
      <c r="I1" s="138" t="s">
        <v>269</v>
      </c>
      <c r="J1" s="138" t="s">
        <v>268</v>
      </c>
    </row>
    <row r="2" spans="1:10" x14ac:dyDescent="0.3">
      <c r="A2" t="s">
        <v>278</v>
      </c>
      <c r="B2">
        <v>1000</v>
      </c>
      <c r="C2">
        <v>0</v>
      </c>
      <c r="D2">
        <v>0</v>
      </c>
      <c r="E2">
        <v>0</v>
      </c>
      <c r="F2">
        <v>0</v>
      </c>
      <c r="G2">
        <v>0</v>
      </c>
      <c r="H2">
        <v>0</v>
      </c>
      <c r="I2">
        <v>0</v>
      </c>
      <c r="J2">
        <v>0.1</v>
      </c>
    </row>
    <row r="3" spans="1:10" x14ac:dyDescent="0.3">
      <c r="A3" t="s">
        <v>278</v>
      </c>
      <c r="B3">
        <v>1100</v>
      </c>
      <c r="C3">
        <v>0</v>
      </c>
      <c r="D3">
        <v>0</v>
      </c>
      <c r="E3">
        <v>0</v>
      </c>
      <c r="F3">
        <v>0</v>
      </c>
      <c r="G3">
        <v>0</v>
      </c>
      <c r="H3">
        <v>0</v>
      </c>
      <c r="I3">
        <v>0</v>
      </c>
      <c r="J3">
        <v>0.1</v>
      </c>
    </row>
    <row r="4" spans="1:10" x14ac:dyDescent="0.3">
      <c r="A4" t="s">
        <v>278</v>
      </c>
      <c r="B4">
        <v>1200</v>
      </c>
      <c r="C4">
        <v>0</v>
      </c>
      <c r="D4">
        <v>0</v>
      </c>
      <c r="E4">
        <v>0</v>
      </c>
      <c r="F4">
        <v>0</v>
      </c>
      <c r="G4">
        <v>0</v>
      </c>
      <c r="H4">
        <v>0</v>
      </c>
      <c r="I4">
        <v>0</v>
      </c>
      <c r="J4">
        <v>0.1</v>
      </c>
    </row>
    <row r="5" spans="1:10" x14ac:dyDescent="0.3">
      <c r="A5" t="s">
        <v>278</v>
      </c>
      <c r="B5">
        <v>1300</v>
      </c>
      <c r="C5">
        <v>0</v>
      </c>
      <c r="D5">
        <v>0</v>
      </c>
      <c r="E5">
        <v>0</v>
      </c>
      <c r="F5">
        <v>0</v>
      </c>
      <c r="G5">
        <v>0</v>
      </c>
      <c r="H5">
        <v>0</v>
      </c>
      <c r="I5">
        <v>0</v>
      </c>
      <c r="J5">
        <v>0.1</v>
      </c>
    </row>
    <row r="6" spans="1:10" x14ac:dyDescent="0.3">
      <c r="A6" t="s">
        <v>278</v>
      </c>
      <c r="B6">
        <v>1400</v>
      </c>
      <c r="C6">
        <v>0</v>
      </c>
      <c r="D6">
        <v>0</v>
      </c>
      <c r="E6">
        <v>0</v>
      </c>
      <c r="F6">
        <v>0</v>
      </c>
      <c r="G6">
        <v>0</v>
      </c>
      <c r="H6">
        <v>0</v>
      </c>
      <c r="I6">
        <v>0</v>
      </c>
      <c r="J6">
        <v>0.1</v>
      </c>
    </row>
    <row r="7" spans="1:10" x14ac:dyDescent="0.3">
      <c r="A7" t="s">
        <v>278</v>
      </c>
      <c r="B7">
        <v>1500</v>
      </c>
      <c r="C7">
        <v>0</v>
      </c>
      <c r="D7">
        <v>0</v>
      </c>
      <c r="E7">
        <v>0</v>
      </c>
      <c r="F7">
        <v>0</v>
      </c>
      <c r="G7">
        <v>0</v>
      </c>
      <c r="H7">
        <v>0</v>
      </c>
      <c r="I7">
        <v>0</v>
      </c>
      <c r="J7">
        <v>0.1</v>
      </c>
    </row>
    <row r="8" spans="1:10" x14ac:dyDescent="0.3">
      <c r="A8" t="s">
        <v>278</v>
      </c>
      <c r="B8">
        <v>1600</v>
      </c>
      <c r="C8">
        <v>0</v>
      </c>
      <c r="D8">
        <v>0</v>
      </c>
      <c r="E8">
        <v>0</v>
      </c>
      <c r="F8">
        <v>0</v>
      </c>
      <c r="G8">
        <v>0</v>
      </c>
      <c r="H8">
        <v>0</v>
      </c>
      <c r="I8">
        <v>0</v>
      </c>
      <c r="J8">
        <v>0.1</v>
      </c>
    </row>
    <row r="9" spans="1:10" x14ac:dyDescent="0.3">
      <c r="A9" t="s">
        <v>278</v>
      </c>
      <c r="B9">
        <v>1700</v>
      </c>
      <c r="C9">
        <v>0</v>
      </c>
      <c r="D9">
        <v>0</v>
      </c>
      <c r="E9">
        <v>50</v>
      </c>
      <c r="F9">
        <v>0</v>
      </c>
      <c r="G9">
        <v>0</v>
      </c>
      <c r="H9">
        <v>0</v>
      </c>
      <c r="I9">
        <v>0</v>
      </c>
      <c r="J9">
        <v>0.1</v>
      </c>
    </row>
    <row r="10" spans="1:10" x14ac:dyDescent="0.3">
      <c r="A10" t="s">
        <v>278</v>
      </c>
      <c r="B10">
        <v>1800</v>
      </c>
      <c r="C10">
        <v>0</v>
      </c>
      <c r="D10">
        <v>0</v>
      </c>
      <c r="E10">
        <v>375</v>
      </c>
      <c r="F10">
        <v>0</v>
      </c>
      <c r="G10">
        <v>0</v>
      </c>
      <c r="H10">
        <v>0</v>
      </c>
      <c r="I10">
        <v>0</v>
      </c>
      <c r="J10">
        <v>0.1</v>
      </c>
    </row>
    <row r="11" spans="1:10" x14ac:dyDescent="0.3">
      <c r="A11" t="s">
        <v>278</v>
      </c>
      <c r="B11">
        <v>1850</v>
      </c>
      <c r="C11">
        <v>0</v>
      </c>
      <c r="D11">
        <v>0</v>
      </c>
      <c r="E11">
        <v>115</v>
      </c>
      <c r="F11">
        <v>0</v>
      </c>
      <c r="G11">
        <v>0</v>
      </c>
      <c r="H11">
        <v>0</v>
      </c>
      <c r="I11">
        <v>0</v>
      </c>
      <c r="J11">
        <v>0.1</v>
      </c>
    </row>
    <row r="12" spans="1:10" x14ac:dyDescent="0.3">
      <c r="A12" t="s">
        <v>278</v>
      </c>
      <c r="B12">
        <v>1900</v>
      </c>
      <c r="C12">
        <v>0</v>
      </c>
      <c r="D12">
        <v>0</v>
      </c>
      <c r="E12">
        <v>204</v>
      </c>
      <c r="F12">
        <v>0</v>
      </c>
      <c r="G12">
        <v>0</v>
      </c>
      <c r="H12">
        <v>0</v>
      </c>
      <c r="I12">
        <v>0</v>
      </c>
      <c r="J12">
        <v>0.1</v>
      </c>
    </row>
    <row r="13" spans="1:10" x14ac:dyDescent="0.3">
      <c r="A13" t="s">
        <v>278</v>
      </c>
      <c r="B13">
        <v>1950</v>
      </c>
      <c r="C13">
        <v>0</v>
      </c>
      <c r="D13">
        <v>0</v>
      </c>
      <c r="E13">
        <v>400</v>
      </c>
      <c r="F13">
        <v>0</v>
      </c>
      <c r="G13">
        <v>0</v>
      </c>
      <c r="H13">
        <v>0</v>
      </c>
      <c r="I13">
        <v>0</v>
      </c>
      <c r="J13">
        <v>0.1</v>
      </c>
    </row>
    <row r="14" spans="1:10" x14ac:dyDescent="0.3">
      <c r="A14" t="s">
        <v>278</v>
      </c>
      <c r="B14">
        <v>2000</v>
      </c>
      <c r="C14">
        <v>0</v>
      </c>
      <c r="D14">
        <v>0</v>
      </c>
      <c r="E14">
        <v>107</v>
      </c>
      <c r="F14">
        <v>0</v>
      </c>
      <c r="G14">
        <v>0</v>
      </c>
      <c r="H14">
        <v>0</v>
      </c>
      <c r="I14">
        <v>0</v>
      </c>
      <c r="J14">
        <v>0.1</v>
      </c>
    </row>
    <row r="15" spans="1:10" x14ac:dyDescent="0.3">
      <c r="A15" t="s">
        <v>278</v>
      </c>
      <c r="B15">
        <v>2050</v>
      </c>
      <c r="C15">
        <v>0</v>
      </c>
      <c r="D15">
        <v>0</v>
      </c>
      <c r="E15">
        <v>224</v>
      </c>
      <c r="F15">
        <v>0</v>
      </c>
      <c r="G15">
        <v>0</v>
      </c>
      <c r="H15">
        <v>0</v>
      </c>
      <c r="I15">
        <v>0</v>
      </c>
      <c r="J15">
        <v>0.1</v>
      </c>
    </row>
    <row r="16" spans="1:10" x14ac:dyDescent="0.3">
      <c r="A16" t="s">
        <v>278</v>
      </c>
      <c r="B16">
        <v>2100</v>
      </c>
      <c r="C16">
        <v>0</v>
      </c>
      <c r="D16">
        <v>0</v>
      </c>
      <c r="E16">
        <v>8</v>
      </c>
      <c r="F16">
        <v>0</v>
      </c>
      <c r="G16">
        <v>0</v>
      </c>
      <c r="H16">
        <v>0</v>
      </c>
      <c r="I16">
        <v>0</v>
      </c>
      <c r="J16">
        <v>0.1</v>
      </c>
    </row>
    <row r="17" spans="1:10" x14ac:dyDescent="0.3">
      <c r="A17" t="s">
        <v>278</v>
      </c>
      <c r="B17">
        <v>2150</v>
      </c>
      <c r="C17">
        <v>0</v>
      </c>
      <c r="D17">
        <v>0</v>
      </c>
      <c r="E17">
        <v>56</v>
      </c>
      <c r="F17">
        <v>0</v>
      </c>
      <c r="G17">
        <v>0</v>
      </c>
      <c r="H17">
        <v>0</v>
      </c>
      <c r="I17">
        <v>0</v>
      </c>
      <c r="J17">
        <v>0.1</v>
      </c>
    </row>
    <row r="18" spans="1:10" x14ac:dyDescent="0.3">
      <c r="A18" t="s">
        <v>278</v>
      </c>
      <c r="B18">
        <v>2200</v>
      </c>
      <c r="C18">
        <v>0</v>
      </c>
      <c r="D18">
        <v>0</v>
      </c>
      <c r="E18">
        <v>11</v>
      </c>
      <c r="F18">
        <v>0</v>
      </c>
      <c r="G18">
        <v>0</v>
      </c>
      <c r="H18">
        <v>0</v>
      </c>
      <c r="I18">
        <v>0</v>
      </c>
      <c r="J18">
        <v>0.1</v>
      </c>
    </row>
    <row r="19" spans="1:10" x14ac:dyDescent="0.3">
      <c r="A19" t="s">
        <v>278</v>
      </c>
      <c r="B19">
        <v>2250</v>
      </c>
      <c r="C19">
        <v>0</v>
      </c>
      <c r="D19">
        <v>0</v>
      </c>
      <c r="E19">
        <v>102</v>
      </c>
      <c r="F19">
        <v>0</v>
      </c>
      <c r="G19">
        <v>0</v>
      </c>
      <c r="H19">
        <v>0</v>
      </c>
      <c r="I19">
        <v>0</v>
      </c>
      <c r="J19">
        <v>0.1</v>
      </c>
    </row>
    <row r="20" spans="1:10" x14ac:dyDescent="0.3">
      <c r="A20" t="s">
        <v>278</v>
      </c>
      <c r="B20">
        <v>2275</v>
      </c>
      <c r="C20">
        <v>0</v>
      </c>
      <c r="D20">
        <v>0</v>
      </c>
      <c r="E20">
        <v>0</v>
      </c>
      <c r="F20">
        <v>0</v>
      </c>
      <c r="G20">
        <v>0</v>
      </c>
      <c r="H20">
        <v>0</v>
      </c>
      <c r="I20">
        <v>0</v>
      </c>
      <c r="J20">
        <v>0.1</v>
      </c>
    </row>
    <row r="21" spans="1:10" x14ac:dyDescent="0.3">
      <c r="A21" t="s">
        <v>278</v>
      </c>
      <c r="B21">
        <v>2300</v>
      </c>
      <c r="C21">
        <v>0</v>
      </c>
      <c r="D21">
        <v>0</v>
      </c>
      <c r="E21">
        <v>23</v>
      </c>
      <c r="F21">
        <v>0</v>
      </c>
      <c r="G21">
        <v>0</v>
      </c>
      <c r="H21">
        <v>0</v>
      </c>
      <c r="I21">
        <v>0</v>
      </c>
      <c r="J21">
        <v>0.2</v>
      </c>
    </row>
    <row r="22" spans="1:10" x14ac:dyDescent="0.3">
      <c r="A22" t="s">
        <v>278</v>
      </c>
      <c r="B22">
        <v>2325</v>
      </c>
      <c r="C22">
        <v>0</v>
      </c>
      <c r="D22">
        <v>0</v>
      </c>
      <c r="E22">
        <v>4</v>
      </c>
      <c r="F22">
        <v>0</v>
      </c>
      <c r="G22">
        <v>0</v>
      </c>
      <c r="H22">
        <v>0</v>
      </c>
      <c r="I22">
        <v>0</v>
      </c>
      <c r="J22">
        <v>0.2</v>
      </c>
    </row>
    <row r="23" spans="1:10" x14ac:dyDescent="0.3">
      <c r="A23" t="s">
        <v>278</v>
      </c>
      <c r="B23">
        <v>2350</v>
      </c>
      <c r="C23">
        <v>0</v>
      </c>
      <c r="D23">
        <v>0</v>
      </c>
      <c r="E23">
        <v>1850</v>
      </c>
      <c r="F23">
        <v>0</v>
      </c>
      <c r="G23">
        <v>0</v>
      </c>
      <c r="H23">
        <v>0</v>
      </c>
      <c r="I23">
        <v>0</v>
      </c>
      <c r="J23">
        <v>0.2</v>
      </c>
    </row>
    <row r="24" spans="1:10" x14ac:dyDescent="0.3">
      <c r="A24" t="s">
        <v>278</v>
      </c>
      <c r="B24">
        <v>2375</v>
      </c>
      <c r="C24">
        <v>0</v>
      </c>
      <c r="D24">
        <v>0</v>
      </c>
      <c r="E24">
        <v>286</v>
      </c>
      <c r="F24">
        <v>0</v>
      </c>
      <c r="G24">
        <v>0</v>
      </c>
      <c r="H24">
        <v>0</v>
      </c>
      <c r="I24">
        <v>0</v>
      </c>
      <c r="J24">
        <v>0.2</v>
      </c>
    </row>
    <row r="25" spans="1:10" x14ac:dyDescent="0.3">
      <c r="A25" t="s">
        <v>278</v>
      </c>
      <c r="B25">
        <v>2400</v>
      </c>
      <c r="C25">
        <v>0</v>
      </c>
      <c r="D25">
        <v>3</v>
      </c>
      <c r="E25">
        <v>7040</v>
      </c>
      <c r="F25">
        <v>0.3</v>
      </c>
      <c r="G25">
        <v>0.3</v>
      </c>
      <c r="H25">
        <v>0.3</v>
      </c>
      <c r="I25">
        <v>0.3</v>
      </c>
      <c r="J25">
        <v>0.2</v>
      </c>
    </row>
    <row r="26" spans="1:10" x14ac:dyDescent="0.3">
      <c r="A26" t="s">
        <v>278</v>
      </c>
      <c r="B26">
        <v>2425</v>
      </c>
      <c r="C26">
        <v>0</v>
      </c>
      <c r="D26">
        <v>0</v>
      </c>
      <c r="E26">
        <v>100</v>
      </c>
      <c r="F26">
        <v>0</v>
      </c>
      <c r="G26">
        <v>0</v>
      </c>
      <c r="H26">
        <v>0</v>
      </c>
      <c r="I26">
        <v>0</v>
      </c>
      <c r="J26">
        <v>0.3</v>
      </c>
    </row>
    <row r="27" spans="1:10" x14ac:dyDescent="0.3">
      <c r="A27" t="s">
        <v>278</v>
      </c>
      <c r="B27">
        <v>2450</v>
      </c>
      <c r="C27">
        <v>0</v>
      </c>
      <c r="D27">
        <v>0</v>
      </c>
      <c r="E27">
        <v>625</v>
      </c>
      <c r="F27">
        <v>0</v>
      </c>
      <c r="G27">
        <v>0</v>
      </c>
      <c r="H27">
        <v>0</v>
      </c>
      <c r="I27">
        <v>0</v>
      </c>
      <c r="J27">
        <v>0.3</v>
      </c>
    </row>
    <row r="28" spans="1:10" x14ac:dyDescent="0.3">
      <c r="A28" t="s">
        <v>278</v>
      </c>
      <c r="B28">
        <v>2475</v>
      </c>
      <c r="C28">
        <v>0</v>
      </c>
      <c r="D28">
        <v>0</v>
      </c>
      <c r="E28">
        <v>100</v>
      </c>
      <c r="F28">
        <v>0</v>
      </c>
      <c r="G28">
        <v>0</v>
      </c>
      <c r="H28">
        <v>0</v>
      </c>
      <c r="I28">
        <v>0</v>
      </c>
      <c r="J28">
        <v>0.3</v>
      </c>
    </row>
    <row r="29" spans="1:10" x14ac:dyDescent="0.3">
      <c r="A29" t="s">
        <v>278</v>
      </c>
      <c r="B29">
        <v>2500</v>
      </c>
      <c r="C29">
        <v>0</v>
      </c>
      <c r="D29">
        <v>0</v>
      </c>
      <c r="E29">
        <v>1848</v>
      </c>
      <c r="F29">
        <v>0</v>
      </c>
      <c r="G29">
        <v>0</v>
      </c>
      <c r="H29">
        <v>0</v>
      </c>
      <c r="I29">
        <v>0</v>
      </c>
      <c r="J29">
        <v>0.3</v>
      </c>
    </row>
    <row r="30" spans="1:10" x14ac:dyDescent="0.3">
      <c r="A30" t="s">
        <v>278</v>
      </c>
      <c r="B30">
        <v>2525</v>
      </c>
      <c r="C30">
        <v>0</v>
      </c>
      <c r="D30">
        <v>200</v>
      </c>
      <c r="E30">
        <v>206</v>
      </c>
      <c r="F30">
        <v>0.4</v>
      </c>
      <c r="G30">
        <v>0.4</v>
      </c>
      <c r="H30">
        <v>0.4</v>
      </c>
      <c r="I30">
        <v>0.4</v>
      </c>
      <c r="J30">
        <v>0.4</v>
      </c>
    </row>
    <row r="31" spans="1:10" x14ac:dyDescent="0.3">
      <c r="A31" t="s">
        <v>278</v>
      </c>
      <c r="B31">
        <v>2550</v>
      </c>
      <c r="C31">
        <v>0</v>
      </c>
      <c r="D31">
        <v>0</v>
      </c>
      <c r="E31">
        <v>251</v>
      </c>
      <c r="F31">
        <v>0</v>
      </c>
      <c r="G31">
        <v>0</v>
      </c>
      <c r="H31">
        <v>0</v>
      </c>
      <c r="I31">
        <v>0</v>
      </c>
      <c r="J31">
        <v>0.4</v>
      </c>
    </row>
    <row r="32" spans="1:10" x14ac:dyDescent="0.3">
      <c r="A32" t="s">
        <v>278</v>
      </c>
      <c r="B32">
        <v>2575</v>
      </c>
      <c r="C32">
        <v>0</v>
      </c>
      <c r="D32">
        <v>0</v>
      </c>
      <c r="E32">
        <v>320</v>
      </c>
      <c r="F32">
        <v>0</v>
      </c>
      <c r="G32">
        <v>0</v>
      </c>
      <c r="H32">
        <v>0</v>
      </c>
      <c r="I32">
        <v>0</v>
      </c>
      <c r="J32">
        <v>0.4</v>
      </c>
    </row>
    <row r="33" spans="1:10" x14ac:dyDescent="0.3">
      <c r="A33" t="s">
        <v>278</v>
      </c>
      <c r="B33">
        <v>2600</v>
      </c>
      <c r="C33">
        <v>0</v>
      </c>
      <c r="D33">
        <v>0</v>
      </c>
      <c r="E33">
        <v>2491</v>
      </c>
      <c r="F33">
        <v>0</v>
      </c>
      <c r="G33">
        <v>0</v>
      </c>
      <c r="H33">
        <v>0</v>
      </c>
      <c r="I33">
        <v>0</v>
      </c>
      <c r="J33">
        <v>0.5</v>
      </c>
    </row>
    <row r="34" spans="1:10" x14ac:dyDescent="0.3">
      <c r="A34" t="s">
        <v>278</v>
      </c>
      <c r="B34">
        <v>2625</v>
      </c>
      <c r="C34">
        <v>0</v>
      </c>
      <c r="D34">
        <v>160</v>
      </c>
      <c r="E34">
        <v>713</v>
      </c>
      <c r="F34">
        <v>0.5</v>
      </c>
      <c r="G34">
        <v>0.5</v>
      </c>
      <c r="H34">
        <v>0.5</v>
      </c>
      <c r="I34">
        <v>0.5</v>
      </c>
      <c r="J34">
        <v>0.5</v>
      </c>
    </row>
    <row r="35" spans="1:10" x14ac:dyDescent="0.3">
      <c r="A35" t="s">
        <v>278</v>
      </c>
      <c r="B35">
        <v>2650</v>
      </c>
      <c r="C35">
        <v>0</v>
      </c>
      <c r="D35">
        <v>243</v>
      </c>
      <c r="E35">
        <v>1361</v>
      </c>
      <c r="F35">
        <v>0.6</v>
      </c>
      <c r="G35">
        <v>0.7</v>
      </c>
      <c r="H35">
        <v>0.6</v>
      </c>
      <c r="I35">
        <v>0.7</v>
      </c>
      <c r="J35">
        <v>0.6</v>
      </c>
    </row>
    <row r="36" spans="1:10" x14ac:dyDescent="0.3">
      <c r="A36" t="s">
        <v>278</v>
      </c>
      <c r="B36">
        <v>2675</v>
      </c>
      <c r="C36">
        <v>0</v>
      </c>
      <c r="D36">
        <v>200</v>
      </c>
      <c r="E36">
        <v>1385</v>
      </c>
      <c r="F36">
        <v>0.6</v>
      </c>
      <c r="G36">
        <v>0.6</v>
      </c>
      <c r="H36">
        <v>0.6</v>
      </c>
      <c r="I36">
        <v>0.6</v>
      </c>
      <c r="J36">
        <v>0.6</v>
      </c>
    </row>
    <row r="37" spans="1:10" x14ac:dyDescent="0.3">
      <c r="A37" t="s">
        <v>278</v>
      </c>
      <c r="B37">
        <v>2700</v>
      </c>
      <c r="C37">
        <v>0</v>
      </c>
      <c r="D37">
        <v>3</v>
      </c>
      <c r="E37">
        <v>3103</v>
      </c>
      <c r="F37">
        <v>0.7</v>
      </c>
      <c r="G37">
        <v>0.7</v>
      </c>
      <c r="H37">
        <v>0.7</v>
      </c>
      <c r="I37">
        <v>0.7</v>
      </c>
      <c r="J37">
        <v>0.7</v>
      </c>
    </row>
    <row r="38" spans="1:10" x14ac:dyDescent="0.3">
      <c r="A38" t="s">
        <v>278</v>
      </c>
      <c r="B38">
        <v>2725</v>
      </c>
      <c r="C38">
        <v>0</v>
      </c>
      <c r="D38">
        <v>0</v>
      </c>
      <c r="E38">
        <v>618</v>
      </c>
      <c r="F38">
        <v>0</v>
      </c>
      <c r="G38">
        <v>0</v>
      </c>
      <c r="H38">
        <v>0</v>
      </c>
      <c r="I38">
        <v>0</v>
      </c>
      <c r="J38">
        <v>0.8</v>
      </c>
    </row>
    <row r="39" spans="1:10" x14ac:dyDescent="0.3">
      <c r="A39" t="s">
        <v>278</v>
      </c>
      <c r="B39">
        <v>2750</v>
      </c>
      <c r="C39">
        <v>0</v>
      </c>
      <c r="D39">
        <v>40</v>
      </c>
      <c r="E39">
        <v>1980</v>
      </c>
      <c r="F39">
        <v>0.8</v>
      </c>
      <c r="G39">
        <v>0.8</v>
      </c>
      <c r="H39">
        <v>0.8</v>
      </c>
      <c r="I39">
        <v>0.8</v>
      </c>
      <c r="J39">
        <v>0.8</v>
      </c>
    </row>
    <row r="40" spans="1:10" x14ac:dyDescent="0.3">
      <c r="A40" t="s">
        <v>278</v>
      </c>
      <c r="B40">
        <v>2775</v>
      </c>
      <c r="C40">
        <v>0</v>
      </c>
      <c r="D40">
        <v>150</v>
      </c>
      <c r="E40">
        <v>1114</v>
      </c>
      <c r="F40">
        <v>1</v>
      </c>
      <c r="G40">
        <v>1</v>
      </c>
      <c r="H40">
        <v>1</v>
      </c>
      <c r="I40">
        <v>1</v>
      </c>
      <c r="J40">
        <v>0.9</v>
      </c>
    </row>
    <row r="41" spans="1:10" x14ac:dyDescent="0.3">
      <c r="A41" t="s">
        <v>278</v>
      </c>
      <c r="B41">
        <v>2800</v>
      </c>
      <c r="C41">
        <v>0</v>
      </c>
      <c r="D41">
        <v>99</v>
      </c>
      <c r="E41">
        <v>6266</v>
      </c>
      <c r="F41">
        <v>0.9</v>
      </c>
      <c r="G41">
        <v>1.1000000000000001</v>
      </c>
      <c r="H41">
        <v>0.8</v>
      </c>
      <c r="I41">
        <v>0.8</v>
      </c>
      <c r="J41">
        <v>1</v>
      </c>
    </row>
    <row r="42" spans="1:10" x14ac:dyDescent="0.3">
      <c r="A42" t="s">
        <v>278</v>
      </c>
      <c r="B42">
        <v>2825</v>
      </c>
      <c r="C42">
        <v>0</v>
      </c>
      <c r="D42">
        <v>49</v>
      </c>
      <c r="E42">
        <v>1436</v>
      </c>
      <c r="F42">
        <v>1.2</v>
      </c>
      <c r="G42">
        <v>1.2</v>
      </c>
      <c r="H42">
        <v>1.2</v>
      </c>
      <c r="I42">
        <v>1.2</v>
      </c>
      <c r="J42">
        <v>1.1000000000000001</v>
      </c>
    </row>
    <row r="43" spans="1:10" x14ac:dyDescent="0.3">
      <c r="A43" t="s">
        <v>278</v>
      </c>
      <c r="B43">
        <v>2850</v>
      </c>
      <c r="C43">
        <v>0</v>
      </c>
      <c r="D43">
        <v>15</v>
      </c>
      <c r="E43">
        <v>288</v>
      </c>
      <c r="F43">
        <v>1.1000000000000001</v>
      </c>
      <c r="G43">
        <v>1.2</v>
      </c>
      <c r="H43">
        <v>1.1000000000000001</v>
      </c>
      <c r="I43">
        <v>1.1000000000000001</v>
      </c>
      <c r="J43">
        <v>1.1000000000000001</v>
      </c>
    </row>
    <row r="44" spans="1:10" x14ac:dyDescent="0.3">
      <c r="A44" t="s">
        <v>278</v>
      </c>
      <c r="B44">
        <v>2875</v>
      </c>
      <c r="C44">
        <v>0</v>
      </c>
      <c r="D44">
        <v>55</v>
      </c>
      <c r="E44">
        <v>161</v>
      </c>
      <c r="F44">
        <v>1.2</v>
      </c>
      <c r="G44">
        <v>1.3</v>
      </c>
      <c r="H44">
        <v>1.2</v>
      </c>
      <c r="I44">
        <v>1.2</v>
      </c>
      <c r="J44">
        <v>1.2</v>
      </c>
    </row>
    <row r="45" spans="1:10" x14ac:dyDescent="0.3">
      <c r="A45" t="s">
        <v>278</v>
      </c>
      <c r="B45">
        <v>2900</v>
      </c>
      <c r="C45">
        <v>0</v>
      </c>
      <c r="D45">
        <v>96</v>
      </c>
      <c r="E45">
        <v>4027</v>
      </c>
      <c r="F45">
        <v>1.5</v>
      </c>
      <c r="G45">
        <v>1.5</v>
      </c>
      <c r="H45">
        <v>1.3</v>
      </c>
      <c r="I45">
        <v>1.3</v>
      </c>
      <c r="J45">
        <v>1.3</v>
      </c>
    </row>
    <row r="46" spans="1:10" x14ac:dyDescent="0.3">
      <c r="A46" t="s">
        <v>278</v>
      </c>
      <c r="B46">
        <v>2925</v>
      </c>
      <c r="C46">
        <v>0</v>
      </c>
      <c r="D46">
        <v>76</v>
      </c>
      <c r="E46">
        <v>282</v>
      </c>
      <c r="F46">
        <v>1.6</v>
      </c>
      <c r="G46">
        <v>1.6</v>
      </c>
      <c r="H46">
        <v>1.2</v>
      </c>
      <c r="I46">
        <v>1.4</v>
      </c>
      <c r="J46">
        <v>1.4</v>
      </c>
    </row>
    <row r="47" spans="1:10" x14ac:dyDescent="0.3">
      <c r="A47" t="s">
        <v>278</v>
      </c>
      <c r="B47">
        <v>2950</v>
      </c>
      <c r="C47">
        <v>0</v>
      </c>
      <c r="D47">
        <v>50</v>
      </c>
      <c r="E47">
        <v>1159</v>
      </c>
      <c r="F47">
        <v>1.4</v>
      </c>
      <c r="G47">
        <v>1.4</v>
      </c>
      <c r="H47">
        <v>1.4</v>
      </c>
      <c r="I47">
        <v>1.4</v>
      </c>
      <c r="J47">
        <v>1.5</v>
      </c>
    </row>
    <row r="48" spans="1:10" x14ac:dyDescent="0.3">
      <c r="A48" t="s">
        <v>278</v>
      </c>
      <c r="B48">
        <v>2975</v>
      </c>
      <c r="C48">
        <v>0</v>
      </c>
      <c r="D48">
        <v>21</v>
      </c>
      <c r="E48">
        <v>293</v>
      </c>
      <c r="F48">
        <v>1.6</v>
      </c>
      <c r="G48">
        <v>1.6</v>
      </c>
      <c r="H48">
        <v>1.6</v>
      </c>
      <c r="I48">
        <v>1.6</v>
      </c>
      <c r="J48">
        <v>1.7</v>
      </c>
    </row>
    <row r="49" spans="1:10" x14ac:dyDescent="0.3">
      <c r="A49" t="s">
        <v>278</v>
      </c>
      <c r="B49">
        <v>3000</v>
      </c>
      <c r="C49">
        <v>0</v>
      </c>
      <c r="D49">
        <v>1008</v>
      </c>
      <c r="E49">
        <v>12353</v>
      </c>
      <c r="F49">
        <v>1.8</v>
      </c>
      <c r="G49">
        <v>1.8</v>
      </c>
      <c r="H49">
        <v>1.6</v>
      </c>
      <c r="I49">
        <v>1.6</v>
      </c>
      <c r="J49">
        <v>1.8</v>
      </c>
    </row>
    <row r="50" spans="1:10" x14ac:dyDescent="0.3">
      <c r="A50" t="s">
        <v>278</v>
      </c>
      <c r="B50">
        <v>3025</v>
      </c>
      <c r="C50">
        <v>0</v>
      </c>
      <c r="D50">
        <v>0</v>
      </c>
      <c r="E50">
        <v>1147</v>
      </c>
      <c r="F50">
        <v>0</v>
      </c>
      <c r="G50">
        <v>0</v>
      </c>
      <c r="H50">
        <v>0</v>
      </c>
      <c r="I50">
        <v>0</v>
      </c>
      <c r="J50">
        <v>1.9</v>
      </c>
    </row>
    <row r="51" spans="1:10" x14ac:dyDescent="0.3">
      <c r="A51" t="s">
        <v>278</v>
      </c>
      <c r="B51">
        <v>3050</v>
      </c>
      <c r="C51">
        <v>0</v>
      </c>
      <c r="D51">
        <v>28</v>
      </c>
      <c r="E51">
        <v>702</v>
      </c>
      <c r="F51">
        <v>2.1</v>
      </c>
      <c r="G51">
        <v>2.1</v>
      </c>
      <c r="H51">
        <v>2.1</v>
      </c>
      <c r="I51">
        <v>2.1</v>
      </c>
      <c r="J51">
        <v>2</v>
      </c>
    </row>
    <row r="52" spans="1:10" x14ac:dyDescent="0.3">
      <c r="A52" t="s">
        <v>278</v>
      </c>
      <c r="B52">
        <v>3075</v>
      </c>
      <c r="C52">
        <v>0</v>
      </c>
      <c r="D52">
        <v>503</v>
      </c>
      <c r="E52">
        <v>1669</v>
      </c>
      <c r="F52">
        <v>2.4</v>
      </c>
      <c r="G52">
        <v>2.4</v>
      </c>
      <c r="H52">
        <v>2.4</v>
      </c>
      <c r="I52">
        <v>2.4</v>
      </c>
      <c r="J52">
        <v>2.2000000000000002</v>
      </c>
    </row>
    <row r="53" spans="1:10" x14ac:dyDescent="0.3">
      <c r="A53" t="s">
        <v>278</v>
      </c>
      <c r="B53">
        <v>3100</v>
      </c>
      <c r="C53">
        <v>0</v>
      </c>
      <c r="D53">
        <v>31</v>
      </c>
      <c r="E53">
        <v>5351</v>
      </c>
      <c r="F53">
        <v>2.2999999999999998</v>
      </c>
      <c r="G53">
        <v>2.5</v>
      </c>
      <c r="H53">
        <v>2.2999999999999998</v>
      </c>
      <c r="I53">
        <v>2.5</v>
      </c>
      <c r="J53">
        <v>2.2999999999999998</v>
      </c>
    </row>
    <row r="54" spans="1:10" x14ac:dyDescent="0.3">
      <c r="A54" t="s">
        <v>278</v>
      </c>
      <c r="B54">
        <v>3125</v>
      </c>
      <c r="C54">
        <v>0</v>
      </c>
      <c r="D54">
        <v>0</v>
      </c>
      <c r="E54">
        <v>521</v>
      </c>
      <c r="F54">
        <v>0</v>
      </c>
      <c r="G54">
        <v>0</v>
      </c>
      <c r="H54">
        <v>0</v>
      </c>
      <c r="I54">
        <v>0</v>
      </c>
      <c r="J54">
        <v>2.5</v>
      </c>
    </row>
    <row r="55" spans="1:10" x14ac:dyDescent="0.3">
      <c r="A55" t="s">
        <v>278</v>
      </c>
      <c r="B55">
        <v>3150</v>
      </c>
      <c r="C55">
        <v>0</v>
      </c>
      <c r="D55">
        <v>15</v>
      </c>
      <c r="E55">
        <v>4821</v>
      </c>
      <c r="F55">
        <v>2.7</v>
      </c>
      <c r="G55">
        <v>2.7</v>
      </c>
      <c r="H55">
        <v>2.6</v>
      </c>
      <c r="I55">
        <v>2.6</v>
      </c>
      <c r="J55">
        <v>2.6</v>
      </c>
    </row>
    <row r="56" spans="1:10" x14ac:dyDescent="0.3">
      <c r="A56" t="s">
        <v>278</v>
      </c>
      <c r="B56">
        <v>3175</v>
      </c>
      <c r="C56">
        <v>0</v>
      </c>
      <c r="D56">
        <v>5</v>
      </c>
      <c r="E56">
        <v>1222</v>
      </c>
      <c r="F56">
        <v>2.8</v>
      </c>
      <c r="G56">
        <v>2.8</v>
      </c>
      <c r="H56">
        <v>2.8</v>
      </c>
      <c r="I56">
        <v>2.8</v>
      </c>
      <c r="J56">
        <v>2.8</v>
      </c>
    </row>
    <row r="57" spans="1:10" x14ac:dyDescent="0.3">
      <c r="A57" t="s">
        <v>278</v>
      </c>
      <c r="B57">
        <v>3200</v>
      </c>
      <c r="C57">
        <v>0</v>
      </c>
      <c r="D57">
        <v>2004</v>
      </c>
      <c r="E57">
        <v>9949</v>
      </c>
      <c r="F57">
        <v>3.1</v>
      </c>
      <c r="G57">
        <v>3.1</v>
      </c>
      <c r="H57">
        <v>3</v>
      </c>
      <c r="I57">
        <v>3.1</v>
      </c>
      <c r="J57">
        <v>3</v>
      </c>
    </row>
    <row r="58" spans="1:10" x14ac:dyDescent="0.3">
      <c r="A58" t="s">
        <v>278</v>
      </c>
      <c r="B58">
        <v>3225</v>
      </c>
      <c r="C58">
        <v>0</v>
      </c>
      <c r="D58">
        <v>95</v>
      </c>
      <c r="E58">
        <v>1235</v>
      </c>
      <c r="F58">
        <v>0</v>
      </c>
      <c r="G58">
        <v>0</v>
      </c>
      <c r="H58">
        <v>0</v>
      </c>
      <c r="I58">
        <v>0</v>
      </c>
      <c r="J58">
        <v>3.2</v>
      </c>
    </row>
    <row r="59" spans="1:10" x14ac:dyDescent="0.3">
      <c r="A59" t="s">
        <v>278</v>
      </c>
      <c r="B59">
        <v>3250</v>
      </c>
      <c r="C59">
        <v>0</v>
      </c>
      <c r="D59">
        <v>112</v>
      </c>
      <c r="E59">
        <v>2611</v>
      </c>
      <c r="F59">
        <v>3.5</v>
      </c>
      <c r="G59">
        <v>3.5</v>
      </c>
      <c r="H59">
        <v>3.5</v>
      </c>
      <c r="I59">
        <v>3.5</v>
      </c>
      <c r="J59">
        <v>3.4</v>
      </c>
    </row>
    <row r="60" spans="1:10" x14ac:dyDescent="0.3">
      <c r="A60" t="s">
        <v>278</v>
      </c>
      <c r="B60">
        <v>3275</v>
      </c>
      <c r="C60">
        <v>0</v>
      </c>
      <c r="D60">
        <v>101</v>
      </c>
      <c r="E60">
        <v>1125</v>
      </c>
      <c r="F60">
        <v>3.7</v>
      </c>
      <c r="G60">
        <v>3.7</v>
      </c>
      <c r="H60">
        <v>3.7</v>
      </c>
      <c r="I60">
        <v>3.7</v>
      </c>
      <c r="J60">
        <v>3.6</v>
      </c>
    </row>
    <row r="61" spans="1:10" x14ac:dyDescent="0.3">
      <c r="A61" t="s">
        <v>278</v>
      </c>
      <c r="B61">
        <v>3300</v>
      </c>
      <c r="C61">
        <v>0</v>
      </c>
      <c r="D61">
        <v>19</v>
      </c>
      <c r="E61">
        <v>23066</v>
      </c>
      <c r="F61">
        <v>4.4000000000000004</v>
      </c>
      <c r="G61">
        <v>4.4000000000000004</v>
      </c>
      <c r="H61">
        <v>3.7</v>
      </c>
      <c r="I61">
        <v>3.7</v>
      </c>
      <c r="J61">
        <v>3.9</v>
      </c>
    </row>
    <row r="62" spans="1:10" x14ac:dyDescent="0.3">
      <c r="A62" t="s">
        <v>278</v>
      </c>
      <c r="B62">
        <v>3325</v>
      </c>
      <c r="C62">
        <v>0</v>
      </c>
      <c r="D62">
        <v>172</v>
      </c>
      <c r="E62">
        <v>1042</v>
      </c>
      <c r="F62">
        <v>4.2</v>
      </c>
      <c r="G62">
        <v>4.5</v>
      </c>
      <c r="H62">
        <v>4.2</v>
      </c>
      <c r="I62">
        <v>4.4000000000000004</v>
      </c>
      <c r="J62">
        <v>4.2</v>
      </c>
    </row>
    <row r="63" spans="1:10" x14ac:dyDescent="0.3">
      <c r="A63" t="s">
        <v>278</v>
      </c>
      <c r="B63">
        <v>3350</v>
      </c>
      <c r="C63">
        <v>0</v>
      </c>
      <c r="D63">
        <v>53</v>
      </c>
      <c r="E63">
        <v>3853</v>
      </c>
      <c r="F63">
        <v>4.5999999999999996</v>
      </c>
      <c r="G63">
        <v>5</v>
      </c>
      <c r="H63">
        <v>4.5</v>
      </c>
      <c r="I63">
        <v>4.5999999999999996</v>
      </c>
      <c r="J63">
        <v>4.5</v>
      </c>
    </row>
    <row r="64" spans="1:10" x14ac:dyDescent="0.3">
      <c r="A64" t="s">
        <v>278</v>
      </c>
      <c r="B64">
        <v>3375</v>
      </c>
      <c r="C64">
        <v>0</v>
      </c>
      <c r="D64">
        <v>457</v>
      </c>
      <c r="E64">
        <v>3420</v>
      </c>
      <c r="F64">
        <v>4.5999999999999996</v>
      </c>
      <c r="G64">
        <v>4.8</v>
      </c>
      <c r="H64">
        <v>4.5999999999999996</v>
      </c>
      <c r="I64">
        <v>4.8</v>
      </c>
      <c r="J64">
        <v>4.8</v>
      </c>
    </row>
    <row r="65" spans="1:10" x14ac:dyDescent="0.3">
      <c r="A65" t="s">
        <v>278</v>
      </c>
      <c r="B65">
        <v>3400</v>
      </c>
      <c r="C65">
        <v>0</v>
      </c>
      <c r="D65">
        <v>7559</v>
      </c>
      <c r="E65">
        <v>56812</v>
      </c>
      <c r="F65">
        <v>5.4</v>
      </c>
      <c r="G65">
        <v>5.9</v>
      </c>
      <c r="H65">
        <v>4.7</v>
      </c>
      <c r="I65">
        <v>4.7</v>
      </c>
      <c r="J65">
        <v>5.2</v>
      </c>
    </row>
    <row r="66" spans="1:10" x14ac:dyDescent="0.3">
      <c r="A66" t="s">
        <v>278</v>
      </c>
      <c r="B66">
        <v>3425</v>
      </c>
      <c r="C66">
        <v>0</v>
      </c>
      <c r="D66">
        <v>562</v>
      </c>
      <c r="E66">
        <v>12133</v>
      </c>
      <c r="F66">
        <v>5.6</v>
      </c>
      <c r="G66">
        <v>5.6</v>
      </c>
      <c r="H66">
        <v>5.6</v>
      </c>
      <c r="I66">
        <v>5.6</v>
      </c>
      <c r="J66">
        <v>5.5</v>
      </c>
    </row>
    <row r="67" spans="1:10" x14ac:dyDescent="0.3">
      <c r="A67" t="s">
        <v>278</v>
      </c>
      <c r="B67">
        <v>3450</v>
      </c>
      <c r="C67">
        <v>0</v>
      </c>
      <c r="D67">
        <v>570</v>
      </c>
      <c r="E67">
        <v>4218</v>
      </c>
      <c r="F67">
        <v>5.8</v>
      </c>
      <c r="G67">
        <v>5.9</v>
      </c>
      <c r="H67">
        <v>5.7</v>
      </c>
      <c r="I67">
        <v>5.8</v>
      </c>
      <c r="J67">
        <v>5.9</v>
      </c>
    </row>
    <row r="68" spans="1:10" x14ac:dyDescent="0.3">
      <c r="A68" t="s">
        <v>278</v>
      </c>
      <c r="B68">
        <v>3475</v>
      </c>
      <c r="C68">
        <v>0</v>
      </c>
      <c r="D68">
        <v>447</v>
      </c>
      <c r="E68">
        <v>10875</v>
      </c>
      <c r="F68">
        <v>6.7</v>
      </c>
      <c r="G68">
        <v>6.7</v>
      </c>
      <c r="H68">
        <v>6.2</v>
      </c>
      <c r="I68">
        <v>6.5</v>
      </c>
      <c r="J68">
        <v>6.4</v>
      </c>
    </row>
    <row r="69" spans="1:10" x14ac:dyDescent="0.3">
      <c r="A69" t="s">
        <v>278</v>
      </c>
      <c r="B69">
        <v>3500</v>
      </c>
      <c r="C69">
        <v>0</v>
      </c>
      <c r="D69">
        <v>13986</v>
      </c>
      <c r="E69">
        <v>57837</v>
      </c>
      <c r="F69">
        <v>7.7</v>
      </c>
      <c r="G69">
        <v>7.7</v>
      </c>
      <c r="H69">
        <v>6.5</v>
      </c>
      <c r="I69">
        <v>7</v>
      </c>
      <c r="J69">
        <v>6.9</v>
      </c>
    </row>
    <row r="70" spans="1:10" x14ac:dyDescent="0.3">
      <c r="A70" t="s">
        <v>278</v>
      </c>
      <c r="B70">
        <v>3525</v>
      </c>
      <c r="C70">
        <v>0</v>
      </c>
      <c r="D70">
        <v>216</v>
      </c>
      <c r="E70">
        <v>3707</v>
      </c>
      <c r="F70">
        <v>6.9</v>
      </c>
      <c r="G70">
        <v>7.4</v>
      </c>
      <c r="H70">
        <v>6.9</v>
      </c>
      <c r="I70">
        <v>7.1</v>
      </c>
      <c r="J70">
        <v>7.5</v>
      </c>
    </row>
    <row r="71" spans="1:10" x14ac:dyDescent="0.3">
      <c r="A71" t="s">
        <v>278</v>
      </c>
      <c r="B71">
        <v>3550</v>
      </c>
      <c r="C71">
        <v>0</v>
      </c>
      <c r="D71">
        <v>226</v>
      </c>
      <c r="E71">
        <v>35016</v>
      </c>
      <c r="F71">
        <v>8.4</v>
      </c>
      <c r="G71">
        <v>8.4</v>
      </c>
      <c r="H71">
        <v>8.3000000000000007</v>
      </c>
      <c r="I71">
        <v>8.3000000000000007</v>
      </c>
      <c r="J71">
        <v>8.1</v>
      </c>
    </row>
    <row r="72" spans="1:10" x14ac:dyDescent="0.3">
      <c r="A72" t="s">
        <v>278</v>
      </c>
      <c r="B72">
        <v>3575</v>
      </c>
      <c r="C72">
        <v>0</v>
      </c>
      <c r="D72">
        <v>474</v>
      </c>
      <c r="E72">
        <v>15088</v>
      </c>
      <c r="F72">
        <v>9.1</v>
      </c>
      <c r="G72">
        <v>9.1999999999999993</v>
      </c>
      <c r="H72">
        <v>8.3000000000000007</v>
      </c>
      <c r="I72">
        <v>9.1999999999999993</v>
      </c>
      <c r="J72">
        <v>8.8000000000000007</v>
      </c>
    </row>
    <row r="73" spans="1:10" x14ac:dyDescent="0.3">
      <c r="A73" t="s">
        <v>278</v>
      </c>
      <c r="B73">
        <v>3600</v>
      </c>
      <c r="C73">
        <v>0</v>
      </c>
      <c r="D73">
        <v>14947</v>
      </c>
      <c r="E73">
        <v>70230</v>
      </c>
      <c r="F73">
        <v>9.6999999999999993</v>
      </c>
      <c r="G73">
        <v>10.9</v>
      </c>
      <c r="H73">
        <v>9.3000000000000007</v>
      </c>
      <c r="I73">
        <v>9.6</v>
      </c>
      <c r="J73">
        <v>9.6</v>
      </c>
    </row>
    <row r="74" spans="1:10" x14ac:dyDescent="0.3">
      <c r="A74" t="s">
        <v>278</v>
      </c>
      <c r="B74">
        <v>3625</v>
      </c>
      <c r="C74">
        <v>0</v>
      </c>
      <c r="D74">
        <v>69</v>
      </c>
      <c r="E74">
        <v>8371</v>
      </c>
      <c r="F74">
        <v>11.6</v>
      </c>
      <c r="G74">
        <v>11.6</v>
      </c>
      <c r="H74">
        <v>10.5</v>
      </c>
      <c r="I74">
        <v>10.5</v>
      </c>
      <c r="J74">
        <v>10.5</v>
      </c>
    </row>
    <row r="75" spans="1:10" x14ac:dyDescent="0.3">
      <c r="A75" t="s">
        <v>278</v>
      </c>
      <c r="B75">
        <v>3650</v>
      </c>
      <c r="C75">
        <v>0</v>
      </c>
      <c r="D75">
        <v>1356</v>
      </c>
      <c r="E75">
        <v>34653</v>
      </c>
      <c r="F75">
        <v>11.8</v>
      </c>
      <c r="G75">
        <v>12.5</v>
      </c>
      <c r="H75">
        <v>10.7</v>
      </c>
      <c r="I75">
        <v>11.5</v>
      </c>
      <c r="J75">
        <v>11.6</v>
      </c>
    </row>
    <row r="76" spans="1:10" x14ac:dyDescent="0.3">
      <c r="A76" t="s">
        <v>278</v>
      </c>
      <c r="B76">
        <v>3675</v>
      </c>
      <c r="C76">
        <v>0</v>
      </c>
      <c r="D76">
        <v>274</v>
      </c>
      <c r="E76">
        <v>21653</v>
      </c>
      <c r="F76">
        <v>12.8</v>
      </c>
      <c r="G76">
        <v>12.8</v>
      </c>
      <c r="H76">
        <v>12.7</v>
      </c>
      <c r="I76">
        <v>12.7</v>
      </c>
      <c r="J76">
        <v>12.8</v>
      </c>
    </row>
    <row r="77" spans="1:10" x14ac:dyDescent="0.3">
      <c r="A77" t="s">
        <v>278</v>
      </c>
      <c r="B77">
        <v>3700</v>
      </c>
      <c r="C77">
        <v>0</v>
      </c>
      <c r="D77">
        <v>4232</v>
      </c>
      <c r="E77">
        <v>74421</v>
      </c>
      <c r="F77">
        <v>14.3</v>
      </c>
      <c r="G77">
        <v>14.3</v>
      </c>
      <c r="H77">
        <v>12.6</v>
      </c>
      <c r="I77">
        <v>14</v>
      </c>
      <c r="J77">
        <v>14.1</v>
      </c>
    </row>
    <row r="78" spans="1:10" x14ac:dyDescent="0.3">
      <c r="A78" t="s">
        <v>278</v>
      </c>
      <c r="B78">
        <v>3725</v>
      </c>
      <c r="C78">
        <v>0</v>
      </c>
      <c r="D78">
        <v>597</v>
      </c>
      <c r="E78">
        <v>4954</v>
      </c>
      <c r="F78">
        <v>16</v>
      </c>
      <c r="G78">
        <v>18.3</v>
      </c>
      <c r="H78">
        <v>14.6</v>
      </c>
      <c r="I78">
        <v>16</v>
      </c>
      <c r="J78">
        <v>15.7</v>
      </c>
    </row>
    <row r="79" spans="1:10" x14ac:dyDescent="0.3">
      <c r="A79" t="s">
        <v>278</v>
      </c>
      <c r="B79">
        <v>3750</v>
      </c>
      <c r="C79">
        <v>0</v>
      </c>
      <c r="D79">
        <v>994</v>
      </c>
      <c r="E79">
        <v>32053</v>
      </c>
      <c r="F79">
        <v>17.8</v>
      </c>
      <c r="G79">
        <v>18.899999999999999</v>
      </c>
      <c r="H79">
        <v>15.4</v>
      </c>
      <c r="I79">
        <v>17.8</v>
      </c>
      <c r="J79">
        <v>17.5</v>
      </c>
    </row>
    <row r="80" spans="1:10" x14ac:dyDescent="0.3">
      <c r="A80" t="s">
        <v>278</v>
      </c>
      <c r="B80">
        <v>3775</v>
      </c>
      <c r="C80">
        <v>0</v>
      </c>
      <c r="D80">
        <v>528</v>
      </c>
      <c r="E80">
        <v>25012</v>
      </c>
      <c r="F80">
        <v>19.7</v>
      </c>
      <c r="G80">
        <v>21.2</v>
      </c>
      <c r="H80">
        <v>17.100000000000001</v>
      </c>
      <c r="I80">
        <v>19.8</v>
      </c>
      <c r="J80">
        <v>19.5</v>
      </c>
    </row>
    <row r="81" spans="1:10" x14ac:dyDescent="0.3">
      <c r="A81" t="s">
        <v>278</v>
      </c>
      <c r="B81">
        <v>3800</v>
      </c>
      <c r="C81">
        <v>0</v>
      </c>
      <c r="D81">
        <v>19635</v>
      </c>
      <c r="E81">
        <v>109643</v>
      </c>
      <c r="F81">
        <v>21.5</v>
      </c>
      <c r="G81">
        <v>25.1</v>
      </c>
      <c r="H81">
        <v>19</v>
      </c>
      <c r="I81">
        <v>22.2</v>
      </c>
      <c r="J81">
        <v>21.9</v>
      </c>
    </row>
    <row r="82" spans="1:10" x14ac:dyDescent="0.3">
      <c r="A82" t="s">
        <v>278</v>
      </c>
      <c r="B82">
        <v>3825</v>
      </c>
      <c r="C82">
        <v>0</v>
      </c>
      <c r="D82">
        <v>628</v>
      </c>
      <c r="E82">
        <v>3375</v>
      </c>
      <c r="F82">
        <v>24.5</v>
      </c>
      <c r="G82">
        <v>27.4</v>
      </c>
      <c r="H82">
        <v>21.9</v>
      </c>
      <c r="I82">
        <v>22.9</v>
      </c>
      <c r="J82">
        <v>24.5</v>
      </c>
    </row>
    <row r="83" spans="1:10" x14ac:dyDescent="0.3">
      <c r="A83" t="s">
        <v>278</v>
      </c>
      <c r="B83">
        <v>3850</v>
      </c>
      <c r="C83">
        <v>0</v>
      </c>
      <c r="D83">
        <v>14173</v>
      </c>
      <c r="E83">
        <v>61783</v>
      </c>
      <c r="F83">
        <v>29.4</v>
      </c>
      <c r="G83">
        <v>31.6</v>
      </c>
      <c r="H83">
        <v>25.2</v>
      </c>
      <c r="I83">
        <v>28</v>
      </c>
      <c r="J83">
        <v>27.5</v>
      </c>
    </row>
    <row r="84" spans="1:10" x14ac:dyDescent="0.3">
      <c r="A84" t="s">
        <v>278</v>
      </c>
      <c r="B84">
        <v>3875</v>
      </c>
      <c r="C84">
        <v>0</v>
      </c>
      <c r="D84">
        <v>982</v>
      </c>
      <c r="E84">
        <v>36866</v>
      </c>
      <c r="F84">
        <v>31</v>
      </c>
      <c r="G84">
        <v>31.8</v>
      </c>
      <c r="H84">
        <v>28.2</v>
      </c>
      <c r="I84">
        <v>31.2</v>
      </c>
      <c r="J84">
        <v>31</v>
      </c>
    </row>
    <row r="85" spans="1:10" x14ac:dyDescent="0.3">
      <c r="A85" t="s">
        <v>278</v>
      </c>
      <c r="B85">
        <v>3900</v>
      </c>
      <c r="C85">
        <v>0</v>
      </c>
      <c r="D85">
        <v>17006</v>
      </c>
      <c r="E85">
        <v>88018</v>
      </c>
      <c r="F85">
        <v>35</v>
      </c>
      <c r="G85">
        <v>40</v>
      </c>
      <c r="H85">
        <v>30.4</v>
      </c>
      <c r="I85">
        <v>34.700000000000003</v>
      </c>
      <c r="J85">
        <v>34.799999999999997</v>
      </c>
    </row>
    <row r="86" spans="1:10" x14ac:dyDescent="0.3">
      <c r="A86" t="s">
        <v>278</v>
      </c>
      <c r="B86">
        <v>3925</v>
      </c>
      <c r="C86">
        <v>0</v>
      </c>
      <c r="D86">
        <v>832</v>
      </c>
      <c r="E86">
        <v>6501</v>
      </c>
      <c r="F86">
        <v>39.4</v>
      </c>
      <c r="G86">
        <v>41.3</v>
      </c>
      <c r="H86">
        <v>37.299999999999997</v>
      </c>
      <c r="I86">
        <v>39.1</v>
      </c>
      <c r="J86">
        <v>39.200000000000003</v>
      </c>
    </row>
    <row r="87" spans="1:10" x14ac:dyDescent="0.3">
      <c r="A87" t="s">
        <v>278</v>
      </c>
      <c r="B87">
        <v>3950</v>
      </c>
      <c r="C87">
        <v>0</v>
      </c>
      <c r="D87">
        <v>11627</v>
      </c>
      <c r="E87">
        <v>60798</v>
      </c>
      <c r="F87">
        <v>44.9</v>
      </c>
      <c r="G87">
        <v>50.2</v>
      </c>
      <c r="H87">
        <v>38.9</v>
      </c>
      <c r="I87">
        <v>43.7</v>
      </c>
      <c r="J87">
        <v>44.1</v>
      </c>
    </row>
    <row r="88" spans="1:10" x14ac:dyDescent="0.3">
      <c r="A88" t="s">
        <v>278</v>
      </c>
      <c r="B88">
        <v>3975</v>
      </c>
      <c r="C88">
        <v>0</v>
      </c>
      <c r="D88">
        <v>561</v>
      </c>
      <c r="E88">
        <v>20322</v>
      </c>
      <c r="F88">
        <v>52.6</v>
      </c>
      <c r="G88">
        <v>54.7</v>
      </c>
      <c r="H88">
        <v>43.2</v>
      </c>
      <c r="I88">
        <v>50</v>
      </c>
      <c r="J88">
        <v>49.7</v>
      </c>
    </row>
    <row r="89" spans="1:10" x14ac:dyDescent="0.3">
      <c r="A89" t="s">
        <v>278</v>
      </c>
      <c r="B89">
        <v>4000</v>
      </c>
      <c r="C89">
        <v>0</v>
      </c>
      <c r="D89">
        <v>16727</v>
      </c>
      <c r="E89">
        <v>144452</v>
      </c>
      <c r="F89">
        <v>55.7</v>
      </c>
      <c r="G89">
        <v>63.3</v>
      </c>
      <c r="H89">
        <v>48.8</v>
      </c>
      <c r="I89">
        <v>56.4</v>
      </c>
      <c r="J89">
        <v>56.1</v>
      </c>
    </row>
    <row r="90" spans="1:10" x14ac:dyDescent="0.3">
      <c r="A90" t="s">
        <v>278</v>
      </c>
      <c r="B90">
        <v>4025</v>
      </c>
      <c r="C90">
        <v>0</v>
      </c>
      <c r="D90">
        <v>2248</v>
      </c>
      <c r="E90">
        <v>11055</v>
      </c>
      <c r="F90">
        <v>69.5</v>
      </c>
      <c r="G90">
        <v>69.7</v>
      </c>
      <c r="H90">
        <v>63.5</v>
      </c>
      <c r="I90">
        <v>64.5</v>
      </c>
      <c r="J90">
        <v>63.2</v>
      </c>
    </row>
    <row r="91" spans="1:10" x14ac:dyDescent="0.3">
      <c r="A91" t="s">
        <v>278</v>
      </c>
      <c r="B91">
        <v>4050</v>
      </c>
      <c r="C91">
        <v>0</v>
      </c>
      <c r="D91">
        <v>5433</v>
      </c>
      <c r="E91">
        <v>54805</v>
      </c>
      <c r="F91">
        <v>71</v>
      </c>
      <c r="G91">
        <v>78</v>
      </c>
      <c r="H91">
        <v>65.599999999999994</v>
      </c>
      <c r="I91">
        <v>71.5</v>
      </c>
      <c r="J91">
        <v>71.2</v>
      </c>
    </row>
    <row r="92" spans="1:10" x14ac:dyDescent="0.3">
      <c r="A92" t="s">
        <v>278</v>
      </c>
      <c r="B92">
        <v>4075</v>
      </c>
      <c r="C92">
        <v>0</v>
      </c>
      <c r="D92">
        <v>1262</v>
      </c>
      <c r="E92">
        <v>30027</v>
      </c>
      <c r="F92">
        <v>79.2</v>
      </c>
      <c r="G92">
        <v>80.5</v>
      </c>
      <c r="H92">
        <v>72</v>
      </c>
      <c r="I92">
        <v>80.5</v>
      </c>
      <c r="J92">
        <v>80.3</v>
      </c>
    </row>
    <row r="93" spans="1:10" x14ac:dyDescent="0.3">
      <c r="A93" t="s">
        <v>278</v>
      </c>
      <c r="B93">
        <v>4100</v>
      </c>
      <c r="C93">
        <v>0</v>
      </c>
      <c r="D93">
        <v>17404</v>
      </c>
      <c r="E93">
        <v>154577</v>
      </c>
      <c r="F93">
        <v>91.5</v>
      </c>
      <c r="G93">
        <v>97.1</v>
      </c>
      <c r="H93">
        <v>79.599999999999994</v>
      </c>
      <c r="I93">
        <v>90.1</v>
      </c>
      <c r="J93">
        <v>90.4</v>
      </c>
    </row>
    <row r="94" spans="1:10" x14ac:dyDescent="0.3">
      <c r="A94" t="s">
        <v>278</v>
      </c>
      <c r="B94">
        <v>4125</v>
      </c>
      <c r="C94">
        <v>0</v>
      </c>
      <c r="D94">
        <v>558</v>
      </c>
      <c r="E94">
        <v>13944</v>
      </c>
      <c r="F94">
        <v>98.4</v>
      </c>
      <c r="G94">
        <v>105</v>
      </c>
      <c r="H94">
        <v>98</v>
      </c>
      <c r="I94">
        <v>100.8</v>
      </c>
      <c r="J94">
        <v>101.7</v>
      </c>
    </row>
    <row r="95" spans="1:10" x14ac:dyDescent="0.3">
      <c r="A95" t="s">
        <v>278</v>
      </c>
      <c r="B95">
        <v>4150</v>
      </c>
      <c r="C95">
        <v>0</v>
      </c>
      <c r="D95">
        <v>16795</v>
      </c>
      <c r="E95">
        <v>52759</v>
      </c>
      <c r="F95">
        <v>126</v>
      </c>
      <c r="G95">
        <v>126</v>
      </c>
      <c r="H95">
        <v>104.7</v>
      </c>
      <c r="I95">
        <v>113.4</v>
      </c>
      <c r="J95">
        <v>114.2</v>
      </c>
    </row>
    <row r="96" spans="1:10" x14ac:dyDescent="0.3">
      <c r="A96" t="s">
        <v>278</v>
      </c>
      <c r="B96">
        <v>4175</v>
      </c>
      <c r="C96">
        <v>0</v>
      </c>
      <c r="D96">
        <v>767</v>
      </c>
      <c r="E96">
        <v>8918</v>
      </c>
      <c r="F96">
        <v>134.6</v>
      </c>
      <c r="G96">
        <v>134.6</v>
      </c>
      <c r="H96">
        <v>115.5</v>
      </c>
      <c r="I96">
        <v>125.3</v>
      </c>
      <c r="J96">
        <v>127.9</v>
      </c>
    </row>
    <row r="97" spans="1:10" x14ac:dyDescent="0.3">
      <c r="A97" t="s">
        <v>278</v>
      </c>
      <c r="B97">
        <v>4200</v>
      </c>
      <c r="C97">
        <v>0</v>
      </c>
      <c r="D97">
        <v>1285</v>
      </c>
      <c r="E97">
        <v>32460</v>
      </c>
      <c r="F97">
        <v>151</v>
      </c>
      <c r="G97">
        <v>155.5</v>
      </c>
      <c r="H97">
        <v>140.19999999999999</v>
      </c>
      <c r="I97">
        <v>140.19999999999999</v>
      </c>
      <c r="J97">
        <v>142.80000000000001</v>
      </c>
    </row>
    <row r="98" spans="1:10" x14ac:dyDescent="0.3">
      <c r="A98" t="s">
        <v>278</v>
      </c>
      <c r="B98">
        <v>4225</v>
      </c>
      <c r="C98">
        <v>0</v>
      </c>
      <c r="D98">
        <v>2</v>
      </c>
      <c r="E98">
        <v>12808</v>
      </c>
      <c r="F98">
        <v>167</v>
      </c>
      <c r="G98">
        <v>167</v>
      </c>
      <c r="H98">
        <v>167</v>
      </c>
      <c r="I98">
        <v>167</v>
      </c>
      <c r="J98">
        <v>159</v>
      </c>
    </row>
    <row r="99" spans="1:10" x14ac:dyDescent="0.3">
      <c r="A99" t="s">
        <v>278</v>
      </c>
      <c r="B99">
        <v>4250</v>
      </c>
      <c r="C99">
        <v>0</v>
      </c>
      <c r="D99">
        <v>486</v>
      </c>
      <c r="E99">
        <v>42975</v>
      </c>
      <c r="F99">
        <v>178.4</v>
      </c>
      <c r="G99">
        <v>178.4</v>
      </c>
      <c r="H99">
        <v>175.1</v>
      </c>
      <c r="I99">
        <v>175.1</v>
      </c>
      <c r="J99">
        <v>176.5</v>
      </c>
    </row>
    <row r="100" spans="1:10" x14ac:dyDescent="0.3">
      <c r="A100" t="s">
        <v>278</v>
      </c>
      <c r="B100">
        <v>4275</v>
      </c>
      <c r="C100">
        <v>0</v>
      </c>
      <c r="D100">
        <v>73</v>
      </c>
      <c r="E100">
        <v>1642</v>
      </c>
      <c r="F100">
        <v>202.2</v>
      </c>
      <c r="G100">
        <v>203.4</v>
      </c>
      <c r="H100">
        <v>194.5</v>
      </c>
      <c r="I100">
        <v>194.5</v>
      </c>
      <c r="J100">
        <v>195.3</v>
      </c>
    </row>
    <row r="101" spans="1:10" x14ac:dyDescent="0.3">
      <c r="A101" t="s">
        <v>278</v>
      </c>
      <c r="B101">
        <v>4300</v>
      </c>
      <c r="C101">
        <v>0</v>
      </c>
      <c r="D101">
        <v>0</v>
      </c>
      <c r="E101">
        <v>22897</v>
      </c>
      <c r="F101">
        <v>0</v>
      </c>
      <c r="G101">
        <v>0</v>
      </c>
      <c r="H101">
        <v>0</v>
      </c>
      <c r="I101">
        <v>0</v>
      </c>
      <c r="J101">
        <v>215.7</v>
      </c>
    </row>
    <row r="102" spans="1:10" x14ac:dyDescent="0.3">
      <c r="A102" t="s">
        <v>278</v>
      </c>
      <c r="B102">
        <v>4325</v>
      </c>
      <c r="C102">
        <v>0</v>
      </c>
      <c r="D102">
        <v>4</v>
      </c>
      <c r="E102">
        <v>2270</v>
      </c>
      <c r="F102">
        <v>242</v>
      </c>
      <c r="G102">
        <v>242</v>
      </c>
      <c r="H102">
        <v>229.5</v>
      </c>
      <c r="I102">
        <v>229.5</v>
      </c>
      <c r="J102">
        <v>237</v>
      </c>
    </row>
    <row r="103" spans="1:10" x14ac:dyDescent="0.3">
      <c r="A103" t="s">
        <v>278</v>
      </c>
      <c r="B103">
        <v>4350</v>
      </c>
      <c r="C103">
        <v>0</v>
      </c>
      <c r="D103">
        <v>1</v>
      </c>
      <c r="E103">
        <v>4787</v>
      </c>
      <c r="F103">
        <v>247.8</v>
      </c>
      <c r="G103">
        <v>247.8</v>
      </c>
      <c r="H103">
        <v>247.8</v>
      </c>
      <c r="I103">
        <v>247.8</v>
      </c>
      <c r="J103">
        <v>259.10000000000002</v>
      </c>
    </row>
    <row r="104" spans="1:10" x14ac:dyDescent="0.3">
      <c r="A104" t="s">
        <v>278</v>
      </c>
      <c r="B104">
        <v>4375</v>
      </c>
      <c r="C104">
        <v>0</v>
      </c>
      <c r="D104">
        <v>12</v>
      </c>
      <c r="E104">
        <v>3280</v>
      </c>
      <c r="F104">
        <v>271</v>
      </c>
      <c r="G104">
        <v>285</v>
      </c>
      <c r="H104">
        <v>271</v>
      </c>
      <c r="I104">
        <v>285</v>
      </c>
      <c r="J104">
        <v>282</v>
      </c>
    </row>
    <row r="105" spans="1:10" x14ac:dyDescent="0.3">
      <c r="A105" t="s">
        <v>278</v>
      </c>
      <c r="B105">
        <v>4400</v>
      </c>
      <c r="C105">
        <v>0</v>
      </c>
      <c r="D105">
        <v>2</v>
      </c>
      <c r="E105">
        <v>5690</v>
      </c>
      <c r="F105">
        <v>0</v>
      </c>
      <c r="G105">
        <v>0</v>
      </c>
      <c r="H105">
        <v>0</v>
      </c>
      <c r="I105">
        <v>0</v>
      </c>
      <c r="J105">
        <v>305.39999999999998</v>
      </c>
    </row>
    <row r="106" spans="1:10" x14ac:dyDescent="0.3">
      <c r="A106" t="s">
        <v>278</v>
      </c>
      <c r="B106">
        <v>4425</v>
      </c>
      <c r="C106">
        <v>0</v>
      </c>
      <c r="D106">
        <v>0</v>
      </c>
      <c r="E106">
        <v>277</v>
      </c>
      <c r="F106">
        <v>0</v>
      </c>
      <c r="G106">
        <v>0</v>
      </c>
      <c r="H106">
        <v>0</v>
      </c>
      <c r="I106">
        <v>0</v>
      </c>
      <c r="J106">
        <v>329.4</v>
      </c>
    </row>
    <row r="107" spans="1:10" x14ac:dyDescent="0.3">
      <c r="A107" t="s">
        <v>278</v>
      </c>
      <c r="B107">
        <v>4450</v>
      </c>
      <c r="C107">
        <v>0</v>
      </c>
      <c r="D107">
        <v>4</v>
      </c>
      <c r="E107">
        <v>3435</v>
      </c>
      <c r="F107">
        <v>0</v>
      </c>
      <c r="G107">
        <v>0</v>
      </c>
      <c r="H107">
        <v>0</v>
      </c>
      <c r="I107">
        <v>0</v>
      </c>
      <c r="J107">
        <v>353.6</v>
      </c>
    </row>
    <row r="108" spans="1:10" x14ac:dyDescent="0.3">
      <c r="A108" t="s">
        <v>278</v>
      </c>
      <c r="B108">
        <v>4475</v>
      </c>
      <c r="C108">
        <v>0</v>
      </c>
      <c r="D108">
        <v>0</v>
      </c>
      <c r="E108">
        <v>1</v>
      </c>
      <c r="F108">
        <v>0</v>
      </c>
      <c r="G108">
        <v>0</v>
      </c>
      <c r="H108">
        <v>0</v>
      </c>
      <c r="I108">
        <v>0</v>
      </c>
      <c r="J108">
        <v>378</v>
      </c>
    </row>
    <row r="109" spans="1:10" x14ac:dyDescent="0.3">
      <c r="A109" t="s">
        <v>278</v>
      </c>
      <c r="B109">
        <v>4500</v>
      </c>
      <c r="C109">
        <v>0</v>
      </c>
      <c r="D109">
        <v>0</v>
      </c>
      <c r="E109">
        <v>2450</v>
      </c>
      <c r="F109">
        <v>0</v>
      </c>
      <c r="G109">
        <v>0</v>
      </c>
      <c r="H109">
        <v>0</v>
      </c>
      <c r="I109">
        <v>0</v>
      </c>
      <c r="J109">
        <v>402.6</v>
      </c>
    </row>
    <row r="110" spans="1:10" x14ac:dyDescent="0.3">
      <c r="A110" t="s">
        <v>278</v>
      </c>
      <c r="B110">
        <v>4525</v>
      </c>
      <c r="C110">
        <v>0</v>
      </c>
      <c r="D110">
        <v>0</v>
      </c>
      <c r="E110">
        <v>0</v>
      </c>
      <c r="F110">
        <v>0</v>
      </c>
      <c r="G110">
        <v>0</v>
      </c>
      <c r="H110">
        <v>0</v>
      </c>
      <c r="I110">
        <v>0</v>
      </c>
      <c r="J110">
        <v>427.3</v>
      </c>
    </row>
    <row r="111" spans="1:10" x14ac:dyDescent="0.3">
      <c r="A111" t="s">
        <v>278</v>
      </c>
      <c r="B111">
        <v>4550</v>
      </c>
      <c r="C111">
        <v>0</v>
      </c>
      <c r="D111">
        <v>0</v>
      </c>
      <c r="E111">
        <v>3</v>
      </c>
      <c r="F111">
        <v>0</v>
      </c>
      <c r="G111">
        <v>0</v>
      </c>
      <c r="H111">
        <v>0</v>
      </c>
      <c r="I111">
        <v>0</v>
      </c>
      <c r="J111">
        <v>452</v>
      </c>
    </row>
    <row r="112" spans="1:10" x14ac:dyDescent="0.3">
      <c r="A112" t="s">
        <v>278</v>
      </c>
      <c r="B112">
        <v>4575</v>
      </c>
      <c r="C112">
        <v>0</v>
      </c>
      <c r="D112">
        <v>0</v>
      </c>
      <c r="E112">
        <v>0</v>
      </c>
      <c r="F112">
        <v>0</v>
      </c>
      <c r="G112">
        <v>0</v>
      </c>
      <c r="H112">
        <v>0</v>
      </c>
      <c r="I112">
        <v>0</v>
      </c>
      <c r="J112">
        <v>476.8</v>
      </c>
    </row>
    <row r="113" spans="1:10" x14ac:dyDescent="0.3">
      <c r="A113" t="s">
        <v>278</v>
      </c>
      <c r="B113">
        <v>4600</v>
      </c>
      <c r="C113">
        <v>0</v>
      </c>
      <c r="D113">
        <v>0</v>
      </c>
      <c r="E113">
        <v>0</v>
      </c>
      <c r="F113">
        <v>0</v>
      </c>
      <c r="G113">
        <v>0</v>
      </c>
      <c r="H113">
        <v>0</v>
      </c>
      <c r="I113">
        <v>0</v>
      </c>
      <c r="J113">
        <v>501.7</v>
      </c>
    </row>
    <row r="114" spans="1:10" x14ac:dyDescent="0.3">
      <c r="A114" t="s">
        <v>278</v>
      </c>
      <c r="B114">
        <v>4625</v>
      </c>
      <c r="C114">
        <v>0</v>
      </c>
      <c r="D114">
        <v>0</v>
      </c>
      <c r="E114">
        <v>0</v>
      </c>
      <c r="F114">
        <v>0</v>
      </c>
      <c r="G114">
        <v>0</v>
      </c>
      <c r="H114">
        <v>0</v>
      </c>
      <c r="I114">
        <v>0</v>
      </c>
      <c r="J114">
        <v>526.5</v>
      </c>
    </row>
    <row r="115" spans="1:10" x14ac:dyDescent="0.3">
      <c r="A115" t="s">
        <v>278</v>
      </c>
      <c r="B115">
        <v>4650</v>
      </c>
      <c r="C115">
        <v>0</v>
      </c>
      <c r="D115">
        <v>0</v>
      </c>
      <c r="E115">
        <v>1</v>
      </c>
      <c r="F115">
        <v>0</v>
      </c>
      <c r="G115">
        <v>0</v>
      </c>
      <c r="H115">
        <v>0</v>
      </c>
      <c r="I115">
        <v>0</v>
      </c>
      <c r="J115">
        <v>551.4</v>
      </c>
    </row>
    <row r="116" spans="1:10" x14ac:dyDescent="0.3">
      <c r="A116" t="s">
        <v>278</v>
      </c>
      <c r="B116">
        <v>4675</v>
      </c>
      <c r="C116">
        <v>0</v>
      </c>
      <c r="D116">
        <v>0</v>
      </c>
      <c r="E116">
        <v>0</v>
      </c>
      <c r="F116">
        <v>0</v>
      </c>
      <c r="G116">
        <v>0</v>
      </c>
      <c r="H116">
        <v>0</v>
      </c>
      <c r="I116">
        <v>0</v>
      </c>
      <c r="J116">
        <v>576.29999999999995</v>
      </c>
    </row>
    <row r="117" spans="1:10" x14ac:dyDescent="0.3">
      <c r="A117" t="s">
        <v>278</v>
      </c>
      <c r="B117">
        <v>4700</v>
      </c>
      <c r="C117">
        <v>0</v>
      </c>
      <c r="D117">
        <v>0</v>
      </c>
      <c r="E117">
        <v>0</v>
      </c>
      <c r="F117">
        <v>0</v>
      </c>
      <c r="G117">
        <v>0</v>
      </c>
      <c r="H117">
        <v>0</v>
      </c>
      <c r="I117">
        <v>0</v>
      </c>
      <c r="J117">
        <v>601.20000000000005</v>
      </c>
    </row>
    <row r="118" spans="1:10" x14ac:dyDescent="0.3">
      <c r="A118" t="s">
        <v>278</v>
      </c>
      <c r="B118">
        <v>4725</v>
      </c>
      <c r="C118">
        <v>0</v>
      </c>
      <c r="D118">
        <v>0</v>
      </c>
      <c r="E118">
        <v>0</v>
      </c>
      <c r="F118">
        <v>0</v>
      </c>
      <c r="G118">
        <v>0</v>
      </c>
      <c r="H118">
        <v>0</v>
      </c>
      <c r="I118">
        <v>0</v>
      </c>
      <c r="J118">
        <v>626.1</v>
      </c>
    </row>
    <row r="119" spans="1:10" x14ac:dyDescent="0.3">
      <c r="A119" t="s">
        <v>278</v>
      </c>
      <c r="B119">
        <v>4750</v>
      </c>
      <c r="C119">
        <v>0</v>
      </c>
      <c r="D119">
        <v>0</v>
      </c>
      <c r="E119">
        <v>0</v>
      </c>
      <c r="F119">
        <v>0</v>
      </c>
      <c r="G119">
        <v>0</v>
      </c>
      <c r="H119">
        <v>0</v>
      </c>
      <c r="I119">
        <v>0</v>
      </c>
      <c r="J119">
        <v>651</v>
      </c>
    </row>
    <row r="120" spans="1:10" x14ac:dyDescent="0.3">
      <c r="A120" t="s">
        <v>278</v>
      </c>
      <c r="B120">
        <v>4775</v>
      </c>
      <c r="C120">
        <v>0</v>
      </c>
      <c r="D120">
        <v>0</v>
      </c>
      <c r="E120">
        <v>0</v>
      </c>
      <c r="F120">
        <v>0</v>
      </c>
      <c r="G120">
        <v>0</v>
      </c>
      <c r="H120">
        <v>0</v>
      </c>
      <c r="I120">
        <v>0</v>
      </c>
      <c r="J120">
        <v>675.9</v>
      </c>
    </row>
    <row r="121" spans="1:10" x14ac:dyDescent="0.3">
      <c r="A121" t="s">
        <v>278</v>
      </c>
      <c r="B121">
        <v>4800</v>
      </c>
      <c r="C121">
        <v>0</v>
      </c>
      <c r="D121">
        <v>0</v>
      </c>
      <c r="E121">
        <v>0</v>
      </c>
      <c r="F121">
        <v>0</v>
      </c>
      <c r="G121">
        <v>0</v>
      </c>
      <c r="H121">
        <v>0</v>
      </c>
      <c r="I121">
        <v>0</v>
      </c>
      <c r="J121">
        <v>700.8</v>
      </c>
    </row>
    <row r="122" spans="1:10" x14ac:dyDescent="0.3">
      <c r="A122" t="s">
        <v>278</v>
      </c>
      <c r="B122">
        <v>4825</v>
      </c>
      <c r="C122">
        <v>0</v>
      </c>
      <c r="D122">
        <v>0</v>
      </c>
      <c r="E122">
        <v>0</v>
      </c>
      <c r="F122">
        <v>0</v>
      </c>
      <c r="G122">
        <v>0</v>
      </c>
      <c r="H122">
        <v>0</v>
      </c>
      <c r="I122">
        <v>0</v>
      </c>
      <c r="J122">
        <v>725.7</v>
      </c>
    </row>
    <row r="123" spans="1:10" x14ac:dyDescent="0.3">
      <c r="A123" t="s">
        <v>278</v>
      </c>
      <c r="B123">
        <v>4850</v>
      </c>
      <c r="C123">
        <v>0</v>
      </c>
      <c r="D123">
        <v>0</v>
      </c>
      <c r="E123">
        <v>0</v>
      </c>
      <c r="F123">
        <v>0</v>
      </c>
      <c r="G123">
        <v>0</v>
      </c>
      <c r="H123">
        <v>0</v>
      </c>
      <c r="I123">
        <v>0</v>
      </c>
      <c r="J123">
        <v>750.6</v>
      </c>
    </row>
    <row r="124" spans="1:10" x14ac:dyDescent="0.3">
      <c r="A124" t="s">
        <v>278</v>
      </c>
      <c r="B124">
        <v>4875</v>
      </c>
      <c r="C124">
        <v>0</v>
      </c>
      <c r="D124">
        <v>0</v>
      </c>
      <c r="E124">
        <v>0</v>
      </c>
      <c r="F124">
        <v>0</v>
      </c>
      <c r="G124">
        <v>0</v>
      </c>
      <c r="H124">
        <v>0</v>
      </c>
      <c r="I124">
        <v>0</v>
      </c>
      <c r="J124">
        <v>775.5</v>
      </c>
    </row>
    <row r="125" spans="1:10" x14ac:dyDescent="0.3">
      <c r="A125" t="s">
        <v>278</v>
      </c>
      <c r="B125">
        <v>4900</v>
      </c>
      <c r="C125">
        <v>0</v>
      </c>
      <c r="D125">
        <v>0</v>
      </c>
      <c r="E125">
        <v>0</v>
      </c>
      <c r="F125">
        <v>0</v>
      </c>
      <c r="G125">
        <v>0</v>
      </c>
      <c r="H125">
        <v>0</v>
      </c>
      <c r="I125">
        <v>0</v>
      </c>
      <c r="J125">
        <v>800.4</v>
      </c>
    </row>
    <row r="126" spans="1:10" x14ac:dyDescent="0.3">
      <c r="A126" t="s">
        <v>278</v>
      </c>
      <c r="B126">
        <v>4925</v>
      </c>
      <c r="C126">
        <v>0</v>
      </c>
      <c r="D126">
        <v>0</v>
      </c>
      <c r="E126">
        <v>0</v>
      </c>
      <c r="F126">
        <v>0</v>
      </c>
      <c r="G126">
        <v>0</v>
      </c>
      <c r="H126">
        <v>0</v>
      </c>
      <c r="I126">
        <v>0</v>
      </c>
      <c r="J126">
        <v>825.3</v>
      </c>
    </row>
    <row r="127" spans="1:10" x14ac:dyDescent="0.3">
      <c r="A127" t="s">
        <v>278</v>
      </c>
      <c r="B127">
        <v>4950</v>
      </c>
      <c r="C127">
        <v>0</v>
      </c>
      <c r="D127">
        <v>0</v>
      </c>
      <c r="E127">
        <v>0</v>
      </c>
      <c r="F127">
        <v>0</v>
      </c>
      <c r="G127">
        <v>0</v>
      </c>
      <c r="H127">
        <v>0</v>
      </c>
      <c r="I127">
        <v>0</v>
      </c>
      <c r="J127">
        <v>850.3</v>
      </c>
    </row>
    <row r="128" spans="1:10" x14ac:dyDescent="0.3">
      <c r="A128" t="s">
        <v>278</v>
      </c>
      <c r="B128">
        <v>4975</v>
      </c>
      <c r="C128">
        <v>0</v>
      </c>
      <c r="D128">
        <v>0</v>
      </c>
      <c r="E128">
        <v>0</v>
      </c>
      <c r="F128">
        <v>0</v>
      </c>
      <c r="G128">
        <v>0</v>
      </c>
      <c r="H128">
        <v>0</v>
      </c>
      <c r="I128">
        <v>0</v>
      </c>
      <c r="J128">
        <v>875.2</v>
      </c>
    </row>
    <row r="129" spans="1:10" x14ac:dyDescent="0.3">
      <c r="A129" t="s">
        <v>278</v>
      </c>
      <c r="B129">
        <v>5000</v>
      </c>
      <c r="C129">
        <v>0</v>
      </c>
      <c r="D129">
        <v>0</v>
      </c>
      <c r="E129">
        <v>3</v>
      </c>
      <c r="F129">
        <v>0</v>
      </c>
      <c r="G129">
        <v>0</v>
      </c>
      <c r="H129">
        <v>0</v>
      </c>
      <c r="I129">
        <v>0</v>
      </c>
      <c r="J129">
        <v>900.1</v>
      </c>
    </row>
    <row r="130" spans="1:10" x14ac:dyDescent="0.3">
      <c r="A130" t="s">
        <v>278</v>
      </c>
      <c r="B130">
        <v>5025</v>
      </c>
      <c r="C130">
        <v>0</v>
      </c>
      <c r="D130">
        <v>0</v>
      </c>
      <c r="E130">
        <v>0</v>
      </c>
      <c r="F130">
        <v>0</v>
      </c>
      <c r="G130">
        <v>0</v>
      </c>
      <c r="H130">
        <v>0</v>
      </c>
      <c r="I130">
        <v>0</v>
      </c>
      <c r="J130">
        <v>925</v>
      </c>
    </row>
    <row r="131" spans="1:10" x14ac:dyDescent="0.3">
      <c r="A131" t="s">
        <v>278</v>
      </c>
      <c r="B131">
        <v>5050</v>
      </c>
      <c r="C131">
        <v>0</v>
      </c>
      <c r="D131">
        <v>0</v>
      </c>
      <c r="E131">
        <v>0</v>
      </c>
      <c r="F131">
        <v>0</v>
      </c>
      <c r="G131">
        <v>0</v>
      </c>
      <c r="H131">
        <v>0</v>
      </c>
      <c r="I131">
        <v>0</v>
      </c>
      <c r="J131">
        <v>949.9</v>
      </c>
    </row>
    <row r="132" spans="1:10" x14ac:dyDescent="0.3">
      <c r="A132" t="s">
        <v>278</v>
      </c>
      <c r="B132">
        <v>5075</v>
      </c>
      <c r="C132">
        <v>0</v>
      </c>
      <c r="D132">
        <v>0</v>
      </c>
      <c r="E132">
        <v>0</v>
      </c>
      <c r="F132">
        <v>0</v>
      </c>
      <c r="G132">
        <v>0</v>
      </c>
      <c r="H132">
        <v>0</v>
      </c>
      <c r="I132">
        <v>0</v>
      </c>
      <c r="J132">
        <v>974.9</v>
      </c>
    </row>
    <row r="133" spans="1:10" x14ac:dyDescent="0.3">
      <c r="A133" t="s">
        <v>278</v>
      </c>
      <c r="B133">
        <v>5100</v>
      </c>
      <c r="C133">
        <v>0</v>
      </c>
      <c r="D133">
        <v>0</v>
      </c>
      <c r="E133">
        <v>0</v>
      </c>
      <c r="F133">
        <v>0</v>
      </c>
      <c r="G133">
        <v>0</v>
      </c>
      <c r="H133">
        <v>0</v>
      </c>
      <c r="I133">
        <v>0</v>
      </c>
      <c r="J133">
        <v>999.8</v>
      </c>
    </row>
    <row r="134" spans="1:10" x14ac:dyDescent="0.3">
      <c r="A134" t="s">
        <v>278</v>
      </c>
      <c r="B134">
        <v>5125</v>
      </c>
      <c r="C134">
        <v>0</v>
      </c>
      <c r="D134">
        <v>0</v>
      </c>
      <c r="E134">
        <v>0</v>
      </c>
      <c r="F134">
        <v>0</v>
      </c>
      <c r="G134">
        <v>0</v>
      </c>
      <c r="H134">
        <v>0</v>
      </c>
      <c r="I134">
        <v>0</v>
      </c>
      <c r="J134">
        <v>1024.7</v>
      </c>
    </row>
    <row r="135" spans="1:10" x14ac:dyDescent="0.3">
      <c r="A135" t="s">
        <v>278</v>
      </c>
      <c r="B135">
        <v>5150</v>
      </c>
      <c r="C135">
        <v>0</v>
      </c>
      <c r="D135">
        <v>0</v>
      </c>
      <c r="E135">
        <v>0</v>
      </c>
      <c r="F135">
        <v>0</v>
      </c>
      <c r="G135">
        <v>0</v>
      </c>
      <c r="H135">
        <v>0</v>
      </c>
      <c r="I135">
        <v>0</v>
      </c>
      <c r="J135">
        <v>1049.5999999999999</v>
      </c>
    </row>
    <row r="136" spans="1:10" x14ac:dyDescent="0.3">
      <c r="A136" t="s">
        <v>278</v>
      </c>
      <c r="B136">
        <v>5175</v>
      </c>
      <c r="C136">
        <v>0</v>
      </c>
      <c r="D136">
        <v>0</v>
      </c>
      <c r="E136">
        <v>0</v>
      </c>
      <c r="F136">
        <v>0</v>
      </c>
      <c r="G136">
        <v>0</v>
      </c>
      <c r="H136">
        <v>0</v>
      </c>
      <c r="I136">
        <v>0</v>
      </c>
      <c r="J136">
        <v>1074.5999999999999</v>
      </c>
    </row>
    <row r="137" spans="1:10" x14ac:dyDescent="0.3">
      <c r="A137" t="s">
        <v>278</v>
      </c>
      <c r="B137">
        <v>5200</v>
      </c>
      <c r="C137">
        <v>0</v>
      </c>
      <c r="D137">
        <v>0</v>
      </c>
      <c r="E137">
        <v>0</v>
      </c>
      <c r="F137">
        <v>0</v>
      </c>
      <c r="G137">
        <v>0</v>
      </c>
      <c r="H137">
        <v>0</v>
      </c>
      <c r="I137">
        <v>0</v>
      </c>
      <c r="J137">
        <v>1099.5</v>
      </c>
    </row>
    <row r="138" spans="1:10" x14ac:dyDescent="0.3">
      <c r="A138" t="s">
        <v>278</v>
      </c>
      <c r="B138">
        <v>5300</v>
      </c>
      <c r="C138">
        <v>0</v>
      </c>
      <c r="D138">
        <v>0</v>
      </c>
      <c r="E138">
        <v>0</v>
      </c>
      <c r="F138">
        <v>0</v>
      </c>
      <c r="G138">
        <v>0</v>
      </c>
      <c r="H138">
        <v>0</v>
      </c>
      <c r="I138">
        <v>0</v>
      </c>
      <c r="J138">
        <v>1199.2</v>
      </c>
    </row>
    <row r="139" spans="1:10" x14ac:dyDescent="0.3">
      <c r="A139" t="s">
        <v>278</v>
      </c>
      <c r="B139">
        <v>5400</v>
      </c>
      <c r="C139">
        <v>0</v>
      </c>
      <c r="D139">
        <v>0</v>
      </c>
      <c r="E139">
        <v>0</v>
      </c>
      <c r="F139">
        <v>0</v>
      </c>
      <c r="G139">
        <v>0</v>
      </c>
      <c r="H139">
        <v>0</v>
      </c>
      <c r="I139">
        <v>0</v>
      </c>
      <c r="J139">
        <v>1298.9000000000001</v>
      </c>
    </row>
    <row r="140" spans="1:10" x14ac:dyDescent="0.3">
      <c r="A140" t="s">
        <v>278</v>
      </c>
      <c r="B140">
        <v>5500</v>
      </c>
      <c r="C140">
        <v>0</v>
      </c>
      <c r="D140">
        <v>0</v>
      </c>
      <c r="E140">
        <v>0</v>
      </c>
      <c r="F140">
        <v>0</v>
      </c>
      <c r="G140">
        <v>0</v>
      </c>
      <c r="H140">
        <v>0</v>
      </c>
      <c r="I140">
        <v>0</v>
      </c>
      <c r="J140">
        <v>1398.6</v>
      </c>
    </row>
    <row r="141" spans="1:10" x14ac:dyDescent="0.3">
      <c r="A141" t="s">
        <v>278</v>
      </c>
      <c r="B141">
        <v>5600</v>
      </c>
      <c r="C141">
        <v>0</v>
      </c>
      <c r="D141">
        <v>0</v>
      </c>
      <c r="E141">
        <v>0</v>
      </c>
      <c r="F141">
        <v>0</v>
      </c>
      <c r="G141">
        <v>0</v>
      </c>
      <c r="H141">
        <v>0</v>
      </c>
      <c r="I141">
        <v>0</v>
      </c>
      <c r="J141">
        <v>1498.3</v>
      </c>
    </row>
    <row r="142" spans="1:10" x14ac:dyDescent="0.3">
      <c r="A142" t="s">
        <v>278</v>
      </c>
      <c r="B142">
        <v>5700</v>
      </c>
      <c r="C142">
        <v>0</v>
      </c>
      <c r="D142">
        <v>0</v>
      </c>
      <c r="E142">
        <v>0</v>
      </c>
      <c r="F142">
        <v>0</v>
      </c>
      <c r="G142">
        <v>0</v>
      </c>
      <c r="H142">
        <v>0</v>
      </c>
      <c r="I142">
        <v>0</v>
      </c>
      <c r="J142">
        <v>1598.1</v>
      </c>
    </row>
    <row r="143" spans="1:10" x14ac:dyDescent="0.3">
      <c r="A143" t="s">
        <v>278</v>
      </c>
      <c r="B143">
        <v>5800</v>
      </c>
      <c r="C143">
        <v>0</v>
      </c>
      <c r="D143">
        <v>0</v>
      </c>
      <c r="E143">
        <v>0</v>
      </c>
      <c r="F143">
        <v>0</v>
      </c>
      <c r="G143">
        <v>0</v>
      </c>
      <c r="H143">
        <v>0</v>
      </c>
      <c r="I143">
        <v>0</v>
      </c>
      <c r="J143">
        <v>1697.7</v>
      </c>
    </row>
    <row r="144" spans="1:10" x14ac:dyDescent="0.3">
      <c r="A144" t="s">
        <v>278</v>
      </c>
      <c r="B144">
        <v>5900</v>
      </c>
      <c r="C144">
        <v>0</v>
      </c>
      <c r="D144">
        <v>0</v>
      </c>
      <c r="E144">
        <v>0</v>
      </c>
      <c r="F144">
        <v>0</v>
      </c>
      <c r="G144">
        <v>0</v>
      </c>
      <c r="H144">
        <v>0</v>
      </c>
      <c r="I144">
        <v>0</v>
      </c>
      <c r="J144">
        <v>1797.3</v>
      </c>
    </row>
    <row r="145" spans="1:10" x14ac:dyDescent="0.3">
      <c r="A145" t="s">
        <v>278</v>
      </c>
      <c r="B145">
        <v>6000</v>
      </c>
      <c r="C145">
        <v>0</v>
      </c>
      <c r="D145">
        <v>0</v>
      </c>
      <c r="E145">
        <v>0</v>
      </c>
      <c r="F145">
        <v>0</v>
      </c>
      <c r="G145">
        <v>0</v>
      </c>
      <c r="H145">
        <v>0</v>
      </c>
      <c r="I145">
        <v>0</v>
      </c>
      <c r="J145">
        <v>1896.9</v>
      </c>
    </row>
    <row r="146" spans="1:10" x14ac:dyDescent="0.3">
      <c r="A146" t="s">
        <v>278</v>
      </c>
      <c r="B146">
        <v>7000</v>
      </c>
      <c r="C146">
        <v>0</v>
      </c>
      <c r="D146">
        <v>0</v>
      </c>
      <c r="E146">
        <v>0</v>
      </c>
      <c r="F146">
        <v>0</v>
      </c>
      <c r="G146">
        <v>0</v>
      </c>
      <c r="H146">
        <v>0</v>
      </c>
      <c r="I146">
        <v>0</v>
      </c>
      <c r="J146">
        <v>2893.7</v>
      </c>
    </row>
    <row r="147" spans="1:10" x14ac:dyDescent="0.3">
      <c r="A147" t="s">
        <v>278</v>
      </c>
      <c r="B147">
        <v>8000</v>
      </c>
      <c r="C147">
        <v>0</v>
      </c>
      <c r="D147">
        <v>0</v>
      </c>
      <c r="E147">
        <v>0</v>
      </c>
      <c r="F147">
        <v>0</v>
      </c>
      <c r="G147">
        <v>0</v>
      </c>
      <c r="H147">
        <v>0</v>
      </c>
      <c r="I147">
        <v>0</v>
      </c>
      <c r="J147">
        <v>3890.5</v>
      </c>
    </row>
    <row r="148" spans="1:10" x14ac:dyDescent="0.3">
      <c r="A148" t="s">
        <v>278</v>
      </c>
      <c r="B148">
        <v>9000</v>
      </c>
      <c r="C148">
        <v>0</v>
      </c>
      <c r="D148">
        <v>0</v>
      </c>
      <c r="E148">
        <v>0</v>
      </c>
      <c r="F148">
        <v>0</v>
      </c>
      <c r="G148">
        <v>0</v>
      </c>
      <c r="H148">
        <v>0</v>
      </c>
      <c r="I148">
        <v>0</v>
      </c>
      <c r="J148">
        <v>4887.3999999999996</v>
      </c>
    </row>
    <row r="149" spans="1:10" x14ac:dyDescent="0.3">
      <c r="A149" t="s">
        <v>278</v>
      </c>
      <c r="B149">
        <v>10000</v>
      </c>
      <c r="C149">
        <v>0</v>
      </c>
      <c r="D149">
        <v>0</v>
      </c>
      <c r="E149">
        <v>0</v>
      </c>
      <c r="F149">
        <v>0</v>
      </c>
      <c r="G149">
        <v>0</v>
      </c>
      <c r="H149">
        <v>0</v>
      </c>
      <c r="I149">
        <v>0</v>
      </c>
      <c r="J149">
        <v>5884.2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6FD19-0AE0-4816-A6D2-6B1AE845941D}">
  <dimension ref="A1:J169"/>
  <sheetViews>
    <sheetView workbookViewId="0">
      <selection activeCell="E91" sqref="E91"/>
    </sheetView>
  </sheetViews>
  <sheetFormatPr baseColWidth="10" defaultColWidth="8.88671875" defaultRowHeight="14.4" x14ac:dyDescent="0.3"/>
  <sheetData>
    <row r="1" spans="1:10" x14ac:dyDescent="0.3">
      <c r="A1" s="138" t="s">
        <v>277</v>
      </c>
      <c r="B1" s="138" t="s">
        <v>276</v>
      </c>
      <c r="C1" s="138" t="s">
        <v>275</v>
      </c>
      <c r="D1" s="138" t="s">
        <v>274</v>
      </c>
      <c r="E1" s="138" t="s">
        <v>273</v>
      </c>
      <c r="F1" s="138" t="s">
        <v>272</v>
      </c>
      <c r="G1" s="138" t="s">
        <v>271</v>
      </c>
      <c r="H1" s="138" t="s">
        <v>270</v>
      </c>
      <c r="I1" s="138" t="s">
        <v>269</v>
      </c>
      <c r="J1" s="138" t="s">
        <v>268</v>
      </c>
    </row>
    <row r="2" spans="1:10" x14ac:dyDescent="0.3">
      <c r="A2" t="s">
        <v>267</v>
      </c>
      <c r="B2">
        <v>100</v>
      </c>
      <c r="C2">
        <v>0</v>
      </c>
      <c r="D2">
        <v>0</v>
      </c>
      <c r="E2">
        <v>7862</v>
      </c>
      <c r="F2">
        <v>0</v>
      </c>
      <c r="G2">
        <v>0</v>
      </c>
      <c r="H2">
        <v>0</v>
      </c>
      <c r="I2">
        <v>0</v>
      </c>
      <c r="J2">
        <v>3919.9</v>
      </c>
    </row>
    <row r="3" spans="1:10" x14ac:dyDescent="0.3">
      <c r="A3" t="s">
        <v>267</v>
      </c>
      <c r="B3">
        <v>400</v>
      </c>
      <c r="C3">
        <v>0</v>
      </c>
      <c r="D3">
        <v>0</v>
      </c>
      <c r="E3">
        <v>107</v>
      </c>
      <c r="F3">
        <v>0</v>
      </c>
      <c r="G3">
        <v>0</v>
      </c>
      <c r="H3">
        <v>0</v>
      </c>
      <c r="I3">
        <v>0</v>
      </c>
      <c r="J3">
        <v>3621.7</v>
      </c>
    </row>
    <row r="4" spans="1:10" x14ac:dyDescent="0.3">
      <c r="A4" t="s">
        <v>267</v>
      </c>
      <c r="B4">
        <v>500</v>
      </c>
      <c r="C4">
        <v>0</v>
      </c>
      <c r="D4">
        <v>0</v>
      </c>
      <c r="E4">
        <v>3135</v>
      </c>
      <c r="F4">
        <v>0</v>
      </c>
      <c r="G4">
        <v>0</v>
      </c>
      <c r="H4">
        <v>0</v>
      </c>
      <c r="I4">
        <v>0</v>
      </c>
      <c r="J4">
        <v>3522.3</v>
      </c>
    </row>
    <row r="5" spans="1:10" x14ac:dyDescent="0.3">
      <c r="A5" t="s">
        <v>267</v>
      </c>
      <c r="B5">
        <v>600</v>
      </c>
      <c r="C5">
        <v>0</v>
      </c>
      <c r="D5">
        <v>0</v>
      </c>
      <c r="E5">
        <v>8</v>
      </c>
      <c r="F5">
        <v>0</v>
      </c>
      <c r="G5">
        <v>0</v>
      </c>
      <c r="H5">
        <v>0</v>
      </c>
      <c r="I5">
        <v>0</v>
      </c>
      <c r="J5">
        <v>3422.9</v>
      </c>
    </row>
    <row r="6" spans="1:10" x14ac:dyDescent="0.3">
      <c r="A6" t="s">
        <v>267</v>
      </c>
      <c r="B6">
        <v>700</v>
      </c>
      <c r="C6">
        <v>0</v>
      </c>
      <c r="D6">
        <v>0</v>
      </c>
      <c r="E6">
        <v>0</v>
      </c>
      <c r="F6">
        <v>0</v>
      </c>
      <c r="G6">
        <v>0</v>
      </c>
      <c r="H6">
        <v>0</v>
      </c>
      <c r="I6">
        <v>0</v>
      </c>
      <c r="J6">
        <v>3323.5</v>
      </c>
    </row>
    <row r="7" spans="1:10" x14ac:dyDescent="0.3">
      <c r="A7" t="s">
        <v>267</v>
      </c>
      <c r="B7">
        <v>800</v>
      </c>
      <c r="C7">
        <v>0</v>
      </c>
      <c r="D7">
        <v>2552</v>
      </c>
      <c r="E7">
        <v>7217</v>
      </c>
      <c r="F7">
        <v>0</v>
      </c>
      <c r="G7">
        <v>0</v>
      </c>
      <c r="H7">
        <v>0</v>
      </c>
      <c r="I7">
        <v>0</v>
      </c>
      <c r="J7">
        <v>3224.1</v>
      </c>
    </row>
    <row r="8" spans="1:10" x14ac:dyDescent="0.3">
      <c r="A8" t="s">
        <v>267</v>
      </c>
      <c r="B8">
        <v>900</v>
      </c>
      <c r="C8">
        <v>0</v>
      </c>
      <c r="D8">
        <v>0</v>
      </c>
      <c r="E8">
        <v>0</v>
      </c>
      <c r="F8">
        <v>0</v>
      </c>
      <c r="G8">
        <v>0</v>
      </c>
      <c r="H8">
        <v>0</v>
      </c>
      <c r="I8">
        <v>0</v>
      </c>
      <c r="J8">
        <v>3124.8</v>
      </c>
    </row>
    <row r="9" spans="1:10" x14ac:dyDescent="0.3">
      <c r="A9" t="s">
        <v>267</v>
      </c>
      <c r="B9">
        <v>1000</v>
      </c>
      <c r="C9">
        <v>0</v>
      </c>
      <c r="D9">
        <v>0</v>
      </c>
      <c r="E9">
        <v>108478</v>
      </c>
      <c r="F9">
        <v>0</v>
      </c>
      <c r="G9">
        <v>0</v>
      </c>
      <c r="H9">
        <v>0</v>
      </c>
      <c r="I9">
        <v>0</v>
      </c>
      <c r="J9">
        <v>3025.4</v>
      </c>
    </row>
    <row r="10" spans="1:10" x14ac:dyDescent="0.3">
      <c r="A10" t="s">
        <v>267</v>
      </c>
      <c r="B10">
        <v>1050</v>
      </c>
      <c r="C10">
        <v>0</v>
      </c>
      <c r="D10">
        <v>0</v>
      </c>
      <c r="E10">
        <v>0</v>
      </c>
      <c r="F10">
        <v>0</v>
      </c>
      <c r="G10">
        <v>0</v>
      </c>
      <c r="H10">
        <v>0</v>
      </c>
      <c r="I10">
        <v>0</v>
      </c>
      <c r="J10">
        <v>2975.7</v>
      </c>
    </row>
    <row r="11" spans="1:10" x14ac:dyDescent="0.3">
      <c r="A11" t="s">
        <v>267</v>
      </c>
      <c r="B11">
        <v>1100</v>
      </c>
      <c r="C11">
        <v>0</v>
      </c>
      <c r="D11">
        <v>0</v>
      </c>
      <c r="E11">
        <v>400</v>
      </c>
      <c r="F11">
        <v>0</v>
      </c>
      <c r="G11">
        <v>0</v>
      </c>
      <c r="H11">
        <v>0</v>
      </c>
      <c r="I11">
        <v>0</v>
      </c>
      <c r="J11">
        <v>2926</v>
      </c>
    </row>
    <row r="12" spans="1:10" x14ac:dyDescent="0.3">
      <c r="A12" t="s">
        <v>267</v>
      </c>
      <c r="B12">
        <v>1150</v>
      </c>
      <c r="C12">
        <v>0</v>
      </c>
      <c r="D12">
        <v>0</v>
      </c>
      <c r="E12">
        <v>0</v>
      </c>
      <c r="F12">
        <v>0</v>
      </c>
      <c r="G12">
        <v>0</v>
      </c>
      <c r="H12">
        <v>0</v>
      </c>
      <c r="I12">
        <v>0</v>
      </c>
      <c r="J12">
        <v>2876.3</v>
      </c>
    </row>
    <row r="13" spans="1:10" x14ac:dyDescent="0.3">
      <c r="A13" t="s">
        <v>267</v>
      </c>
      <c r="B13">
        <v>1200</v>
      </c>
      <c r="C13">
        <v>0</v>
      </c>
      <c r="D13">
        <v>0</v>
      </c>
      <c r="E13">
        <v>151</v>
      </c>
      <c r="F13">
        <v>0</v>
      </c>
      <c r="G13">
        <v>0</v>
      </c>
      <c r="H13">
        <v>0</v>
      </c>
      <c r="I13">
        <v>0</v>
      </c>
      <c r="J13">
        <v>2826.6</v>
      </c>
    </row>
    <row r="14" spans="1:10" x14ac:dyDescent="0.3">
      <c r="A14" t="s">
        <v>267</v>
      </c>
      <c r="B14">
        <v>1250</v>
      </c>
      <c r="C14">
        <v>0</v>
      </c>
      <c r="D14">
        <v>0</v>
      </c>
      <c r="E14">
        <v>0</v>
      </c>
      <c r="F14">
        <v>0</v>
      </c>
      <c r="G14">
        <v>0</v>
      </c>
      <c r="H14">
        <v>0</v>
      </c>
      <c r="I14">
        <v>0</v>
      </c>
      <c r="J14">
        <v>2776.9</v>
      </c>
    </row>
    <row r="15" spans="1:10" x14ac:dyDescent="0.3">
      <c r="A15" t="s">
        <v>267</v>
      </c>
      <c r="B15">
        <v>1300</v>
      </c>
      <c r="C15">
        <v>0</v>
      </c>
      <c r="D15">
        <v>0</v>
      </c>
      <c r="E15">
        <v>100</v>
      </c>
      <c r="F15">
        <v>0</v>
      </c>
      <c r="G15">
        <v>0</v>
      </c>
      <c r="H15">
        <v>0</v>
      </c>
      <c r="I15">
        <v>0</v>
      </c>
      <c r="J15">
        <v>2727.2</v>
      </c>
    </row>
    <row r="16" spans="1:10" x14ac:dyDescent="0.3">
      <c r="A16" t="s">
        <v>267</v>
      </c>
      <c r="B16">
        <v>1350</v>
      </c>
      <c r="C16">
        <v>0</v>
      </c>
      <c r="D16">
        <v>0</v>
      </c>
      <c r="E16">
        <v>0</v>
      </c>
      <c r="F16">
        <v>0</v>
      </c>
      <c r="G16">
        <v>0</v>
      </c>
      <c r="H16">
        <v>0</v>
      </c>
      <c r="I16">
        <v>0</v>
      </c>
      <c r="J16">
        <v>2677.5</v>
      </c>
    </row>
    <row r="17" spans="1:10" x14ac:dyDescent="0.3">
      <c r="A17" t="s">
        <v>267</v>
      </c>
      <c r="B17">
        <v>1400</v>
      </c>
      <c r="C17">
        <v>0</v>
      </c>
      <c r="D17">
        <v>0</v>
      </c>
      <c r="E17">
        <v>189</v>
      </c>
      <c r="F17">
        <v>0</v>
      </c>
      <c r="G17">
        <v>0</v>
      </c>
      <c r="H17">
        <v>0</v>
      </c>
      <c r="I17">
        <v>0</v>
      </c>
      <c r="J17">
        <v>2627.9</v>
      </c>
    </row>
    <row r="18" spans="1:10" x14ac:dyDescent="0.3">
      <c r="A18" t="s">
        <v>267</v>
      </c>
      <c r="B18">
        <v>1450</v>
      </c>
      <c r="C18">
        <v>0</v>
      </c>
      <c r="D18">
        <v>0</v>
      </c>
      <c r="E18">
        <v>0</v>
      </c>
      <c r="F18">
        <v>0</v>
      </c>
      <c r="G18">
        <v>0</v>
      </c>
      <c r="H18">
        <v>0</v>
      </c>
      <c r="I18">
        <v>0</v>
      </c>
      <c r="J18">
        <v>2578.1999999999998</v>
      </c>
    </row>
    <row r="19" spans="1:10" x14ac:dyDescent="0.3">
      <c r="A19" t="s">
        <v>267</v>
      </c>
      <c r="B19">
        <v>1500</v>
      </c>
      <c r="C19">
        <v>0</v>
      </c>
      <c r="D19">
        <v>0</v>
      </c>
      <c r="E19">
        <v>87</v>
      </c>
      <c r="F19">
        <v>0</v>
      </c>
      <c r="G19">
        <v>0</v>
      </c>
      <c r="H19">
        <v>0</v>
      </c>
      <c r="I19">
        <v>0</v>
      </c>
      <c r="J19">
        <v>2528.6</v>
      </c>
    </row>
    <row r="20" spans="1:10" x14ac:dyDescent="0.3">
      <c r="A20" t="s">
        <v>267</v>
      </c>
      <c r="B20">
        <v>1550</v>
      </c>
      <c r="C20">
        <v>0</v>
      </c>
      <c r="D20">
        <v>0</v>
      </c>
      <c r="E20">
        <v>0</v>
      </c>
      <c r="F20">
        <v>0</v>
      </c>
      <c r="G20">
        <v>0</v>
      </c>
      <c r="H20">
        <v>0</v>
      </c>
      <c r="I20">
        <v>0</v>
      </c>
      <c r="J20">
        <v>2478.9</v>
      </c>
    </row>
    <row r="21" spans="1:10" x14ac:dyDescent="0.3">
      <c r="A21" t="s">
        <v>267</v>
      </c>
      <c r="B21">
        <v>1600</v>
      </c>
      <c r="C21">
        <v>0</v>
      </c>
      <c r="D21">
        <v>0</v>
      </c>
      <c r="E21">
        <v>250</v>
      </c>
      <c r="F21">
        <v>0</v>
      </c>
      <c r="G21">
        <v>0</v>
      </c>
      <c r="H21">
        <v>0</v>
      </c>
      <c r="I21">
        <v>0</v>
      </c>
      <c r="J21">
        <v>2429.1999999999998</v>
      </c>
    </row>
    <row r="22" spans="1:10" x14ac:dyDescent="0.3">
      <c r="A22" t="s">
        <v>267</v>
      </c>
      <c r="B22">
        <v>1650</v>
      </c>
      <c r="C22">
        <v>0</v>
      </c>
      <c r="D22">
        <v>0</v>
      </c>
      <c r="E22">
        <v>0</v>
      </c>
      <c r="F22">
        <v>0</v>
      </c>
      <c r="G22">
        <v>0</v>
      </c>
      <c r="H22">
        <v>0</v>
      </c>
      <c r="I22">
        <v>0</v>
      </c>
      <c r="J22">
        <v>2379.6</v>
      </c>
    </row>
    <row r="23" spans="1:10" x14ac:dyDescent="0.3">
      <c r="A23" t="s">
        <v>267</v>
      </c>
      <c r="B23">
        <v>1700</v>
      </c>
      <c r="C23">
        <v>0</v>
      </c>
      <c r="D23">
        <v>0</v>
      </c>
      <c r="E23">
        <v>0</v>
      </c>
      <c r="F23">
        <v>0</v>
      </c>
      <c r="G23">
        <v>0</v>
      </c>
      <c r="H23">
        <v>0</v>
      </c>
      <c r="I23">
        <v>0</v>
      </c>
      <c r="J23">
        <v>2329.9</v>
      </c>
    </row>
    <row r="24" spans="1:10" x14ac:dyDescent="0.3">
      <c r="A24" t="s">
        <v>267</v>
      </c>
      <c r="B24">
        <v>1750</v>
      </c>
      <c r="C24">
        <v>0</v>
      </c>
      <c r="D24">
        <v>0</v>
      </c>
      <c r="E24">
        <v>0</v>
      </c>
      <c r="F24">
        <v>0</v>
      </c>
      <c r="G24">
        <v>0</v>
      </c>
      <c r="H24">
        <v>0</v>
      </c>
      <c r="I24">
        <v>0</v>
      </c>
      <c r="J24">
        <v>2280.3000000000002</v>
      </c>
    </row>
    <row r="25" spans="1:10" x14ac:dyDescent="0.3">
      <c r="A25" t="s">
        <v>267</v>
      </c>
      <c r="B25">
        <v>1800</v>
      </c>
      <c r="C25">
        <v>0</v>
      </c>
      <c r="D25">
        <v>0</v>
      </c>
      <c r="E25">
        <v>186</v>
      </c>
      <c r="F25">
        <v>0</v>
      </c>
      <c r="G25">
        <v>0</v>
      </c>
      <c r="H25">
        <v>0</v>
      </c>
      <c r="I25">
        <v>0</v>
      </c>
      <c r="J25">
        <v>2230.6</v>
      </c>
    </row>
    <row r="26" spans="1:10" x14ac:dyDescent="0.3">
      <c r="A26" t="s">
        <v>267</v>
      </c>
      <c r="B26">
        <v>1850</v>
      </c>
      <c r="C26">
        <v>0</v>
      </c>
      <c r="D26">
        <v>0</v>
      </c>
      <c r="E26">
        <v>0</v>
      </c>
      <c r="F26">
        <v>0</v>
      </c>
      <c r="G26">
        <v>0</v>
      </c>
      <c r="H26">
        <v>0</v>
      </c>
      <c r="I26">
        <v>0</v>
      </c>
      <c r="J26">
        <v>2181</v>
      </c>
    </row>
    <row r="27" spans="1:10" x14ac:dyDescent="0.3">
      <c r="A27" t="s">
        <v>267</v>
      </c>
      <c r="B27">
        <v>1900</v>
      </c>
      <c r="C27">
        <v>0</v>
      </c>
      <c r="D27">
        <v>0</v>
      </c>
      <c r="E27">
        <v>5</v>
      </c>
      <c r="F27">
        <v>0</v>
      </c>
      <c r="G27">
        <v>0</v>
      </c>
      <c r="H27">
        <v>0</v>
      </c>
      <c r="I27">
        <v>0</v>
      </c>
      <c r="J27">
        <v>2131.4</v>
      </c>
    </row>
    <row r="28" spans="1:10" x14ac:dyDescent="0.3">
      <c r="A28" t="s">
        <v>267</v>
      </c>
      <c r="B28">
        <v>1950</v>
      </c>
      <c r="C28">
        <v>0</v>
      </c>
      <c r="D28">
        <v>0</v>
      </c>
      <c r="E28">
        <v>0</v>
      </c>
      <c r="F28">
        <v>0</v>
      </c>
      <c r="G28">
        <v>0</v>
      </c>
      <c r="H28">
        <v>0</v>
      </c>
      <c r="I28">
        <v>0</v>
      </c>
      <c r="J28">
        <v>2081.8000000000002</v>
      </c>
    </row>
    <row r="29" spans="1:10" x14ac:dyDescent="0.3">
      <c r="A29" t="s">
        <v>267</v>
      </c>
      <c r="B29">
        <v>2000</v>
      </c>
      <c r="C29">
        <v>0</v>
      </c>
      <c r="D29">
        <v>1</v>
      </c>
      <c r="E29">
        <v>4599</v>
      </c>
      <c r="F29">
        <v>2053</v>
      </c>
      <c r="G29">
        <v>2053</v>
      </c>
      <c r="H29">
        <v>2053</v>
      </c>
      <c r="I29">
        <v>2053</v>
      </c>
      <c r="J29">
        <v>2032.2</v>
      </c>
    </row>
    <row r="30" spans="1:10" x14ac:dyDescent="0.3">
      <c r="A30" t="s">
        <v>267</v>
      </c>
      <c r="B30">
        <v>2050</v>
      </c>
      <c r="C30">
        <v>0</v>
      </c>
      <c r="D30">
        <v>0</v>
      </c>
      <c r="E30">
        <v>0</v>
      </c>
      <c r="F30">
        <v>0</v>
      </c>
      <c r="G30">
        <v>0</v>
      </c>
      <c r="H30">
        <v>0</v>
      </c>
      <c r="I30">
        <v>0</v>
      </c>
      <c r="J30">
        <v>1982.6</v>
      </c>
    </row>
    <row r="31" spans="1:10" x14ac:dyDescent="0.3">
      <c r="A31" t="s">
        <v>267</v>
      </c>
      <c r="B31">
        <v>2100</v>
      </c>
      <c r="C31">
        <v>0</v>
      </c>
      <c r="D31">
        <v>0</v>
      </c>
      <c r="E31">
        <v>0</v>
      </c>
      <c r="F31">
        <v>0</v>
      </c>
      <c r="G31">
        <v>0</v>
      </c>
      <c r="H31">
        <v>0</v>
      </c>
      <c r="I31">
        <v>0</v>
      </c>
      <c r="J31">
        <v>1933</v>
      </c>
    </row>
    <row r="32" spans="1:10" x14ac:dyDescent="0.3">
      <c r="A32" t="s">
        <v>267</v>
      </c>
      <c r="B32">
        <v>2150</v>
      </c>
      <c r="C32">
        <v>0</v>
      </c>
      <c r="D32">
        <v>0</v>
      </c>
      <c r="E32">
        <v>27</v>
      </c>
      <c r="F32">
        <v>0</v>
      </c>
      <c r="G32">
        <v>0</v>
      </c>
      <c r="H32">
        <v>0</v>
      </c>
      <c r="I32">
        <v>0</v>
      </c>
      <c r="J32">
        <v>1883.4</v>
      </c>
    </row>
    <row r="33" spans="1:10" x14ac:dyDescent="0.3">
      <c r="A33" t="s">
        <v>267</v>
      </c>
      <c r="B33">
        <v>2175</v>
      </c>
      <c r="C33">
        <v>0</v>
      </c>
      <c r="D33">
        <v>0</v>
      </c>
      <c r="E33">
        <v>0</v>
      </c>
      <c r="F33">
        <v>0</v>
      </c>
      <c r="G33">
        <v>0</v>
      </c>
      <c r="H33">
        <v>0</v>
      </c>
      <c r="I33">
        <v>0</v>
      </c>
      <c r="J33">
        <v>1858.6</v>
      </c>
    </row>
    <row r="34" spans="1:10" x14ac:dyDescent="0.3">
      <c r="A34" t="s">
        <v>267</v>
      </c>
      <c r="B34">
        <v>2200</v>
      </c>
      <c r="C34">
        <v>0</v>
      </c>
      <c r="D34">
        <v>0</v>
      </c>
      <c r="E34">
        <v>2794</v>
      </c>
      <c r="F34">
        <v>0</v>
      </c>
      <c r="G34">
        <v>0</v>
      </c>
      <c r="H34">
        <v>0</v>
      </c>
      <c r="I34">
        <v>0</v>
      </c>
      <c r="J34">
        <v>1833.9</v>
      </c>
    </row>
    <row r="35" spans="1:10" x14ac:dyDescent="0.3">
      <c r="A35" t="s">
        <v>267</v>
      </c>
      <c r="B35">
        <v>2250</v>
      </c>
      <c r="C35">
        <v>0</v>
      </c>
      <c r="D35">
        <v>0</v>
      </c>
      <c r="E35">
        <v>0</v>
      </c>
      <c r="F35">
        <v>0</v>
      </c>
      <c r="G35">
        <v>0</v>
      </c>
      <c r="H35">
        <v>0</v>
      </c>
      <c r="I35">
        <v>0</v>
      </c>
      <c r="J35">
        <v>1784.3</v>
      </c>
    </row>
    <row r="36" spans="1:10" x14ac:dyDescent="0.3">
      <c r="A36" t="s">
        <v>267</v>
      </c>
      <c r="B36">
        <v>2275</v>
      </c>
      <c r="C36">
        <v>0</v>
      </c>
      <c r="D36">
        <v>0</v>
      </c>
      <c r="E36">
        <v>41</v>
      </c>
      <c r="F36">
        <v>0</v>
      </c>
      <c r="G36">
        <v>0</v>
      </c>
      <c r="H36">
        <v>0</v>
      </c>
      <c r="I36">
        <v>0</v>
      </c>
      <c r="J36">
        <v>1759.6</v>
      </c>
    </row>
    <row r="37" spans="1:10" x14ac:dyDescent="0.3">
      <c r="A37" t="s">
        <v>267</v>
      </c>
      <c r="B37">
        <v>2300</v>
      </c>
      <c r="C37">
        <v>0</v>
      </c>
      <c r="D37">
        <v>0</v>
      </c>
      <c r="E37">
        <v>1410</v>
      </c>
      <c r="F37">
        <v>0</v>
      </c>
      <c r="G37">
        <v>0</v>
      </c>
      <c r="H37">
        <v>0</v>
      </c>
      <c r="I37">
        <v>0</v>
      </c>
      <c r="J37">
        <v>1734.8</v>
      </c>
    </row>
    <row r="38" spans="1:10" x14ac:dyDescent="0.3">
      <c r="A38" t="s">
        <v>267</v>
      </c>
      <c r="B38">
        <v>2325</v>
      </c>
      <c r="C38">
        <v>0</v>
      </c>
      <c r="D38">
        <v>0</v>
      </c>
      <c r="E38">
        <v>18</v>
      </c>
      <c r="F38">
        <v>0</v>
      </c>
      <c r="G38">
        <v>0</v>
      </c>
      <c r="H38">
        <v>0</v>
      </c>
      <c r="I38">
        <v>0</v>
      </c>
      <c r="J38">
        <v>1710</v>
      </c>
    </row>
    <row r="39" spans="1:10" x14ac:dyDescent="0.3">
      <c r="A39" t="s">
        <v>267</v>
      </c>
      <c r="B39">
        <v>2350</v>
      </c>
      <c r="C39">
        <v>0</v>
      </c>
      <c r="D39">
        <v>0</v>
      </c>
      <c r="E39">
        <v>74</v>
      </c>
      <c r="F39">
        <v>0</v>
      </c>
      <c r="G39">
        <v>0</v>
      </c>
      <c r="H39">
        <v>0</v>
      </c>
      <c r="I39">
        <v>0</v>
      </c>
      <c r="J39">
        <v>1685.3</v>
      </c>
    </row>
    <row r="40" spans="1:10" x14ac:dyDescent="0.3">
      <c r="A40" t="s">
        <v>267</v>
      </c>
      <c r="B40">
        <v>2375</v>
      </c>
      <c r="C40">
        <v>0</v>
      </c>
      <c r="D40">
        <v>0</v>
      </c>
      <c r="E40">
        <v>0</v>
      </c>
      <c r="F40">
        <v>0</v>
      </c>
      <c r="G40">
        <v>0</v>
      </c>
      <c r="H40">
        <v>0</v>
      </c>
      <c r="I40">
        <v>0</v>
      </c>
      <c r="J40">
        <v>1660.5</v>
      </c>
    </row>
    <row r="41" spans="1:10" x14ac:dyDescent="0.3">
      <c r="A41" t="s">
        <v>267</v>
      </c>
      <c r="B41">
        <v>2400</v>
      </c>
      <c r="C41">
        <v>0</v>
      </c>
      <c r="D41">
        <v>0</v>
      </c>
      <c r="E41">
        <v>23001</v>
      </c>
      <c r="F41">
        <v>0</v>
      </c>
      <c r="G41">
        <v>0</v>
      </c>
      <c r="H41">
        <v>0</v>
      </c>
      <c r="I41">
        <v>0</v>
      </c>
      <c r="J41">
        <v>1635.8</v>
      </c>
    </row>
    <row r="42" spans="1:10" x14ac:dyDescent="0.3">
      <c r="A42" t="s">
        <v>267</v>
      </c>
      <c r="B42">
        <v>2425</v>
      </c>
      <c r="C42">
        <v>0</v>
      </c>
      <c r="D42">
        <v>0</v>
      </c>
      <c r="E42">
        <v>0</v>
      </c>
      <c r="F42">
        <v>0</v>
      </c>
      <c r="G42">
        <v>0</v>
      </c>
      <c r="H42">
        <v>0</v>
      </c>
      <c r="I42">
        <v>0</v>
      </c>
      <c r="J42">
        <v>1611.1</v>
      </c>
    </row>
    <row r="43" spans="1:10" x14ac:dyDescent="0.3">
      <c r="A43" t="s">
        <v>267</v>
      </c>
      <c r="B43">
        <v>2450</v>
      </c>
      <c r="C43">
        <v>0</v>
      </c>
      <c r="D43">
        <v>0</v>
      </c>
      <c r="E43">
        <v>0</v>
      </c>
      <c r="F43">
        <v>0</v>
      </c>
      <c r="G43">
        <v>0</v>
      </c>
      <c r="H43">
        <v>0</v>
      </c>
      <c r="I43">
        <v>0</v>
      </c>
      <c r="J43">
        <v>1586.3</v>
      </c>
    </row>
    <row r="44" spans="1:10" x14ac:dyDescent="0.3">
      <c r="A44" t="s">
        <v>267</v>
      </c>
      <c r="B44">
        <v>2475</v>
      </c>
      <c r="C44">
        <v>0</v>
      </c>
      <c r="D44">
        <v>0</v>
      </c>
      <c r="E44">
        <v>0</v>
      </c>
      <c r="F44">
        <v>0</v>
      </c>
      <c r="G44">
        <v>0</v>
      </c>
      <c r="H44">
        <v>0</v>
      </c>
      <c r="I44">
        <v>0</v>
      </c>
      <c r="J44">
        <v>1561.6</v>
      </c>
    </row>
    <row r="45" spans="1:10" x14ac:dyDescent="0.3">
      <c r="A45" t="s">
        <v>267</v>
      </c>
      <c r="B45">
        <v>2500</v>
      </c>
      <c r="C45">
        <v>0</v>
      </c>
      <c r="D45">
        <v>0</v>
      </c>
      <c r="E45">
        <v>35127</v>
      </c>
      <c r="F45">
        <v>0</v>
      </c>
      <c r="G45">
        <v>0</v>
      </c>
      <c r="H45">
        <v>0</v>
      </c>
      <c r="I45">
        <v>0</v>
      </c>
      <c r="J45">
        <v>1536.9</v>
      </c>
    </row>
    <row r="46" spans="1:10" x14ac:dyDescent="0.3">
      <c r="A46" t="s">
        <v>267</v>
      </c>
      <c r="B46">
        <v>2525</v>
      </c>
      <c r="C46">
        <v>0</v>
      </c>
      <c r="D46">
        <v>0</v>
      </c>
      <c r="E46">
        <v>0</v>
      </c>
      <c r="F46">
        <v>0</v>
      </c>
      <c r="G46">
        <v>0</v>
      </c>
      <c r="H46">
        <v>0</v>
      </c>
      <c r="I46">
        <v>0</v>
      </c>
      <c r="J46">
        <v>1512.2</v>
      </c>
    </row>
    <row r="47" spans="1:10" x14ac:dyDescent="0.3">
      <c r="A47" t="s">
        <v>267</v>
      </c>
      <c r="B47">
        <v>2550</v>
      </c>
      <c r="C47">
        <v>0</v>
      </c>
      <c r="D47">
        <v>0</v>
      </c>
      <c r="E47">
        <v>0</v>
      </c>
      <c r="F47">
        <v>0</v>
      </c>
      <c r="G47">
        <v>0</v>
      </c>
      <c r="H47">
        <v>0</v>
      </c>
      <c r="I47">
        <v>0</v>
      </c>
      <c r="J47">
        <v>1487.5</v>
      </c>
    </row>
    <row r="48" spans="1:10" x14ac:dyDescent="0.3">
      <c r="A48" t="s">
        <v>267</v>
      </c>
      <c r="B48">
        <v>2575</v>
      </c>
      <c r="C48">
        <v>0</v>
      </c>
      <c r="D48">
        <v>0</v>
      </c>
      <c r="E48">
        <v>0</v>
      </c>
      <c r="F48">
        <v>0</v>
      </c>
      <c r="G48">
        <v>0</v>
      </c>
      <c r="H48">
        <v>0</v>
      </c>
      <c r="I48">
        <v>0</v>
      </c>
      <c r="J48">
        <v>1462.7</v>
      </c>
    </row>
    <row r="49" spans="1:10" x14ac:dyDescent="0.3">
      <c r="A49" t="s">
        <v>267</v>
      </c>
      <c r="B49">
        <v>2600</v>
      </c>
      <c r="C49">
        <v>0</v>
      </c>
      <c r="D49">
        <v>1152</v>
      </c>
      <c r="E49">
        <v>55482</v>
      </c>
      <c r="F49">
        <v>0</v>
      </c>
      <c r="G49">
        <v>0</v>
      </c>
      <c r="H49">
        <v>0</v>
      </c>
      <c r="I49">
        <v>0</v>
      </c>
      <c r="J49">
        <v>1438.1</v>
      </c>
    </row>
    <row r="50" spans="1:10" x14ac:dyDescent="0.3">
      <c r="A50" t="s">
        <v>267</v>
      </c>
      <c r="B50">
        <v>2625</v>
      </c>
      <c r="C50">
        <v>0</v>
      </c>
      <c r="D50">
        <v>0</v>
      </c>
      <c r="E50">
        <v>0</v>
      </c>
      <c r="F50">
        <v>0</v>
      </c>
      <c r="G50">
        <v>0</v>
      </c>
      <c r="H50">
        <v>0</v>
      </c>
      <c r="I50">
        <v>0</v>
      </c>
      <c r="J50">
        <v>1413.4</v>
      </c>
    </row>
    <row r="51" spans="1:10" x14ac:dyDescent="0.3">
      <c r="A51" t="s">
        <v>267</v>
      </c>
      <c r="B51">
        <v>2650</v>
      </c>
      <c r="C51">
        <v>0</v>
      </c>
      <c r="D51">
        <v>0</v>
      </c>
      <c r="E51">
        <v>0</v>
      </c>
      <c r="F51">
        <v>0</v>
      </c>
      <c r="G51">
        <v>0</v>
      </c>
      <c r="H51">
        <v>0</v>
      </c>
      <c r="I51">
        <v>0</v>
      </c>
      <c r="J51">
        <v>1388.7</v>
      </c>
    </row>
    <row r="52" spans="1:10" x14ac:dyDescent="0.3">
      <c r="A52" t="s">
        <v>267</v>
      </c>
      <c r="B52">
        <v>2675</v>
      </c>
      <c r="C52">
        <v>0</v>
      </c>
      <c r="D52">
        <v>0</v>
      </c>
      <c r="E52">
        <v>0</v>
      </c>
      <c r="F52">
        <v>0</v>
      </c>
      <c r="G52">
        <v>0</v>
      </c>
      <c r="H52">
        <v>0</v>
      </c>
      <c r="I52">
        <v>0</v>
      </c>
      <c r="J52">
        <v>1364</v>
      </c>
    </row>
    <row r="53" spans="1:10" x14ac:dyDescent="0.3">
      <c r="A53" t="s">
        <v>267</v>
      </c>
      <c r="B53">
        <v>2700</v>
      </c>
      <c r="C53">
        <v>0</v>
      </c>
      <c r="D53">
        <v>1400</v>
      </c>
      <c r="E53">
        <v>25183</v>
      </c>
      <c r="F53">
        <v>0</v>
      </c>
      <c r="G53">
        <v>0</v>
      </c>
      <c r="H53">
        <v>0</v>
      </c>
      <c r="I53">
        <v>0</v>
      </c>
      <c r="J53">
        <v>1339.3</v>
      </c>
    </row>
    <row r="54" spans="1:10" x14ac:dyDescent="0.3">
      <c r="A54" t="s">
        <v>267</v>
      </c>
      <c r="B54">
        <v>2725</v>
      </c>
      <c r="C54">
        <v>0</v>
      </c>
      <c r="D54">
        <v>0</v>
      </c>
      <c r="E54">
        <v>46</v>
      </c>
      <c r="F54">
        <v>0</v>
      </c>
      <c r="G54">
        <v>0</v>
      </c>
      <c r="H54">
        <v>0</v>
      </c>
      <c r="I54">
        <v>0</v>
      </c>
      <c r="J54">
        <v>1314.7</v>
      </c>
    </row>
    <row r="55" spans="1:10" x14ac:dyDescent="0.3">
      <c r="A55" t="s">
        <v>267</v>
      </c>
      <c r="B55">
        <v>2750</v>
      </c>
      <c r="C55">
        <v>0</v>
      </c>
      <c r="D55">
        <v>0</v>
      </c>
      <c r="E55">
        <v>106</v>
      </c>
      <c r="F55">
        <v>0</v>
      </c>
      <c r="G55">
        <v>0</v>
      </c>
      <c r="H55">
        <v>0</v>
      </c>
      <c r="I55">
        <v>0</v>
      </c>
      <c r="J55">
        <v>1290</v>
      </c>
    </row>
    <row r="56" spans="1:10" x14ac:dyDescent="0.3">
      <c r="A56" t="s">
        <v>267</v>
      </c>
      <c r="B56">
        <v>2775</v>
      </c>
      <c r="C56">
        <v>0</v>
      </c>
      <c r="D56">
        <v>0</v>
      </c>
      <c r="E56">
        <v>0</v>
      </c>
      <c r="F56">
        <v>0</v>
      </c>
      <c r="G56">
        <v>0</v>
      </c>
      <c r="H56">
        <v>0</v>
      </c>
      <c r="I56">
        <v>0</v>
      </c>
      <c r="J56">
        <v>1265.4000000000001</v>
      </c>
    </row>
    <row r="57" spans="1:10" x14ac:dyDescent="0.3">
      <c r="A57" t="s">
        <v>267</v>
      </c>
      <c r="B57">
        <v>2800</v>
      </c>
      <c r="C57">
        <v>0</v>
      </c>
      <c r="D57">
        <v>2</v>
      </c>
      <c r="E57">
        <v>52076</v>
      </c>
      <c r="F57">
        <v>1260.9000000000001</v>
      </c>
      <c r="G57">
        <v>1260.9000000000001</v>
      </c>
      <c r="H57">
        <v>1251.8</v>
      </c>
      <c r="I57">
        <v>1251.8</v>
      </c>
      <c r="J57">
        <v>1240.8</v>
      </c>
    </row>
    <row r="58" spans="1:10" x14ac:dyDescent="0.3">
      <c r="A58" t="s">
        <v>267</v>
      </c>
      <c r="B58">
        <v>2825</v>
      </c>
      <c r="C58">
        <v>0</v>
      </c>
      <c r="D58">
        <v>0</v>
      </c>
      <c r="E58">
        <v>33</v>
      </c>
      <c r="F58">
        <v>0</v>
      </c>
      <c r="G58">
        <v>0</v>
      </c>
      <c r="H58">
        <v>0</v>
      </c>
      <c r="I58">
        <v>0</v>
      </c>
      <c r="J58">
        <v>1216.0999999999999</v>
      </c>
    </row>
    <row r="59" spans="1:10" x14ac:dyDescent="0.3">
      <c r="A59" t="s">
        <v>267</v>
      </c>
      <c r="B59">
        <v>2850</v>
      </c>
      <c r="C59">
        <v>0</v>
      </c>
      <c r="D59">
        <v>0</v>
      </c>
      <c r="E59">
        <v>23</v>
      </c>
      <c r="F59">
        <v>0</v>
      </c>
      <c r="G59">
        <v>0</v>
      </c>
      <c r="H59">
        <v>0</v>
      </c>
      <c r="I59">
        <v>0</v>
      </c>
      <c r="J59">
        <v>1191.5</v>
      </c>
    </row>
    <row r="60" spans="1:10" x14ac:dyDescent="0.3">
      <c r="A60" t="s">
        <v>267</v>
      </c>
      <c r="B60">
        <v>2875</v>
      </c>
      <c r="C60">
        <v>0</v>
      </c>
      <c r="D60">
        <v>0</v>
      </c>
      <c r="E60">
        <v>125</v>
      </c>
      <c r="F60">
        <v>0</v>
      </c>
      <c r="G60">
        <v>0</v>
      </c>
      <c r="H60">
        <v>0</v>
      </c>
      <c r="I60">
        <v>0</v>
      </c>
      <c r="J60">
        <v>1166.9000000000001</v>
      </c>
    </row>
    <row r="61" spans="1:10" x14ac:dyDescent="0.3">
      <c r="A61" t="s">
        <v>267</v>
      </c>
      <c r="B61">
        <v>2900</v>
      </c>
      <c r="C61">
        <v>0</v>
      </c>
      <c r="D61">
        <v>0</v>
      </c>
      <c r="E61">
        <v>25943</v>
      </c>
      <c r="F61">
        <v>0</v>
      </c>
      <c r="G61">
        <v>0</v>
      </c>
      <c r="H61">
        <v>0</v>
      </c>
      <c r="I61">
        <v>0</v>
      </c>
      <c r="J61">
        <v>1142.3</v>
      </c>
    </row>
    <row r="62" spans="1:10" x14ac:dyDescent="0.3">
      <c r="A62" t="s">
        <v>267</v>
      </c>
      <c r="B62">
        <v>2925</v>
      </c>
      <c r="C62">
        <v>0</v>
      </c>
      <c r="D62">
        <v>0</v>
      </c>
      <c r="E62">
        <v>0</v>
      </c>
      <c r="F62">
        <v>0</v>
      </c>
      <c r="G62">
        <v>0</v>
      </c>
      <c r="H62">
        <v>0</v>
      </c>
      <c r="I62">
        <v>0</v>
      </c>
      <c r="J62">
        <v>1117.8</v>
      </c>
    </row>
    <row r="63" spans="1:10" x14ac:dyDescent="0.3">
      <c r="A63" t="s">
        <v>267</v>
      </c>
      <c r="B63">
        <v>2950</v>
      </c>
      <c r="C63">
        <v>0</v>
      </c>
      <c r="D63">
        <v>0</v>
      </c>
      <c r="E63">
        <v>0</v>
      </c>
      <c r="F63">
        <v>0</v>
      </c>
      <c r="G63">
        <v>0</v>
      </c>
      <c r="H63">
        <v>0</v>
      </c>
      <c r="I63">
        <v>0</v>
      </c>
      <c r="J63">
        <v>1093.2</v>
      </c>
    </row>
    <row r="64" spans="1:10" x14ac:dyDescent="0.3">
      <c r="A64" t="s">
        <v>267</v>
      </c>
      <c r="B64">
        <v>2975</v>
      </c>
      <c r="C64">
        <v>0</v>
      </c>
      <c r="D64">
        <v>0</v>
      </c>
      <c r="E64">
        <v>0</v>
      </c>
      <c r="F64">
        <v>0</v>
      </c>
      <c r="G64">
        <v>0</v>
      </c>
      <c r="H64">
        <v>0</v>
      </c>
      <c r="I64">
        <v>0</v>
      </c>
      <c r="J64">
        <v>1068.7</v>
      </c>
    </row>
    <row r="65" spans="1:10" x14ac:dyDescent="0.3">
      <c r="A65" t="s">
        <v>267</v>
      </c>
      <c r="B65">
        <v>3000</v>
      </c>
      <c r="C65">
        <v>0</v>
      </c>
      <c r="D65">
        <v>0</v>
      </c>
      <c r="E65">
        <v>140010</v>
      </c>
      <c r="F65">
        <v>0</v>
      </c>
      <c r="G65">
        <v>0</v>
      </c>
      <c r="H65">
        <v>0</v>
      </c>
      <c r="I65">
        <v>0</v>
      </c>
      <c r="J65">
        <v>1044.0999999999999</v>
      </c>
    </row>
    <row r="66" spans="1:10" x14ac:dyDescent="0.3">
      <c r="A66" t="s">
        <v>267</v>
      </c>
      <c r="B66">
        <v>3025</v>
      </c>
      <c r="C66">
        <v>0</v>
      </c>
      <c r="D66">
        <v>0</v>
      </c>
      <c r="E66">
        <v>0</v>
      </c>
      <c r="F66">
        <v>0</v>
      </c>
      <c r="G66">
        <v>0</v>
      </c>
      <c r="H66">
        <v>0</v>
      </c>
      <c r="I66">
        <v>0</v>
      </c>
      <c r="J66">
        <v>1019.7</v>
      </c>
    </row>
    <row r="67" spans="1:10" x14ac:dyDescent="0.3">
      <c r="A67" t="s">
        <v>267</v>
      </c>
      <c r="B67">
        <v>3050</v>
      </c>
      <c r="C67">
        <v>0</v>
      </c>
      <c r="D67">
        <v>0</v>
      </c>
      <c r="E67">
        <v>0</v>
      </c>
      <c r="F67">
        <v>0</v>
      </c>
      <c r="G67">
        <v>0</v>
      </c>
      <c r="H67">
        <v>0</v>
      </c>
      <c r="I67">
        <v>0</v>
      </c>
      <c r="J67">
        <v>995.2</v>
      </c>
    </row>
    <row r="68" spans="1:10" x14ac:dyDescent="0.3">
      <c r="A68" t="s">
        <v>267</v>
      </c>
      <c r="B68">
        <v>3075</v>
      </c>
      <c r="C68">
        <v>0</v>
      </c>
      <c r="D68">
        <v>0</v>
      </c>
      <c r="E68">
        <v>0</v>
      </c>
      <c r="F68">
        <v>0</v>
      </c>
      <c r="G68">
        <v>0</v>
      </c>
      <c r="H68">
        <v>0</v>
      </c>
      <c r="I68">
        <v>0</v>
      </c>
      <c r="J68">
        <v>970.7</v>
      </c>
    </row>
    <row r="69" spans="1:10" x14ac:dyDescent="0.3">
      <c r="A69" t="s">
        <v>267</v>
      </c>
      <c r="B69">
        <v>3100</v>
      </c>
      <c r="C69">
        <v>0</v>
      </c>
      <c r="D69">
        <v>0</v>
      </c>
      <c r="E69">
        <v>98726</v>
      </c>
      <c r="F69">
        <v>0</v>
      </c>
      <c r="G69">
        <v>0</v>
      </c>
      <c r="H69">
        <v>0</v>
      </c>
      <c r="I69">
        <v>0</v>
      </c>
      <c r="J69">
        <v>946.3</v>
      </c>
    </row>
    <row r="70" spans="1:10" x14ac:dyDescent="0.3">
      <c r="A70" t="s">
        <v>267</v>
      </c>
      <c r="B70">
        <v>3125</v>
      </c>
      <c r="C70">
        <v>0</v>
      </c>
      <c r="D70">
        <v>0</v>
      </c>
      <c r="E70">
        <v>99</v>
      </c>
      <c r="F70">
        <v>0</v>
      </c>
      <c r="G70">
        <v>0</v>
      </c>
      <c r="H70">
        <v>0</v>
      </c>
      <c r="I70">
        <v>0</v>
      </c>
      <c r="J70">
        <v>921.9</v>
      </c>
    </row>
    <row r="71" spans="1:10" x14ac:dyDescent="0.3">
      <c r="A71" t="s">
        <v>267</v>
      </c>
      <c r="B71">
        <v>3150</v>
      </c>
      <c r="C71">
        <v>0</v>
      </c>
      <c r="D71">
        <v>0</v>
      </c>
      <c r="E71">
        <v>177</v>
      </c>
      <c r="F71">
        <v>0</v>
      </c>
      <c r="G71">
        <v>0</v>
      </c>
      <c r="H71">
        <v>0</v>
      </c>
      <c r="I71">
        <v>0</v>
      </c>
      <c r="J71">
        <v>897.5</v>
      </c>
    </row>
    <row r="72" spans="1:10" x14ac:dyDescent="0.3">
      <c r="A72" t="s">
        <v>267</v>
      </c>
      <c r="B72">
        <v>3175</v>
      </c>
      <c r="C72">
        <v>0</v>
      </c>
      <c r="D72">
        <v>0</v>
      </c>
      <c r="E72">
        <v>0</v>
      </c>
      <c r="F72">
        <v>0</v>
      </c>
      <c r="G72">
        <v>0</v>
      </c>
      <c r="H72">
        <v>0</v>
      </c>
      <c r="I72">
        <v>0</v>
      </c>
      <c r="J72">
        <v>873.2</v>
      </c>
    </row>
    <row r="73" spans="1:10" x14ac:dyDescent="0.3">
      <c r="A73" t="s">
        <v>267</v>
      </c>
      <c r="B73">
        <v>3200</v>
      </c>
      <c r="C73">
        <v>0</v>
      </c>
      <c r="D73">
        <v>0</v>
      </c>
      <c r="E73">
        <v>74532</v>
      </c>
      <c r="F73">
        <v>0</v>
      </c>
      <c r="G73">
        <v>0</v>
      </c>
      <c r="H73">
        <v>0</v>
      </c>
      <c r="I73">
        <v>0</v>
      </c>
      <c r="J73">
        <v>848.9</v>
      </c>
    </row>
    <row r="74" spans="1:10" x14ac:dyDescent="0.3">
      <c r="A74" t="s">
        <v>267</v>
      </c>
      <c r="B74">
        <v>3225</v>
      </c>
      <c r="C74">
        <v>0</v>
      </c>
      <c r="D74">
        <v>0</v>
      </c>
      <c r="E74">
        <v>110</v>
      </c>
      <c r="F74">
        <v>0</v>
      </c>
      <c r="G74">
        <v>0</v>
      </c>
      <c r="H74">
        <v>0</v>
      </c>
      <c r="I74">
        <v>0</v>
      </c>
      <c r="J74">
        <v>824.6</v>
      </c>
    </row>
    <row r="75" spans="1:10" x14ac:dyDescent="0.3">
      <c r="A75" t="s">
        <v>267</v>
      </c>
      <c r="B75">
        <v>3250</v>
      </c>
      <c r="C75">
        <v>0</v>
      </c>
      <c r="D75">
        <v>0</v>
      </c>
      <c r="E75">
        <v>3328</v>
      </c>
      <c r="F75">
        <v>0</v>
      </c>
      <c r="G75">
        <v>0</v>
      </c>
      <c r="H75">
        <v>0</v>
      </c>
      <c r="I75">
        <v>0</v>
      </c>
      <c r="J75">
        <v>800.4</v>
      </c>
    </row>
    <row r="76" spans="1:10" x14ac:dyDescent="0.3">
      <c r="A76" t="s">
        <v>267</v>
      </c>
      <c r="B76">
        <v>3275</v>
      </c>
      <c r="C76">
        <v>0</v>
      </c>
      <c r="D76">
        <v>0</v>
      </c>
      <c r="E76">
        <v>5</v>
      </c>
      <c r="F76">
        <v>0</v>
      </c>
      <c r="G76">
        <v>0</v>
      </c>
      <c r="H76">
        <v>0</v>
      </c>
      <c r="I76">
        <v>0</v>
      </c>
      <c r="J76">
        <v>776.2</v>
      </c>
    </row>
    <row r="77" spans="1:10" x14ac:dyDescent="0.3">
      <c r="A77" t="s">
        <v>267</v>
      </c>
      <c r="B77">
        <v>3300</v>
      </c>
      <c r="C77">
        <v>0</v>
      </c>
      <c r="D77">
        <v>0</v>
      </c>
      <c r="E77">
        <v>86771</v>
      </c>
      <c r="F77">
        <v>0</v>
      </c>
      <c r="G77">
        <v>0</v>
      </c>
      <c r="H77">
        <v>0</v>
      </c>
      <c r="I77">
        <v>0</v>
      </c>
      <c r="J77">
        <v>752.1</v>
      </c>
    </row>
    <row r="78" spans="1:10" x14ac:dyDescent="0.3">
      <c r="A78" t="s">
        <v>267</v>
      </c>
      <c r="B78">
        <v>3325</v>
      </c>
      <c r="C78">
        <v>0</v>
      </c>
      <c r="D78">
        <v>0</v>
      </c>
      <c r="E78">
        <v>114</v>
      </c>
      <c r="F78">
        <v>0</v>
      </c>
      <c r="G78">
        <v>0</v>
      </c>
      <c r="H78">
        <v>0</v>
      </c>
      <c r="I78">
        <v>0</v>
      </c>
      <c r="J78">
        <v>728.1</v>
      </c>
    </row>
    <row r="79" spans="1:10" x14ac:dyDescent="0.3">
      <c r="A79" t="s">
        <v>267</v>
      </c>
      <c r="B79">
        <v>3350</v>
      </c>
      <c r="C79">
        <v>0</v>
      </c>
      <c r="D79">
        <v>0</v>
      </c>
      <c r="E79">
        <v>8391</v>
      </c>
      <c r="F79">
        <v>0</v>
      </c>
      <c r="G79">
        <v>0</v>
      </c>
      <c r="H79">
        <v>0</v>
      </c>
      <c r="I79">
        <v>0</v>
      </c>
      <c r="J79">
        <v>704.1</v>
      </c>
    </row>
    <row r="80" spans="1:10" x14ac:dyDescent="0.3">
      <c r="A80" t="s">
        <v>267</v>
      </c>
      <c r="B80">
        <v>3375</v>
      </c>
      <c r="C80">
        <v>0</v>
      </c>
      <c r="D80">
        <v>0</v>
      </c>
      <c r="E80">
        <v>264</v>
      </c>
      <c r="F80">
        <v>0</v>
      </c>
      <c r="G80">
        <v>0</v>
      </c>
      <c r="H80">
        <v>0</v>
      </c>
      <c r="I80">
        <v>0</v>
      </c>
      <c r="J80">
        <v>680.2</v>
      </c>
    </row>
    <row r="81" spans="1:10" x14ac:dyDescent="0.3">
      <c r="A81" t="s">
        <v>267</v>
      </c>
      <c r="B81">
        <v>3400</v>
      </c>
      <c r="C81">
        <v>0</v>
      </c>
      <c r="D81">
        <v>0</v>
      </c>
      <c r="E81">
        <v>96694</v>
      </c>
      <c r="F81">
        <v>0</v>
      </c>
      <c r="G81">
        <v>0</v>
      </c>
      <c r="H81">
        <v>0</v>
      </c>
      <c r="I81">
        <v>0</v>
      </c>
      <c r="J81">
        <v>656.3</v>
      </c>
    </row>
    <row r="82" spans="1:10" x14ac:dyDescent="0.3">
      <c r="A82" t="s">
        <v>267</v>
      </c>
      <c r="B82">
        <v>3425</v>
      </c>
      <c r="C82">
        <v>0</v>
      </c>
      <c r="D82">
        <v>0</v>
      </c>
      <c r="E82">
        <v>59</v>
      </c>
      <c r="F82">
        <v>0</v>
      </c>
      <c r="G82">
        <v>0</v>
      </c>
      <c r="H82">
        <v>0</v>
      </c>
      <c r="I82">
        <v>0</v>
      </c>
      <c r="J82">
        <v>632.6</v>
      </c>
    </row>
    <row r="83" spans="1:10" x14ac:dyDescent="0.3">
      <c r="A83" t="s">
        <v>267</v>
      </c>
      <c r="B83">
        <v>3450</v>
      </c>
      <c r="C83">
        <v>0</v>
      </c>
      <c r="D83">
        <v>0</v>
      </c>
      <c r="E83">
        <v>23303</v>
      </c>
      <c r="F83">
        <v>0</v>
      </c>
      <c r="G83">
        <v>0</v>
      </c>
      <c r="H83">
        <v>0</v>
      </c>
      <c r="I83">
        <v>0</v>
      </c>
      <c r="J83">
        <v>608.9</v>
      </c>
    </row>
    <row r="84" spans="1:10" x14ac:dyDescent="0.3">
      <c r="A84" t="s">
        <v>267</v>
      </c>
      <c r="B84">
        <v>3475</v>
      </c>
      <c r="C84">
        <v>0</v>
      </c>
      <c r="D84">
        <v>0</v>
      </c>
      <c r="E84">
        <v>9</v>
      </c>
      <c r="F84">
        <v>0</v>
      </c>
      <c r="G84">
        <v>0</v>
      </c>
      <c r="H84">
        <v>0</v>
      </c>
      <c r="I84">
        <v>0</v>
      </c>
      <c r="J84">
        <v>585.4</v>
      </c>
    </row>
    <row r="85" spans="1:10" x14ac:dyDescent="0.3">
      <c r="A85" t="s">
        <v>267</v>
      </c>
      <c r="B85">
        <v>3500</v>
      </c>
      <c r="C85">
        <v>0</v>
      </c>
      <c r="D85">
        <v>0</v>
      </c>
      <c r="E85">
        <v>103864</v>
      </c>
      <c r="F85">
        <v>0</v>
      </c>
      <c r="G85">
        <v>0</v>
      </c>
      <c r="H85">
        <v>0</v>
      </c>
      <c r="I85">
        <v>0</v>
      </c>
      <c r="J85">
        <v>562</v>
      </c>
    </row>
    <row r="86" spans="1:10" x14ac:dyDescent="0.3">
      <c r="A86" t="s">
        <v>267</v>
      </c>
      <c r="B86">
        <v>3525</v>
      </c>
      <c r="C86">
        <v>0</v>
      </c>
      <c r="D86">
        <v>0</v>
      </c>
      <c r="E86">
        <v>151</v>
      </c>
      <c r="F86">
        <v>0</v>
      </c>
      <c r="G86">
        <v>0</v>
      </c>
      <c r="H86">
        <v>0</v>
      </c>
      <c r="I86">
        <v>0</v>
      </c>
      <c r="J86">
        <v>538.70000000000005</v>
      </c>
    </row>
    <row r="87" spans="1:10" x14ac:dyDescent="0.3">
      <c r="A87" t="s">
        <v>267</v>
      </c>
      <c r="B87">
        <v>3550</v>
      </c>
      <c r="C87">
        <v>0</v>
      </c>
      <c r="D87">
        <v>0</v>
      </c>
      <c r="E87">
        <v>14219</v>
      </c>
      <c r="F87">
        <v>0</v>
      </c>
      <c r="G87">
        <v>0</v>
      </c>
      <c r="H87">
        <v>0</v>
      </c>
      <c r="I87">
        <v>0</v>
      </c>
      <c r="J87">
        <v>515.6</v>
      </c>
    </row>
    <row r="88" spans="1:10" x14ac:dyDescent="0.3">
      <c r="A88" t="s">
        <v>267</v>
      </c>
      <c r="B88">
        <v>3575</v>
      </c>
      <c r="C88">
        <v>0</v>
      </c>
      <c r="D88">
        <v>0</v>
      </c>
      <c r="E88">
        <v>0</v>
      </c>
      <c r="F88">
        <v>0</v>
      </c>
      <c r="G88">
        <v>0</v>
      </c>
      <c r="H88">
        <v>0</v>
      </c>
      <c r="I88">
        <v>0</v>
      </c>
      <c r="J88">
        <v>492.6</v>
      </c>
    </row>
    <row r="89" spans="1:10" x14ac:dyDescent="0.3">
      <c r="A89" t="s">
        <v>267</v>
      </c>
      <c r="B89">
        <v>3600</v>
      </c>
      <c r="C89">
        <v>0</v>
      </c>
      <c r="D89">
        <v>0</v>
      </c>
      <c r="E89">
        <v>108513</v>
      </c>
      <c r="F89">
        <v>0</v>
      </c>
      <c r="G89">
        <v>0</v>
      </c>
      <c r="H89">
        <v>0</v>
      </c>
      <c r="I89">
        <v>0</v>
      </c>
      <c r="J89">
        <v>469.9</v>
      </c>
    </row>
    <row r="90" spans="1:10" x14ac:dyDescent="0.3">
      <c r="A90" t="s">
        <v>267</v>
      </c>
      <c r="B90">
        <v>3625</v>
      </c>
      <c r="C90">
        <v>0</v>
      </c>
      <c r="D90">
        <v>0</v>
      </c>
      <c r="E90">
        <v>2</v>
      </c>
      <c r="F90">
        <v>0</v>
      </c>
      <c r="G90">
        <v>0</v>
      </c>
      <c r="H90">
        <v>0</v>
      </c>
      <c r="I90">
        <v>0</v>
      </c>
      <c r="J90">
        <v>447.3</v>
      </c>
    </row>
    <row r="91" spans="1:10" x14ac:dyDescent="0.3">
      <c r="A91" t="s">
        <v>267</v>
      </c>
      <c r="B91">
        <v>3650</v>
      </c>
      <c r="C91">
        <v>0</v>
      </c>
      <c r="D91">
        <v>0</v>
      </c>
      <c r="E91">
        <v>19798</v>
      </c>
      <c r="F91">
        <v>0</v>
      </c>
      <c r="G91">
        <v>0</v>
      </c>
      <c r="H91">
        <v>0</v>
      </c>
      <c r="I91">
        <v>0</v>
      </c>
      <c r="J91">
        <v>425</v>
      </c>
    </row>
    <row r="92" spans="1:10" x14ac:dyDescent="0.3">
      <c r="A92" t="s">
        <v>267</v>
      </c>
      <c r="B92">
        <v>3675</v>
      </c>
      <c r="C92">
        <v>0</v>
      </c>
      <c r="D92">
        <v>0</v>
      </c>
      <c r="E92">
        <v>339</v>
      </c>
      <c r="F92">
        <v>0</v>
      </c>
      <c r="G92">
        <v>0</v>
      </c>
      <c r="H92">
        <v>0</v>
      </c>
      <c r="I92">
        <v>0</v>
      </c>
      <c r="J92">
        <v>402.9</v>
      </c>
    </row>
    <row r="93" spans="1:10" x14ac:dyDescent="0.3">
      <c r="A93" t="s">
        <v>267</v>
      </c>
      <c r="B93">
        <v>3700</v>
      </c>
      <c r="C93">
        <v>0</v>
      </c>
      <c r="D93">
        <v>0</v>
      </c>
      <c r="E93">
        <v>93145</v>
      </c>
      <c r="F93">
        <v>0</v>
      </c>
      <c r="G93">
        <v>0</v>
      </c>
      <c r="H93">
        <v>0</v>
      </c>
      <c r="I93">
        <v>0</v>
      </c>
      <c r="J93">
        <v>381</v>
      </c>
    </row>
    <row r="94" spans="1:10" x14ac:dyDescent="0.3">
      <c r="A94" t="s">
        <v>267</v>
      </c>
      <c r="B94">
        <v>3725</v>
      </c>
      <c r="C94">
        <v>0</v>
      </c>
      <c r="D94">
        <v>1</v>
      </c>
      <c r="E94">
        <v>33</v>
      </c>
      <c r="F94">
        <v>378</v>
      </c>
      <c r="G94">
        <v>378</v>
      </c>
      <c r="H94">
        <v>378</v>
      </c>
      <c r="I94">
        <v>378</v>
      </c>
      <c r="J94">
        <v>359.5</v>
      </c>
    </row>
    <row r="95" spans="1:10" x14ac:dyDescent="0.3">
      <c r="A95" t="s">
        <v>267</v>
      </c>
      <c r="B95">
        <v>3750</v>
      </c>
      <c r="C95">
        <v>0</v>
      </c>
      <c r="D95">
        <v>1</v>
      </c>
      <c r="E95">
        <v>26304</v>
      </c>
      <c r="F95">
        <v>357</v>
      </c>
      <c r="G95">
        <v>357</v>
      </c>
      <c r="H95">
        <v>357</v>
      </c>
      <c r="I95">
        <v>357</v>
      </c>
      <c r="J95">
        <v>338.2</v>
      </c>
    </row>
    <row r="96" spans="1:10" x14ac:dyDescent="0.3">
      <c r="A96" t="s">
        <v>267</v>
      </c>
      <c r="B96">
        <v>3775</v>
      </c>
      <c r="C96">
        <v>0</v>
      </c>
      <c r="D96">
        <v>0</v>
      </c>
      <c r="E96">
        <v>21</v>
      </c>
      <c r="F96">
        <v>0</v>
      </c>
      <c r="G96">
        <v>0</v>
      </c>
      <c r="H96">
        <v>0</v>
      </c>
      <c r="I96">
        <v>0</v>
      </c>
      <c r="J96">
        <v>317.3</v>
      </c>
    </row>
    <row r="97" spans="1:10" x14ac:dyDescent="0.3">
      <c r="A97" t="s">
        <v>267</v>
      </c>
      <c r="B97">
        <v>3800</v>
      </c>
      <c r="C97">
        <v>0</v>
      </c>
      <c r="D97">
        <v>0</v>
      </c>
      <c r="E97">
        <v>99390</v>
      </c>
      <c r="F97">
        <v>0</v>
      </c>
      <c r="G97">
        <v>0</v>
      </c>
      <c r="H97">
        <v>0</v>
      </c>
      <c r="I97">
        <v>0</v>
      </c>
      <c r="J97">
        <v>296.7</v>
      </c>
    </row>
    <row r="98" spans="1:10" x14ac:dyDescent="0.3">
      <c r="A98" t="s">
        <v>267</v>
      </c>
      <c r="B98">
        <v>3825</v>
      </c>
      <c r="C98">
        <v>0</v>
      </c>
      <c r="D98">
        <v>1</v>
      </c>
      <c r="E98">
        <v>207</v>
      </c>
      <c r="F98">
        <v>0</v>
      </c>
      <c r="G98">
        <v>0</v>
      </c>
      <c r="H98">
        <v>0</v>
      </c>
      <c r="I98">
        <v>0</v>
      </c>
      <c r="J98">
        <v>276.5</v>
      </c>
    </row>
    <row r="99" spans="1:10" x14ac:dyDescent="0.3">
      <c r="A99" t="s">
        <v>267</v>
      </c>
      <c r="B99">
        <v>3850</v>
      </c>
      <c r="C99">
        <v>0</v>
      </c>
      <c r="D99">
        <v>0</v>
      </c>
      <c r="E99">
        <v>35817</v>
      </c>
      <c r="F99">
        <v>0</v>
      </c>
      <c r="G99">
        <v>0</v>
      </c>
      <c r="H99">
        <v>0</v>
      </c>
      <c r="I99">
        <v>0</v>
      </c>
      <c r="J99">
        <v>256.8</v>
      </c>
    </row>
    <row r="100" spans="1:10" x14ac:dyDescent="0.3">
      <c r="A100" t="s">
        <v>267</v>
      </c>
      <c r="B100">
        <v>3875</v>
      </c>
      <c r="C100">
        <v>0</v>
      </c>
      <c r="D100">
        <v>4</v>
      </c>
      <c r="E100">
        <v>3393</v>
      </c>
      <c r="F100">
        <v>252.8</v>
      </c>
      <c r="G100">
        <v>252.8</v>
      </c>
      <c r="H100">
        <v>252.8</v>
      </c>
      <c r="I100">
        <v>252.8</v>
      </c>
      <c r="J100">
        <v>237.5</v>
      </c>
    </row>
    <row r="101" spans="1:10" x14ac:dyDescent="0.3">
      <c r="A101" t="s">
        <v>267</v>
      </c>
      <c r="B101">
        <v>3900</v>
      </c>
      <c r="C101">
        <v>0</v>
      </c>
      <c r="D101">
        <v>2</v>
      </c>
      <c r="E101">
        <v>100618</v>
      </c>
      <c r="F101">
        <v>225.7</v>
      </c>
      <c r="G101">
        <v>225.7</v>
      </c>
      <c r="H101">
        <v>225.7</v>
      </c>
      <c r="I101">
        <v>225.7</v>
      </c>
      <c r="J101">
        <v>218.7</v>
      </c>
    </row>
    <row r="102" spans="1:10" x14ac:dyDescent="0.3">
      <c r="A102" t="s">
        <v>267</v>
      </c>
      <c r="B102">
        <v>3925</v>
      </c>
      <c r="C102">
        <v>0</v>
      </c>
      <c r="D102">
        <v>0</v>
      </c>
      <c r="E102">
        <v>1147</v>
      </c>
      <c r="F102">
        <v>0</v>
      </c>
      <c r="G102">
        <v>0</v>
      </c>
      <c r="H102">
        <v>0</v>
      </c>
      <c r="I102">
        <v>0</v>
      </c>
      <c r="J102">
        <v>200.4</v>
      </c>
    </row>
    <row r="103" spans="1:10" x14ac:dyDescent="0.3">
      <c r="A103" t="s">
        <v>267</v>
      </c>
      <c r="B103">
        <v>3950</v>
      </c>
      <c r="C103">
        <v>0</v>
      </c>
      <c r="D103">
        <v>0</v>
      </c>
      <c r="E103">
        <v>56874</v>
      </c>
      <c r="F103">
        <v>0</v>
      </c>
      <c r="G103">
        <v>0</v>
      </c>
      <c r="H103">
        <v>0</v>
      </c>
      <c r="I103">
        <v>0</v>
      </c>
      <c r="J103">
        <v>182.7</v>
      </c>
    </row>
    <row r="104" spans="1:10" x14ac:dyDescent="0.3">
      <c r="A104" t="s">
        <v>267</v>
      </c>
      <c r="B104">
        <v>3975</v>
      </c>
      <c r="C104">
        <v>0</v>
      </c>
      <c r="D104">
        <v>93</v>
      </c>
      <c r="E104">
        <v>5571</v>
      </c>
      <c r="F104">
        <v>163.9</v>
      </c>
      <c r="G104">
        <v>164.3</v>
      </c>
      <c r="H104">
        <v>163.9</v>
      </c>
      <c r="I104">
        <v>164.3</v>
      </c>
      <c r="J104">
        <v>165.6</v>
      </c>
    </row>
    <row r="105" spans="1:10" x14ac:dyDescent="0.3">
      <c r="A105" t="s">
        <v>267</v>
      </c>
      <c r="B105">
        <v>4000</v>
      </c>
      <c r="C105">
        <v>0</v>
      </c>
      <c r="D105">
        <v>534</v>
      </c>
      <c r="E105">
        <v>147036</v>
      </c>
      <c r="F105">
        <v>159.80000000000001</v>
      </c>
      <c r="G105">
        <v>159.80000000000001</v>
      </c>
      <c r="H105">
        <v>148</v>
      </c>
      <c r="I105">
        <v>148</v>
      </c>
      <c r="J105">
        <v>149.19999999999999</v>
      </c>
    </row>
    <row r="106" spans="1:10" x14ac:dyDescent="0.3">
      <c r="A106" t="s">
        <v>267</v>
      </c>
      <c r="B106">
        <v>4025</v>
      </c>
      <c r="C106">
        <v>0</v>
      </c>
      <c r="D106">
        <v>238</v>
      </c>
      <c r="E106">
        <v>2162</v>
      </c>
      <c r="F106">
        <v>135.4</v>
      </c>
      <c r="G106">
        <v>138.9</v>
      </c>
      <c r="H106">
        <v>132.30000000000001</v>
      </c>
      <c r="I106">
        <v>132.30000000000001</v>
      </c>
      <c r="J106">
        <v>133.6</v>
      </c>
    </row>
    <row r="107" spans="1:10" x14ac:dyDescent="0.3">
      <c r="A107" t="s">
        <v>267</v>
      </c>
      <c r="B107">
        <v>4050</v>
      </c>
      <c r="C107">
        <v>0</v>
      </c>
      <c r="D107">
        <v>4823</v>
      </c>
      <c r="E107">
        <v>28864</v>
      </c>
      <c r="F107">
        <v>126</v>
      </c>
      <c r="G107">
        <v>130</v>
      </c>
      <c r="H107">
        <v>117.5</v>
      </c>
      <c r="I107">
        <v>117.5</v>
      </c>
      <c r="J107">
        <v>118.7</v>
      </c>
    </row>
    <row r="108" spans="1:10" x14ac:dyDescent="0.3">
      <c r="A108" t="s">
        <v>267</v>
      </c>
      <c r="B108">
        <v>4075</v>
      </c>
      <c r="C108">
        <v>0</v>
      </c>
      <c r="D108">
        <v>615</v>
      </c>
      <c r="E108">
        <v>2855</v>
      </c>
      <c r="F108">
        <v>110.7</v>
      </c>
      <c r="G108">
        <v>117.9</v>
      </c>
      <c r="H108">
        <v>102.8</v>
      </c>
      <c r="I108">
        <v>104</v>
      </c>
      <c r="J108">
        <v>104.6</v>
      </c>
    </row>
    <row r="109" spans="1:10" x14ac:dyDescent="0.3">
      <c r="A109" t="s">
        <v>267</v>
      </c>
      <c r="B109">
        <v>4100</v>
      </c>
      <c r="C109">
        <v>0</v>
      </c>
      <c r="D109">
        <v>10966</v>
      </c>
      <c r="E109">
        <v>135456</v>
      </c>
      <c r="F109">
        <v>103</v>
      </c>
      <c r="G109">
        <v>105</v>
      </c>
      <c r="H109">
        <v>90.7</v>
      </c>
      <c r="I109">
        <v>91</v>
      </c>
      <c r="J109">
        <v>91.4</v>
      </c>
    </row>
    <row r="110" spans="1:10" x14ac:dyDescent="0.3">
      <c r="A110" t="s">
        <v>267</v>
      </c>
      <c r="B110">
        <v>4125</v>
      </c>
      <c r="C110">
        <v>0</v>
      </c>
      <c r="D110">
        <v>240</v>
      </c>
      <c r="E110">
        <v>8301</v>
      </c>
      <c r="F110">
        <v>89.5</v>
      </c>
      <c r="G110">
        <v>89.5</v>
      </c>
      <c r="H110">
        <v>77.8</v>
      </c>
      <c r="I110">
        <v>79.400000000000006</v>
      </c>
      <c r="J110">
        <v>79.2</v>
      </c>
    </row>
    <row r="111" spans="1:10" x14ac:dyDescent="0.3">
      <c r="A111" t="s">
        <v>267</v>
      </c>
      <c r="B111">
        <v>4150</v>
      </c>
      <c r="C111">
        <v>0</v>
      </c>
      <c r="D111">
        <v>6161</v>
      </c>
      <c r="E111">
        <v>72387</v>
      </c>
      <c r="F111">
        <v>74.2</v>
      </c>
      <c r="G111">
        <v>80</v>
      </c>
      <c r="H111">
        <v>67.5</v>
      </c>
      <c r="I111">
        <v>67.5</v>
      </c>
      <c r="J111">
        <v>67.900000000000006</v>
      </c>
    </row>
    <row r="112" spans="1:10" x14ac:dyDescent="0.3">
      <c r="A112" t="s">
        <v>267</v>
      </c>
      <c r="B112">
        <v>4175</v>
      </c>
      <c r="C112">
        <v>0</v>
      </c>
      <c r="D112">
        <v>325</v>
      </c>
      <c r="E112">
        <v>6262</v>
      </c>
      <c r="F112">
        <v>67</v>
      </c>
      <c r="G112">
        <v>69.2</v>
      </c>
      <c r="H112">
        <v>57.3</v>
      </c>
      <c r="I112">
        <v>57.3</v>
      </c>
      <c r="J112">
        <v>57.7</v>
      </c>
    </row>
    <row r="113" spans="1:10" x14ac:dyDescent="0.3">
      <c r="A113" t="s">
        <v>267</v>
      </c>
      <c r="B113">
        <v>4200</v>
      </c>
      <c r="C113">
        <v>0</v>
      </c>
      <c r="D113">
        <v>20895</v>
      </c>
      <c r="E113">
        <v>156187</v>
      </c>
      <c r="F113">
        <v>55</v>
      </c>
      <c r="G113">
        <v>61</v>
      </c>
      <c r="H113">
        <v>47.9</v>
      </c>
      <c r="I113">
        <v>48.2</v>
      </c>
      <c r="J113">
        <v>48.5</v>
      </c>
    </row>
    <row r="114" spans="1:10" x14ac:dyDescent="0.3">
      <c r="A114" t="s">
        <v>267</v>
      </c>
      <c r="B114">
        <v>4225</v>
      </c>
      <c r="C114">
        <v>0</v>
      </c>
      <c r="D114">
        <v>1786</v>
      </c>
      <c r="E114">
        <v>10122</v>
      </c>
      <c r="F114">
        <v>46.9</v>
      </c>
      <c r="G114">
        <v>46.9</v>
      </c>
      <c r="H114">
        <v>40.1</v>
      </c>
      <c r="I114">
        <v>40.299999999999997</v>
      </c>
      <c r="J114">
        <v>40.299999999999997</v>
      </c>
    </row>
    <row r="115" spans="1:10" x14ac:dyDescent="0.3">
      <c r="A115" t="s">
        <v>267</v>
      </c>
      <c r="B115">
        <v>4250</v>
      </c>
      <c r="C115">
        <v>0</v>
      </c>
      <c r="D115">
        <v>6961</v>
      </c>
      <c r="E115">
        <v>77613</v>
      </c>
      <c r="F115">
        <v>35.799999999999997</v>
      </c>
      <c r="G115">
        <v>42.4</v>
      </c>
      <c r="H115">
        <v>32.700000000000003</v>
      </c>
      <c r="I115">
        <v>33.200000000000003</v>
      </c>
      <c r="J115">
        <v>33.200000000000003</v>
      </c>
    </row>
    <row r="116" spans="1:10" x14ac:dyDescent="0.3">
      <c r="A116" t="s">
        <v>267</v>
      </c>
      <c r="B116">
        <v>4275</v>
      </c>
      <c r="C116">
        <v>0</v>
      </c>
      <c r="D116">
        <v>399</v>
      </c>
      <c r="E116">
        <v>18395</v>
      </c>
      <c r="F116">
        <v>30.8</v>
      </c>
      <c r="G116">
        <v>33.5</v>
      </c>
      <c r="H116">
        <v>27</v>
      </c>
      <c r="I116">
        <v>27</v>
      </c>
      <c r="J116">
        <v>27</v>
      </c>
    </row>
    <row r="117" spans="1:10" x14ac:dyDescent="0.3">
      <c r="A117" t="s">
        <v>267</v>
      </c>
      <c r="B117">
        <v>4300</v>
      </c>
      <c r="C117">
        <v>0</v>
      </c>
      <c r="D117">
        <v>25680</v>
      </c>
      <c r="E117">
        <v>215068</v>
      </c>
      <c r="F117">
        <v>25.4</v>
      </c>
      <c r="G117">
        <v>28.6</v>
      </c>
      <c r="H117">
        <v>21.7</v>
      </c>
      <c r="I117">
        <v>21.7</v>
      </c>
      <c r="J117">
        <v>21.8</v>
      </c>
    </row>
    <row r="118" spans="1:10" x14ac:dyDescent="0.3">
      <c r="A118" t="s">
        <v>267</v>
      </c>
      <c r="B118">
        <v>4325</v>
      </c>
      <c r="C118">
        <v>0</v>
      </c>
      <c r="D118">
        <v>3558</v>
      </c>
      <c r="E118">
        <v>18017</v>
      </c>
      <c r="F118">
        <v>20.6</v>
      </c>
      <c r="G118">
        <v>22.3</v>
      </c>
      <c r="H118">
        <v>17.3</v>
      </c>
      <c r="I118">
        <v>17.3</v>
      </c>
      <c r="J118">
        <v>17.399999999999999</v>
      </c>
    </row>
    <row r="119" spans="1:10" x14ac:dyDescent="0.3">
      <c r="A119" t="s">
        <v>267</v>
      </c>
      <c r="B119">
        <v>4350</v>
      </c>
      <c r="C119">
        <v>0</v>
      </c>
      <c r="D119">
        <v>3640</v>
      </c>
      <c r="E119">
        <v>78134</v>
      </c>
      <c r="F119">
        <v>18</v>
      </c>
      <c r="G119">
        <v>18.7</v>
      </c>
      <c r="H119">
        <v>13.5</v>
      </c>
      <c r="I119">
        <v>13.5</v>
      </c>
      <c r="J119">
        <v>13.9</v>
      </c>
    </row>
    <row r="120" spans="1:10" x14ac:dyDescent="0.3">
      <c r="A120" t="s">
        <v>267</v>
      </c>
      <c r="B120">
        <v>4375</v>
      </c>
      <c r="C120">
        <v>0</v>
      </c>
      <c r="D120">
        <v>543</v>
      </c>
      <c r="E120">
        <v>29621</v>
      </c>
      <c r="F120">
        <v>13.2</v>
      </c>
      <c r="G120">
        <v>14.6</v>
      </c>
      <c r="H120">
        <v>10.5</v>
      </c>
      <c r="I120">
        <v>10.9</v>
      </c>
      <c r="J120">
        <v>10.9</v>
      </c>
    </row>
    <row r="121" spans="1:10" x14ac:dyDescent="0.3">
      <c r="A121" t="s">
        <v>267</v>
      </c>
      <c r="B121">
        <v>4400</v>
      </c>
      <c r="C121">
        <v>0</v>
      </c>
      <c r="D121">
        <v>7779</v>
      </c>
      <c r="E121">
        <v>191851</v>
      </c>
      <c r="F121">
        <v>10.6</v>
      </c>
      <c r="G121">
        <v>11.8</v>
      </c>
      <c r="H121">
        <v>8.6</v>
      </c>
      <c r="I121">
        <v>8.6</v>
      </c>
      <c r="J121">
        <v>8.6</v>
      </c>
    </row>
    <row r="122" spans="1:10" x14ac:dyDescent="0.3">
      <c r="A122" t="s">
        <v>267</v>
      </c>
      <c r="B122">
        <v>4425</v>
      </c>
      <c r="C122">
        <v>0</v>
      </c>
      <c r="D122">
        <v>362</v>
      </c>
      <c r="E122">
        <v>9813</v>
      </c>
      <c r="F122">
        <v>8.3000000000000007</v>
      </c>
      <c r="G122">
        <v>9.3000000000000007</v>
      </c>
      <c r="H122">
        <v>6.6</v>
      </c>
      <c r="I122">
        <v>6.7</v>
      </c>
      <c r="J122">
        <v>6.7</v>
      </c>
    </row>
    <row r="123" spans="1:10" x14ac:dyDescent="0.3">
      <c r="A123" t="s">
        <v>267</v>
      </c>
      <c r="B123">
        <v>4450</v>
      </c>
      <c r="C123">
        <v>0</v>
      </c>
      <c r="D123">
        <v>11785</v>
      </c>
      <c r="E123">
        <v>63123</v>
      </c>
      <c r="F123">
        <v>7.2</v>
      </c>
      <c r="G123">
        <v>7.3</v>
      </c>
      <c r="H123">
        <v>5.3</v>
      </c>
      <c r="I123">
        <v>5.7</v>
      </c>
      <c r="J123">
        <v>5.3</v>
      </c>
    </row>
    <row r="124" spans="1:10" x14ac:dyDescent="0.3">
      <c r="A124" t="s">
        <v>267</v>
      </c>
      <c r="B124">
        <v>4475</v>
      </c>
      <c r="C124">
        <v>0</v>
      </c>
      <c r="D124">
        <v>726</v>
      </c>
      <c r="E124">
        <v>10422</v>
      </c>
      <c r="F124">
        <v>5</v>
      </c>
      <c r="G124">
        <v>5</v>
      </c>
      <c r="H124">
        <v>4.4000000000000004</v>
      </c>
      <c r="I124">
        <v>4.4000000000000004</v>
      </c>
      <c r="J124">
        <v>4.0999999999999996</v>
      </c>
    </row>
    <row r="125" spans="1:10" x14ac:dyDescent="0.3">
      <c r="A125" t="s">
        <v>267</v>
      </c>
      <c r="B125">
        <v>4500</v>
      </c>
      <c r="C125">
        <v>0</v>
      </c>
      <c r="D125">
        <v>8231</v>
      </c>
      <c r="E125">
        <v>108815</v>
      </c>
      <c r="F125">
        <v>4.0999999999999996</v>
      </c>
      <c r="G125">
        <v>4.5999999999999996</v>
      </c>
      <c r="H125">
        <v>3.3</v>
      </c>
      <c r="I125">
        <v>3.3</v>
      </c>
      <c r="J125">
        <v>3.2</v>
      </c>
    </row>
    <row r="126" spans="1:10" x14ac:dyDescent="0.3">
      <c r="A126" t="s">
        <v>267</v>
      </c>
      <c r="B126">
        <v>4525</v>
      </c>
      <c r="C126">
        <v>0</v>
      </c>
      <c r="D126">
        <v>109</v>
      </c>
      <c r="E126">
        <v>16244</v>
      </c>
      <c r="F126">
        <v>3.3</v>
      </c>
      <c r="G126">
        <v>3.3</v>
      </c>
      <c r="H126">
        <v>2.7</v>
      </c>
      <c r="I126">
        <v>2.7</v>
      </c>
      <c r="J126">
        <v>2.5</v>
      </c>
    </row>
    <row r="127" spans="1:10" x14ac:dyDescent="0.3">
      <c r="A127" t="s">
        <v>267</v>
      </c>
      <c r="B127">
        <v>4550</v>
      </c>
      <c r="C127">
        <v>0</v>
      </c>
      <c r="D127">
        <v>1272</v>
      </c>
      <c r="E127">
        <v>37913</v>
      </c>
      <c r="F127">
        <v>2.4</v>
      </c>
      <c r="G127">
        <v>2.4</v>
      </c>
      <c r="H127">
        <v>2</v>
      </c>
      <c r="I127">
        <v>2</v>
      </c>
      <c r="J127">
        <v>2</v>
      </c>
    </row>
    <row r="128" spans="1:10" x14ac:dyDescent="0.3">
      <c r="A128" t="s">
        <v>267</v>
      </c>
      <c r="B128">
        <v>4575</v>
      </c>
      <c r="C128">
        <v>0</v>
      </c>
      <c r="D128">
        <v>5</v>
      </c>
      <c r="E128">
        <v>7057</v>
      </c>
      <c r="F128">
        <v>1.8</v>
      </c>
      <c r="G128">
        <v>1.8</v>
      </c>
      <c r="H128">
        <v>1.8</v>
      </c>
      <c r="I128">
        <v>1.8</v>
      </c>
      <c r="J128">
        <v>1.6</v>
      </c>
    </row>
    <row r="129" spans="1:10" x14ac:dyDescent="0.3">
      <c r="A129" t="s">
        <v>267</v>
      </c>
      <c r="B129">
        <v>4600</v>
      </c>
      <c r="C129">
        <v>0</v>
      </c>
      <c r="D129">
        <v>797</v>
      </c>
      <c r="E129">
        <v>98247</v>
      </c>
      <c r="F129">
        <v>1.7</v>
      </c>
      <c r="G129">
        <v>1.7</v>
      </c>
      <c r="H129">
        <v>1.4</v>
      </c>
      <c r="I129">
        <v>1.5</v>
      </c>
      <c r="J129">
        <v>1.3</v>
      </c>
    </row>
    <row r="130" spans="1:10" x14ac:dyDescent="0.3">
      <c r="A130" t="s">
        <v>267</v>
      </c>
      <c r="B130">
        <v>4625</v>
      </c>
      <c r="C130">
        <v>0</v>
      </c>
      <c r="D130">
        <v>56</v>
      </c>
      <c r="E130">
        <v>6204</v>
      </c>
      <c r="F130">
        <v>1.4</v>
      </c>
      <c r="G130">
        <v>1.4</v>
      </c>
      <c r="H130">
        <v>1.2</v>
      </c>
      <c r="I130">
        <v>1.3</v>
      </c>
      <c r="J130">
        <v>1.1000000000000001</v>
      </c>
    </row>
    <row r="131" spans="1:10" x14ac:dyDescent="0.3">
      <c r="A131" t="s">
        <v>267</v>
      </c>
      <c r="B131">
        <v>4650</v>
      </c>
      <c r="C131">
        <v>0</v>
      </c>
      <c r="D131">
        <v>5</v>
      </c>
      <c r="E131">
        <v>39386</v>
      </c>
      <c r="F131">
        <v>1.1000000000000001</v>
      </c>
      <c r="G131">
        <v>1.1000000000000001</v>
      </c>
      <c r="H131">
        <v>1.1000000000000001</v>
      </c>
      <c r="I131">
        <v>1.1000000000000001</v>
      </c>
      <c r="J131">
        <v>0.9</v>
      </c>
    </row>
    <row r="132" spans="1:10" x14ac:dyDescent="0.3">
      <c r="A132" t="s">
        <v>267</v>
      </c>
      <c r="B132">
        <v>4675</v>
      </c>
      <c r="C132">
        <v>0</v>
      </c>
      <c r="D132">
        <v>5</v>
      </c>
      <c r="E132">
        <v>8186</v>
      </c>
      <c r="F132">
        <v>0.9</v>
      </c>
      <c r="G132">
        <v>0.9</v>
      </c>
      <c r="H132">
        <v>0.9</v>
      </c>
      <c r="I132">
        <v>0.9</v>
      </c>
      <c r="J132">
        <v>0.8</v>
      </c>
    </row>
    <row r="133" spans="1:10" x14ac:dyDescent="0.3">
      <c r="A133" t="s">
        <v>267</v>
      </c>
      <c r="B133">
        <v>4700</v>
      </c>
      <c r="C133">
        <v>0</v>
      </c>
      <c r="D133">
        <v>172</v>
      </c>
      <c r="E133">
        <v>99007</v>
      </c>
      <c r="F133">
        <v>0.9</v>
      </c>
      <c r="G133">
        <v>0.9</v>
      </c>
      <c r="H133">
        <v>0.9</v>
      </c>
      <c r="I133">
        <v>0.9</v>
      </c>
      <c r="J133">
        <v>0.7</v>
      </c>
    </row>
    <row r="134" spans="1:10" x14ac:dyDescent="0.3">
      <c r="A134" t="s">
        <v>267</v>
      </c>
      <c r="B134">
        <v>4725</v>
      </c>
      <c r="C134">
        <v>0</v>
      </c>
      <c r="D134">
        <v>0</v>
      </c>
      <c r="E134">
        <v>13534</v>
      </c>
      <c r="F134">
        <v>0</v>
      </c>
      <c r="G134">
        <v>0</v>
      </c>
      <c r="H134">
        <v>0</v>
      </c>
      <c r="I134">
        <v>0</v>
      </c>
      <c r="J134">
        <v>0.6</v>
      </c>
    </row>
    <row r="135" spans="1:10" x14ac:dyDescent="0.3">
      <c r="A135" t="s">
        <v>267</v>
      </c>
      <c r="B135">
        <v>4750</v>
      </c>
      <c r="C135">
        <v>0</v>
      </c>
      <c r="D135">
        <v>0</v>
      </c>
      <c r="E135">
        <v>39225</v>
      </c>
      <c r="F135">
        <v>0</v>
      </c>
      <c r="G135">
        <v>0</v>
      </c>
      <c r="H135">
        <v>0</v>
      </c>
      <c r="I135">
        <v>0</v>
      </c>
      <c r="J135">
        <v>0.5</v>
      </c>
    </row>
    <row r="136" spans="1:10" x14ac:dyDescent="0.3">
      <c r="A136" t="s">
        <v>267</v>
      </c>
      <c r="B136">
        <v>4775</v>
      </c>
      <c r="C136">
        <v>0</v>
      </c>
      <c r="D136">
        <v>0</v>
      </c>
      <c r="E136">
        <v>3254</v>
      </c>
      <c r="F136">
        <v>0</v>
      </c>
      <c r="G136">
        <v>0</v>
      </c>
      <c r="H136">
        <v>0</v>
      </c>
      <c r="I136">
        <v>0</v>
      </c>
      <c r="J136">
        <v>0.5</v>
      </c>
    </row>
    <row r="137" spans="1:10" x14ac:dyDescent="0.3">
      <c r="A137" t="s">
        <v>267</v>
      </c>
      <c r="B137">
        <v>4800</v>
      </c>
      <c r="C137">
        <v>0</v>
      </c>
      <c r="D137">
        <v>0</v>
      </c>
      <c r="E137">
        <v>76128</v>
      </c>
      <c r="F137">
        <v>0</v>
      </c>
      <c r="G137">
        <v>0</v>
      </c>
      <c r="H137">
        <v>0</v>
      </c>
      <c r="I137">
        <v>0</v>
      </c>
      <c r="J137">
        <v>0.4</v>
      </c>
    </row>
    <row r="138" spans="1:10" x14ac:dyDescent="0.3">
      <c r="A138" t="s">
        <v>267</v>
      </c>
      <c r="B138">
        <v>4825</v>
      </c>
      <c r="C138">
        <v>0</v>
      </c>
      <c r="D138">
        <v>0</v>
      </c>
      <c r="E138">
        <v>1668</v>
      </c>
      <c r="F138">
        <v>0</v>
      </c>
      <c r="G138">
        <v>0</v>
      </c>
      <c r="H138">
        <v>0</v>
      </c>
      <c r="I138">
        <v>0</v>
      </c>
      <c r="J138">
        <v>0.4</v>
      </c>
    </row>
    <row r="139" spans="1:10" x14ac:dyDescent="0.3">
      <c r="A139" t="s">
        <v>267</v>
      </c>
      <c r="B139">
        <v>4850</v>
      </c>
      <c r="C139">
        <v>0</v>
      </c>
      <c r="D139">
        <v>0</v>
      </c>
      <c r="E139">
        <v>43684</v>
      </c>
      <c r="F139">
        <v>0</v>
      </c>
      <c r="G139">
        <v>0</v>
      </c>
      <c r="H139">
        <v>0</v>
      </c>
      <c r="I139">
        <v>0</v>
      </c>
      <c r="J139">
        <v>0.3</v>
      </c>
    </row>
    <row r="140" spans="1:10" x14ac:dyDescent="0.3">
      <c r="A140" t="s">
        <v>267</v>
      </c>
      <c r="B140">
        <v>4875</v>
      </c>
      <c r="C140">
        <v>0</v>
      </c>
      <c r="D140">
        <v>0</v>
      </c>
      <c r="E140">
        <v>2835</v>
      </c>
      <c r="F140">
        <v>0</v>
      </c>
      <c r="G140">
        <v>0</v>
      </c>
      <c r="H140">
        <v>0</v>
      </c>
      <c r="I140">
        <v>0</v>
      </c>
      <c r="J140">
        <v>0.3</v>
      </c>
    </row>
    <row r="141" spans="1:10" x14ac:dyDescent="0.3">
      <c r="A141" t="s">
        <v>267</v>
      </c>
      <c r="B141">
        <v>4900</v>
      </c>
      <c r="C141">
        <v>0</v>
      </c>
      <c r="D141">
        <v>0</v>
      </c>
      <c r="E141">
        <v>30043</v>
      </c>
      <c r="F141">
        <v>0</v>
      </c>
      <c r="G141">
        <v>0</v>
      </c>
      <c r="H141">
        <v>0</v>
      </c>
      <c r="I141">
        <v>0</v>
      </c>
      <c r="J141">
        <v>0.3</v>
      </c>
    </row>
    <row r="142" spans="1:10" x14ac:dyDescent="0.3">
      <c r="A142" t="s">
        <v>267</v>
      </c>
      <c r="B142">
        <v>4925</v>
      </c>
      <c r="C142">
        <v>0</v>
      </c>
      <c r="D142">
        <v>0</v>
      </c>
      <c r="E142">
        <v>3569</v>
      </c>
      <c r="F142">
        <v>0</v>
      </c>
      <c r="G142">
        <v>0</v>
      </c>
      <c r="H142">
        <v>0</v>
      </c>
      <c r="I142">
        <v>0</v>
      </c>
      <c r="J142">
        <v>0.2</v>
      </c>
    </row>
    <row r="143" spans="1:10" x14ac:dyDescent="0.3">
      <c r="A143" t="s">
        <v>267</v>
      </c>
      <c r="B143">
        <v>4950</v>
      </c>
      <c r="C143">
        <v>0</v>
      </c>
      <c r="D143">
        <v>0</v>
      </c>
      <c r="E143">
        <v>23317</v>
      </c>
      <c r="F143">
        <v>0</v>
      </c>
      <c r="G143">
        <v>0</v>
      </c>
      <c r="H143">
        <v>0</v>
      </c>
      <c r="I143">
        <v>0</v>
      </c>
      <c r="J143">
        <v>0.2</v>
      </c>
    </row>
    <row r="144" spans="1:10" x14ac:dyDescent="0.3">
      <c r="A144" t="s">
        <v>267</v>
      </c>
      <c r="B144">
        <v>4975</v>
      </c>
      <c r="C144">
        <v>0</v>
      </c>
      <c r="D144">
        <v>0</v>
      </c>
      <c r="E144">
        <v>1532</v>
      </c>
      <c r="F144">
        <v>0</v>
      </c>
      <c r="G144">
        <v>0</v>
      </c>
      <c r="H144">
        <v>0</v>
      </c>
      <c r="I144">
        <v>0</v>
      </c>
      <c r="J144">
        <v>0.2</v>
      </c>
    </row>
    <row r="145" spans="1:10" x14ac:dyDescent="0.3">
      <c r="A145" t="s">
        <v>267</v>
      </c>
      <c r="B145">
        <v>5000</v>
      </c>
      <c r="C145">
        <v>0</v>
      </c>
      <c r="D145">
        <v>1</v>
      </c>
      <c r="E145">
        <v>121592</v>
      </c>
      <c r="F145">
        <v>0</v>
      </c>
      <c r="G145">
        <v>0</v>
      </c>
      <c r="H145">
        <v>0</v>
      </c>
      <c r="I145">
        <v>0</v>
      </c>
      <c r="J145">
        <v>0.2</v>
      </c>
    </row>
    <row r="146" spans="1:10" x14ac:dyDescent="0.3">
      <c r="A146" t="s">
        <v>267</v>
      </c>
      <c r="B146">
        <v>5025</v>
      </c>
      <c r="C146">
        <v>0</v>
      </c>
      <c r="D146">
        <v>0</v>
      </c>
      <c r="E146">
        <v>511</v>
      </c>
      <c r="F146">
        <v>0</v>
      </c>
      <c r="G146">
        <v>0</v>
      </c>
      <c r="H146">
        <v>0</v>
      </c>
      <c r="I146">
        <v>0</v>
      </c>
      <c r="J146">
        <v>0.2</v>
      </c>
    </row>
    <row r="147" spans="1:10" x14ac:dyDescent="0.3">
      <c r="A147" t="s">
        <v>267</v>
      </c>
      <c r="B147">
        <v>5050</v>
      </c>
      <c r="C147">
        <v>0</v>
      </c>
      <c r="D147">
        <v>0</v>
      </c>
      <c r="E147">
        <v>1622</v>
      </c>
      <c r="F147">
        <v>0</v>
      </c>
      <c r="G147">
        <v>0</v>
      </c>
      <c r="H147">
        <v>0</v>
      </c>
      <c r="I147">
        <v>0</v>
      </c>
      <c r="J147">
        <v>0.2</v>
      </c>
    </row>
    <row r="148" spans="1:10" x14ac:dyDescent="0.3">
      <c r="A148" t="s">
        <v>267</v>
      </c>
      <c r="B148">
        <v>5075</v>
      </c>
      <c r="C148">
        <v>0</v>
      </c>
      <c r="D148">
        <v>0</v>
      </c>
      <c r="E148">
        <v>863</v>
      </c>
      <c r="F148">
        <v>0</v>
      </c>
      <c r="G148">
        <v>0</v>
      </c>
      <c r="H148">
        <v>0</v>
      </c>
      <c r="I148">
        <v>0</v>
      </c>
      <c r="J148">
        <v>0.1</v>
      </c>
    </row>
    <row r="149" spans="1:10" x14ac:dyDescent="0.3">
      <c r="A149" t="s">
        <v>267</v>
      </c>
      <c r="B149">
        <v>5100</v>
      </c>
      <c r="C149">
        <v>0</v>
      </c>
      <c r="D149">
        <v>0</v>
      </c>
      <c r="E149">
        <v>4234</v>
      </c>
      <c r="F149">
        <v>0</v>
      </c>
      <c r="G149">
        <v>0</v>
      </c>
      <c r="H149">
        <v>0</v>
      </c>
      <c r="I149">
        <v>0</v>
      </c>
      <c r="J149">
        <v>0.1</v>
      </c>
    </row>
    <row r="150" spans="1:10" x14ac:dyDescent="0.3">
      <c r="A150" t="s">
        <v>267</v>
      </c>
      <c r="B150">
        <v>5125</v>
      </c>
      <c r="C150">
        <v>0</v>
      </c>
      <c r="D150">
        <v>0</v>
      </c>
      <c r="E150">
        <v>1088</v>
      </c>
      <c r="F150">
        <v>0</v>
      </c>
      <c r="G150">
        <v>0</v>
      </c>
      <c r="H150">
        <v>0</v>
      </c>
      <c r="I150">
        <v>0</v>
      </c>
      <c r="J150">
        <v>0.1</v>
      </c>
    </row>
    <row r="151" spans="1:10" x14ac:dyDescent="0.3">
      <c r="A151" t="s">
        <v>267</v>
      </c>
      <c r="B151">
        <v>5150</v>
      </c>
      <c r="C151">
        <v>0</v>
      </c>
      <c r="D151">
        <v>0</v>
      </c>
      <c r="E151">
        <v>3095</v>
      </c>
      <c r="F151">
        <v>0</v>
      </c>
      <c r="G151">
        <v>0</v>
      </c>
      <c r="H151">
        <v>0</v>
      </c>
      <c r="I151">
        <v>0</v>
      </c>
      <c r="J151">
        <v>0.1</v>
      </c>
    </row>
    <row r="152" spans="1:10" x14ac:dyDescent="0.3">
      <c r="A152" t="s">
        <v>267</v>
      </c>
      <c r="B152">
        <v>5175</v>
      </c>
      <c r="C152">
        <v>0</v>
      </c>
      <c r="D152">
        <v>0</v>
      </c>
      <c r="E152">
        <v>1655</v>
      </c>
      <c r="F152">
        <v>0</v>
      </c>
      <c r="G152">
        <v>0</v>
      </c>
      <c r="H152">
        <v>0</v>
      </c>
      <c r="I152">
        <v>0</v>
      </c>
      <c r="J152">
        <v>0.1</v>
      </c>
    </row>
    <row r="153" spans="1:10" x14ac:dyDescent="0.3">
      <c r="A153" t="s">
        <v>267</v>
      </c>
      <c r="B153">
        <v>5200</v>
      </c>
      <c r="C153">
        <v>0</v>
      </c>
      <c r="D153">
        <v>0</v>
      </c>
      <c r="E153">
        <v>33367</v>
      </c>
      <c r="F153">
        <v>0</v>
      </c>
      <c r="G153">
        <v>0</v>
      </c>
      <c r="H153">
        <v>0</v>
      </c>
      <c r="I153">
        <v>0</v>
      </c>
      <c r="J153">
        <v>0.1</v>
      </c>
    </row>
    <row r="154" spans="1:10" x14ac:dyDescent="0.3">
      <c r="A154" t="s">
        <v>267</v>
      </c>
      <c r="B154">
        <v>5225</v>
      </c>
      <c r="C154">
        <v>0</v>
      </c>
      <c r="D154">
        <v>0</v>
      </c>
      <c r="E154">
        <v>634</v>
      </c>
      <c r="F154">
        <v>0</v>
      </c>
      <c r="G154">
        <v>0</v>
      </c>
      <c r="H154">
        <v>0</v>
      </c>
      <c r="I154">
        <v>0</v>
      </c>
      <c r="J154">
        <v>0.1</v>
      </c>
    </row>
    <row r="155" spans="1:10" x14ac:dyDescent="0.3">
      <c r="A155" t="s">
        <v>267</v>
      </c>
      <c r="B155">
        <v>5250</v>
      </c>
      <c r="C155">
        <v>0</v>
      </c>
      <c r="D155">
        <v>0</v>
      </c>
      <c r="E155">
        <v>624</v>
      </c>
      <c r="F155">
        <v>0</v>
      </c>
      <c r="G155">
        <v>0</v>
      </c>
      <c r="H155">
        <v>0</v>
      </c>
      <c r="I155">
        <v>0</v>
      </c>
      <c r="J155">
        <v>0.1</v>
      </c>
    </row>
    <row r="156" spans="1:10" x14ac:dyDescent="0.3">
      <c r="A156" t="s">
        <v>267</v>
      </c>
      <c r="B156">
        <v>5275</v>
      </c>
      <c r="C156">
        <v>0</v>
      </c>
      <c r="D156">
        <v>0</v>
      </c>
      <c r="E156">
        <v>544</v>
      </c>
      <c r="F156">
        <v>0</v>
      </c>
      <c r="G156">
        <v>0</v>
      </c>
      <c r="H156">
        <v>0</v>
      </c>
      <c r="I156">
        <v>0</v>
      </c>
      <c r="J156">
        <v>0.1</v>
      </c>
    </row>
    <row r="157" spans="1:10" x14ac:dyDescent="0.3">
      <c r="A157" t="s">
        <v>267</v>
      </c>
      <c r="B157">
        <v>5300</v>
      </c>
      <c r="C157">
        <v>0</v>
      </c>
      <c r="D157">
        <v>0</v>
      </c>
      <c r="E157">
        <v>2491</v>
      </c>
      <c r="F157">
        <v>0</v>
      </c>
      <c r="G157">
        <v>0</v>
      </c>
      <c r="H157">
        <v>0</v>
      </c>
      <c r="I157">
        <v>0</v>
      </c>
      <c r="J157">
        <v>0.1</v>
      </c>
    </row>
    <row r="158" spans="1:10" x14ac:dyDescent="0.3">
      <c r="A158" t="s">
        <v>267</v>
      </c>
      <c r="B158">
        <v>5325</v>
      </c>
      <c r="C158">
        <v>0</v>
      </c>
      <c r="D158">
        <v>0</v>
      </c>
      <c r="E158">
        <v>1500</v>
      </c>
      <c r="F158">
        <v>0</v>
      </c>
      <c r="G158">
        <v>0</v>
      </c>
      <c r="H158">
        <v>0</v>
      </c>
      <c r="I158">
        <v>0</v>
      </c>
      <c r="J158">
        <v>0.1</v>
      </c>
    </row>
    <row r="159" spans="1:10" x14ac:dyDescent="0.3">
      <c r="A159" t="s">
        <v>267</v>
      </c>
      <c r="B159">
        <v>5350</v>
      </c>
      <c r="C159">
        <v>0</v>
      </c>
      <c r="D159">
        <v>0</v>
      </c>
      <c r="E159">
        <v>360</v>
      </c>
      <c r="F159">
        <v>0</v>
      </c>
      <c r="G159">
        <v>0</v>
      </c>
      <c r="H159">
        <v>0</v>
      </c>
      <c r="I159">
        <v>0</v>
      </c>
      <c r="J159">
        <v>0.1</v>
      </c>
    </row>
    <row r="160" spans="1:10" x14ac:dyDescent="0.3">
      <c r="A160" t="s">
        <v>267</v>
      </c>
      <c r="B160">
        <v>5375</v>
      </c>
      <c r="C160">
        <v>0</v>
      </c>
      <c r="D160">
        <v>0</v>
      </c>
      <c r="E160">
        <v>2700</v>
      </c>
      <c r="F160">
        <v>0</v>
      </c>
      <c r="G160">
        <v>0</v>
      </c>
      <c r="H160">
        <v>0</v>
      </c>
      <c r="I160">
        <v>0</v>
      </c>
      <c r="J160">
        <v>0.1</v>
      </c>
    </row>
    <row r="161" spans="1:10" x14ac:dyDescent="0.3">
      <c r="A161" t="s">
        <v>267</v>
      </c>
      <c r="B161">
        <v>5400</v>
      </c>
      <c r="C161">
        <v>0</v>
      </c>
      <c r="D161">
        <v>0</v>
      </c>
      <c r="E161">
        <v>5233</v>
      </c>
      <c r="F161">
        <v>0</v>
      </c>
      <c r="G161">
        <v>0</v>
      </c>
      <c r="H161">
        <v>0</v>
      </c>
      <c r="I161">
        <v>0</v>
      </c>
      <c r="J161">
        <v>0.1</v>
      </c>
    </row>
    <row r="162" spans="1:10" x14ac:dyDescent="0.3">
      <c r="A162" t="s">
        <v>267</v>
      </c>
      <c r="B162">
        <v>5425</v>
      </c>
      <c r="C162">
        <v>0</v>
      </c>
      <c r="D162">
        <v>0</v>
      </c>
      <c r="E162">
        <v>509</v>
      </c>
      <c r="F162">
        <v>0</v>
      </c>
      <c r="G162">
        <v>0</v>
      </c>
      <c r="H162">
        <v>0</v>
      </c>
      <c r="I162">
        <v>0</v>
      </c>
      <c r="J162">
        <v>0.1</v>
      </c>
    </row>
    <row r="163" spans="1:10" x14ac:dyDescent="0.3">
      <c r="A163" t="s">
        <v>267</v>
      </c>
      <c r="B163">
        <v>5500</v>
      </c>
      <c r="C163">
        <v>0</v>
      </c>
      <c r="D163">
        <v>0</v>
      </c>
      <c r="E163">
        <v>2807</v>
      </c>
      <c r="F163">
        <v>0</v>
      </c>
      <c r="G163">
        <v>0</v>
      </c>
      <c r="H163">
        <v>0</v>
      </c>
      <c r="I163">
        <v>0</v>
      </c>
      <c r="J163">
        <v>0.1</v>
      </c>
    </row>
    <row r="164" spans="1:10" x14ac:dyDescent="0.3">
      <c r="A164" t="s">
        <v>267</v>
      </c>
      <c r="B164">
        <v>5600</v>
      </c>
      <c r="C164">
        <v>0</v>
      </c>
      <c r="D164">
        <v>0</v>
      </c>
      <c r="E164">
        <v>2003</v>
      </c>
      <c r="F164">
        <v>0</v>
      </c>
      <c r="G164">
        <v>0</v>
      </c>
      <c r="H164">
        <v>0</v>
      </c>
      <c r="I164">
        <v>0</v>
      </c>
      <c r="J164">
        <v>0.1</v>
      </c>
    </row>
    <row r="165" spans="1:10" x14ac:dyDescent="0.3">
      <c r="A165" t="s">
        <v>267</v>
      </c>
      <c r="B165">
        <v>5700</v>
      </c>
      <c r="C165">
        <v>0</v>
      </c>
      <c r="D165">
        <v>0</v>
      </c>
      <c r="E165">
        <v>2</v>
      </c>
      <c r="F165">
        <v>0</v>
      </c>
      <c r="G165">
        <v>0</v>
      </c>
      <c r="H165">
        <v>0</v>
      </c>
      <c r="I165">
        <v>0</v>
      </c>
      <c r="J165">
        <v>0.1</v>
      </c>
    </row>
    <row r="166" spans="1:10" x14ac:dyDescent="0.3">
      <c r="A166" t="s">
        <v>267</v>
      </c>
      <c r="B166">
        <v>5800</v>
      </c>
      <c r="C166">
        <v>0</v>
      </c>
      <c r="D166">
        <v>0</v>
      </c>
      <c r="E166">
        <v>1</v>
      </c>
      <c r="F166">
        <v>0</v>
      </c>
      <c r="G166">
        <v>0</v>
      </c>
      <c r="H166">
        <v>0</v>
      </c>
      <c r="I166">
        <v>0</v>
      </c>
      <c r="J166">
        <v>0.1</v>
      </c>
    </row>
    <row r="167" spans="1:10" x14ac:dyDescent="0.3">
      <c r="A167" t="s">
        <v>267</v>
      </c>
      <c r="B167">
        <v>5900</v>
      </c>
      <c r="C167">
        <v>0</v>
      </c>
      <c r="D167">
        <v>0</v>
      </c>
      <c r="E167">
        <v>1</v>
      </c>
      <c r="F167">
        <v>0</v>
      </c>
      <c r="G167">
        <v>0</v>
      </c>
      <c r="H167">
        <v>0</v>
      </c>
      <c r="I167">
        <v>0</v>
      </c>
      <c r="J167">
        <v>0.1</v>
      </c>
    </row>
    <row r="168" spans="1:10" x14ac:dyDescent="0.3">
      <c r="A168" t="s">
        <v>267</v>
      </c>
      <c r="B168">
        <v>6000</v>
      </c>
      <c r="C168">
        <v>0</v>
      </c>
      <c r="D168">
        <v>0</v>
      </c>
      <c r="E168">
        <v>116378</v>
      </c>
      <c r="F168">
        <v>0</v>
      </c>
      <c r="G168">
        <v>0</v>
      </c>
      <c r="H168">
        <v>0</v>
      </c>
      <c r="I168">
        <v>0</v>
      </c>
      <c r="J168">
        <v>0.1</v>
      </c>
    </row>
    <row r="169" spans="1:10" x14ac:dyDescent="0.3">
      <c r="A169" t="s">
        <v>267</v>
      </c>
      <c r="B169">
        <v>6600</v>
      </c>
      <c r="C169">
        <v>0</v>
      </c>
      <c r="D169">
        <v>0</v>
      </c>
      <c r="E169">
        <v>7930</v>
      </c>
      <c r="F169">
        <v>0</v>
      </c>
      <c r="G169">
        <v>0</v>
      </c>
      <c r="H169">
        <v>0</v>
      </c>
      <c r="I169">
        <v>0</v>
      </c>
      <c r="J169">
        <v>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DB53A-6695-41C2-B9C4-9D7ACA65FAF9}">
  <dimension ref="A1:J169"/>
  <sheetViews>
    <sheetView workbookViewId="0">
      <selection activeCell="E91" sqref="E91"/>
    </sheetView>
  </sheetViews>
  <sheetFormatPr baseColWidth="10" defaultColWidth="8.88671875" defaultRowHeight="14.4" x14ac:dyDescent="0.3"/>
  <sheetData>
    <row r="1" spans="1:10" x14ac:dyDescent="0.3">
      <c r="A1" s="138" t="s">
        <v>277</v>
      </c>
      <c r="B1" s="138" t="s">
        <v>276</v>
      </c>
      <c r="C1" s="138" t="s">
        <v>275</v>
      </c>
      <c r="D1" s="138" t="s">
        <v>274</v>
      </c>
      <c r="E1" s="138" t="s">
        <v>273</v>
      </c>
      <c r="F1" s="138" t="s">
        <v>272</v>
      </c>
      <c r="G1" s="138" t="s">
        <v>271</v>
      </c>
      <c r="H1" s="138" t="s">
        <v>270</v>
      </c>
      <c r="I1" s="138" t="s">
        <v>269</v>
      </c>
      <c r="J1" s="138" t="s">
        <v>268</v>
      </c>
    </row>
    <row r="2" spans="1:10" x14ac:dyDescent="0.3">
      <c r="A2" t="s">
        <v>278</v>
      </c>
      <c r="B2">
        <v>100</v>
      </c>
      <c r="C2">
        <v>0</v>
      </c>
      <c r="D2">
        <v>0</v>
      </c>
      <c r="E2">
        <v>36</v>
      </c>
      <c r="F2">
        <v>0</v>
      </c>
      <c r="G2">
        <v>0</v>
      </c>
      <c r="H2">
        <v>0</v>
      </c>
      <c r="I2">
        <v>0</v>
      </c>
      <c r="J2">
        <v>0.1</v>
      </c>
    </row>
    <row r="3" spans="1:10" x14ac:dyDescent="0.3">
      <c r="A3" t="s">
        <v>278</v>
      </c>
      <c r="B3">
        <v>400</v>
      </c>
      <c r="C3">
        <v>0</v>
      </c>
      <c r="D3">
        <v>0</v>
      </c>
      <c r="E3">
        <v>250</v>
      </c>
      <c r="F3">
        <v>0</v>
      </c>
      <c r="G3">
        <v>0</v>
      </c>
      <c r="H3">
        <v>0</v>
      </c>
      <c r="I3">
        <v>0</v>
      </c>
      <c r="J3">
        <v>0.1</v>
      </c>
    </row>
    <row r="4" spans="1:10" x14ac:dyDescent="0.3">
      <c r="A4" t="s">
        <v>278</v>
      </c>
      <c r="B4">
        <v>500</v>
      </c>
      <c r="C4">
        <v>0</v>
      </c>
      <c r="D4">
        <v>0</v>
      </c>
      <c r="E4">
        <v>17</v>
      </c>
      <c r="F4">
        <v>0</v>
      </c>
      <c r="G4">
        <v>0</v>
      </c>
      <c r="H4">
        <v>0</v>
      </c>
      <c r="I4">
        <v>0</v>
      </c>
      <c r="J4">
        <v>0.1</v>
      </c>
    </row>
    <row r="5" spans="1:10" x14ac:dyDescent="0.3">
      <c r="A5" t="s">
        <v>278</v>
      </c>
      <c r="B5">
        <v>600</v>
      </c>
      <c r="C5">
        <v>0</v>
      </c>
      <c r="D5">
        <v>0</v>
      </c>
      <c r="E5">
        <v>4075</v>
      </c>
      <c r="F5">
        <v>0</v>
      </c>
      <c r="G5">
        <v>0</v>
      </c>
      <c r="H5">
        <v>0</v>
      </c>
      <c r="I5">
        <v>0</v>
      </c>
      <c r="J5">
        <v>0.1</v>
      </c>
    </row>
    <row r="6" spans="1:10" x14ac:dyDescent="0.3">
      <c r="A6" t="s">
        <v>278</v>
      </c>
      <c r="B6">
        <v>700</v>
      </c>
      <c r="C6">
        <v>0</v>
      </c>
      <c r="D6">
        <v>0</v>
      </c>
      <c r="E6">
        <v>3900</v>
      </c>
      <c r="F6">
        <v>0</v>
      </c>
      <c r="G6">
        <v>0</v>
      </c>
      <c r="H6">
        <v>0</v>
      </c>
      <c r="I6">
        <v>0</v>
      </c>
      <c r="J6">
        <v>0.1</v>
      </c>
    </row>
    <row r="7" spans="1:10" x14ac:dyDescent="0.3">
      <c r="A7" t="s">
        <v>278</v>
      </c>
      <c r="B7">
        <v>800</v>
      </c>
      <c r="C7">
        <v>0</v>
      </c>
      <c r="D7">
        <v>0</v>
      </c>
      <c r="E7">
        <v>34000</v>
      </c>
      <c r="F7">
        <v>0</v>
      </c>
      <c r="G7">
        <v>0</v>
      </c>
      <c r="H7">
        <v>0</v>
      </c>
      <c r="I7">
        <v>0</v>
      </c>
      <c r="J7">
        <v>0.1</v>
      </c>
    </row>
    <row r="8" spans="1:10" x14ac:dyDescent="0.3">
      <c r="A8" t="s">
        <v>278</v>
      </c>
      <c r="B8">
        <v>900</v>
      </c>
      <c r="C8">
        <v>0</v>
      </c>
      <c r="D8">
        <v>0</v>
      </c>
      <c r="E8">
        <v>4586</v>
      </c>
      <c r="F8">
        <v>0</v>
      </c>
      <c r="G8">
        <v>0</v>
      </c>
      <c r="H8">
        <v>0</v>
      </c>
      <c r="I8">
        <v>0</v>
      </c>
      <c r="J8">
        <v>0.1</v>
      </c>
    </row>
    <row r="9" spans="1:10" x14ac:dyDescent="0.3">
      <c r="A9" t="s">
        <v>278</v>
      </c>
      <c r="B9">
        <v>1000</v>
      </c>
      <c r="C9">
        <v>0</v>
      </c>
      <c r="D9">
        <v>0</v>
      </c>
      <c r="E9">
        <v>140934</v>
      </c>
      <c r="F9">
        <v>0</v>
      </c>
      <c r="G9">
        <v>0</v>
      </c>
      <c r="H9">
        <v>0</v>
      </c>
      <c r="I9">
        <v>0</v>
      </c>
      <c r="J9">
        <v>0.1</v>
      </c>
    </row>
    <row r="10" spans="1:10" x14ac:dyDescent="0.3">
      <c r="A10" t="s">
        <v>278</v>
      </c>
      <c r="B10">
        <v>1050</v>
      </c>
      <c r="C10">
        <v>0</v>
      </c>
      <c r="D10">
        <v>0</v>
      </c>
      <c r="E10">
        <v>169</v>
      </c>
      <c r="F10">
        <v>0</v>
      </c>
      <c r="G10">
        <v>0</v>
      </c>
      <c r="H10">
        <v>0</v>
      </c>
      <c r="I10">
        <v>0</v>
      </c>
      <c r="J10">
        <v>0.1</v>
      </c>
    </row>
    <row r="11" spans="1:10" x14ac:dyDescent="0.3">
      <c r="A11" t="s">
        <v>278</v>
      </c>
      <c r="B11">
        <v>1100</v>
      </c>
      <c r="C11">
        <v>0</v>
      </c>
      <c r="D11">
        <v>0</v>
      </c>
      <c r="E11">
        <v>4282</v>
      </c>
      <c r="F11">
        <v>0</v>
      </c>
      <c r="G11">
        <v>0</v>
      </c>
      <c r="H11">
        <v>0</v>
      </c>
      <c r="I11">
        <v>0</v>
      </c>
      <c r="J11">
        <v>0.1</v>
      </c>
    </row>
    <row r="12" spans="1:10" x14ac:dyDescent="0.3">
      <c r="A12" t="s">
        <v>278</v>
      </c>
      <c r="B12">
        <v>1150</v>
      </c>
      <c r="C12">
        <v>0</v>
      </c>
      <c r="D12">
        <v>0</v>
      </c>
      <c r="E12">
        <v>5</v>
      </c>
      <c r="F12">
        <v>0</v>
      </c>
      <c r="G12">
        <v>0</v>
      </c>
      <c r="H12">
        <v>0</v>
      </c>
      <c r="I12">
        <v>0</v>
      </c>
      <c r="J12">
        <v>0.1</v>
      </c>
    </row>
    <row r="13" spans="1:10" x14ac:dyDescent="0.3">
      <c r="A13" t="s">
        <v>278</v>
      </c>
      <c r="B13">
        <v>1200</v>
      </c>
      <c r="C13">
        <v>0</v>
      </c>
      <c r="D13">
        <v>6800</v>
      </c>
      <c r="E13">
        <v>82274</v>
      </c>
      <c r="F13">
        <v>0</v>
      </c>
      <c r="G13">
        <v>0</v>
      </c>
      <c r="H13">
        <v>0</v>
      </c>
      <c r="I13">
        <v>0</v>
      </c>
      <c r="J13">
        <v>0.1</v>
      </c>
    </row>
    <row r="14" spans="1:10" x14ac:dyDescent="0.3">
      <c r="A14" t="s">
        <v>278</v>
      </c>
      <c r="B14">
        <v>1250</v>
      </c>
      <c r="C14">
        <v>0</v>
      </c>
      <c r="D14">
        <v>0</v>
      </c>
      <c r="E14">
        <v>52</v>
      </c>
      <c r="F14">
        <v>0</v>
      </c>
      <c r="G14">
        <v>0</v>
      </c>
      <c r="H14">
        <v>0</v>
      </c>
      <c r="I14">
        <v>0</v>
      </c>
      <c r="J14">
        <v>0.1</v>
      </c>
    </row>
    <row r="15" spans="1:10" x14ac:dyDescent="0.3">
      <c r="A15" t="s">
        <v>278</v>
      </c>
      <c r="B15">
        <v>1300</v>
      </c>
      <c r="C15">
        <v>0</v>
      </c>
      <c r="D15">
        <v>2800</v>
      </c>
      <c r="E15">
        <v>53113</v>
      </c>
      <c r="F15">
        <v>0</v>
      </c>
      <c r="G15">
        <v>0</v>
      </c>
      <c r="H15">
        <v>0</v>
      </c>
      <c r="I15">
        <v>0</v>
      </c>
      <c r="J15">
        <v>0.1</v>
      </c>
    </row>
    <row r="16" spans="1:10" x14ac:dyDescent="0.3">
      <c r="A16" t="s">
        <v>278</v>
      </c>
      <c r="B16">
        <v>1350</v>
      </c>
      <c r="C16">
        <v>0</v>
      </c>
      <c r="D16">
        <v>0</v>
      </c>
      <c r="E16">
        <v>5307</v>
      </c>
      <c r="F16">
        <v>0</v>
      </c>
      <c r="G16">
        <v>0</v>
      </c>
      <c r="H16">
        <v>0</v>
      </c>
      <c r="I16">
        <v>0</v>
      </c>
      <c r="J16">
        <v>0.1</v>
      </c>
    </row>
    <row r="17" spans="1:10" x14ac:dyDescent="0.3">
      <c r="A17" t="s">
        <v>278</v>
      </c>
      <c r="B17">
        <v>1400</v>
      </c>
      <c r="C17">
        <v>0</v>
      </c>
      <c r="D17">
        <v>5000</v>
      </c>
      <c r="E17">
        <v>36566</v>
      </c>
      <c r="F17">
        <v>0</v>
      </c>
      <c r="G17">
        <v>0</v>
      </c>
      <c r="H17">
        <v>0</v>
      </c>
      <c r="I17">
        <v>0</v>
      </c>
      <c r="J17">
        <v>0.1</v>
      </c>
    </row>
    <row r="18" spans="1:10" x14ac:dyDescent="0.3">
      <c r="A18" t="s">
        <v>278</v>
      </c>
      <c r="B18">
        <v>1450</v>
      </c>
      <c r="C18">
        <v>0</v>
      </c>
      <c r="D18">
        <v>0</v>
      </c>
      <c r="E18">
        <v>452</v>
      </c>
      <c r="F18">
        <v>0</v>
      </c>
      <c r="G18">
        <v>0</v>
      </c>
      <c r="H18">
        <v>0</v>
      </c>
      <c r="I18">
        <v>0</v>
      </c>
      <c r="J18">
        <v>0.1</v>
      </c>
    </row>
    <row r="19" spans="1:10" x14ac:dyDescent="0.3">
      <c r="A19" t="s">
        <v>278</v>
      </c>
      <c r="B19">
        <v>1500</v>
      </c>
      <c r="C19">
        <v>0</v>
      </c>
      <c r="D19">
        <v>0</v>
      </c>
      <c r="E19">
        <v>81272</v>
      </c>
      <c r="F19">
        <v>0</v>
      </c>
      <c r="G19">
        <v>0</v>
      </c>
      <c r="H19">
        <v>0</v>
      </c>
      <c r="I19">
        <v>0</v>
      </c>
      <c r="J19">
        <v>0.1</v>
      </c>
    </row>
    <row r="20" spans="1:10" x14ac:dyDescent="0.3">
      <c r="A20" t="s">
        <v>278</v>
      </c>
      <c r="B20">
        <v>1550</v>
      </c>
      <c r="C20">
        <v>0</v>
      </c>
      <c r="D20">
        <v>0</v>
      </c>
      <c r="E20">
        <v>5137</v>
      </c>
      <c r="F20">
        <v>0</v>
      </c>
      <c r="G20">
        <v>0</v>
      </c>
      <c r="H20">
        <v>0</v>
      </c>
      <c r="I20">
        <v>0</v>
      </c>
      <c r="J20">
        <v>0.2</v>
      </c>
    </row>
    <row r="21" spans="1:10" x14ac:dyDescent="0.3">
      <c r="A21" t="s">
        <v>278</v>
      </c>
      <c r="B21">
        <v>1600</v>
      </c>
      <c r="C21">
        <v>0</v>
      </c>
      <c r="D21">
        <v>0</v>
      </c>
      <c r="E21">
        <v>36238</v>
      </c>
      <c r="F21">
        <v>0</v>
      </c>
      <c r="G21">
        <v>0</v>
      </c>
      <c r="H21">
        <v>0</v>
      </c>
      <c r="I21">
        <v>0</v>
      </c>
      <c r="J21">
        <v>0.2</v>
      </c>
    </row>
    <row r="22" spans="1:10" x14ac:dyDescent="0.3">
      <c r="A22" t="s">
        <v>278</v>
      </c>
      <c r="B22">
        <v>1650</v>
      </c>
      <c r="C22">
        <v>0</v>
      </c>
      <c r="D22">
        <v>0</v>
      </c>
      <c r="E22">
        <v>1117</v>
      </c>
      <c r="F22">
        <v>0</v>
      </c>
      <c r="G22">
        <v>0</v>
      </c>
      <c r="H22">
        <v>0</v>
      </c>
      <c r="I22">
        <v>0</v>
      </c>
      <c r="J22">
        <v>0.2</v>
      </c>
    </row>
    <row r="23" spans="1:10" x14ac:dyDescent="0.3">
      <c r="A23" t="s">
        <v>278</v>
      </c>
      <c r="B23">
        <v>1700</v>
      </c>
      <c r="C23">
        <v>0</v>
      </c>
      <c r="D23">
        <v>0</v>
      </c>
      <c r="E23">
        <v>31452</v>
      </c>
      <c r="F23">
        <v>0</v>
      </c>
      <c r="G23">
        <v>0</v>
      </c>
      <c r="H23">
        <v>0</v>
      </c>
      <c r="I23">
        <v>0</v>
      </c>
      <c r="J23">
        <v>0.3</v>
      </c>
    </row>
    <row r="24" spans="1:10" x14ac:dyDescent="0.3">
      <c r="A24" t="s">
        <v>278</v>
      </c>
      <c r="B24">
        <v>1750</v>
      </c>
      <c r="C24">
        <v>0</v>
      </c>
      <c r="D24">
        <v>0</v>
      </c>
      <c r="E24">
        <v>11441</v>
      </c>
      <c r="F24">
        <v>0</v>
      </c>
      <c r="G24">
        <v>0</v>
      </c>
      <c r="H24">
        <v>0</v>
      </c>
      <c r="I24">
        <v>0</v>
      </c>
      <c r="J24">
        <v>0.3</v>
      </c>
    </row>
    <row r="25" spans="1:10" x14ac:dyDescent="0.3">
      <c r="A25" t="s">
        <v>278</v>
      </c>
      <c r="B25">
        <v>1800</v>
      </c>
      <c r="C25">
        <v>0</v>
      </c>
      <c r="D25">
        <v>3600</v>
      </c>
      <c r="E25">
        <v>95956</v>
      </c>
      <c r="F25">
        <v>0</v>
      </c>
      <c r="G25">
        <v>0</v>
      </c>
      <c r="H25">
        <v>0</v>
      </c>
      <c r="I25">
        <v>0</v>
      </c>
      <c r="J25">
        <v>0.4</v>
      </c>
    </row>
    <row r="26" spans="1:10" x14ac:dyDescent="0.3">
      <c r="A26" t="s">
        <v>278</v>
      </c>
      <c r="B26">
        <v>1850</v>
      </c>
      <c r="C26">
        <v>0</v>
      </c>
      <c r="D26">
        <v>0</v>
      </c>
      <c r="E26">
        <v>398</v>
      </c>
      <c r="F26">
        <v>0</v>
      </c>
      <c r="G26">
        <v>0</v>
      </c>
      <c r="H26">
        <v>0</v>
      </c>
      <c r="I26">
        <v>0</v>
      </c>
      <c r="J26">
        <v>0.4</v>
      </c>
    </row>
    <row r="27" spans="1:10" x14ac:dyDescent="0.3">
      <c r="A27" t="s">
        <v>278</v>
      </c>
      <c r="B27">
        <v>1900</v>
      </c>
      <c r="C27">
        <v>0</v>
      </c>
      <c r="D27">
        <v>28</v>
      </c>
      <c r="E27">
        <v>53371</v>
      </c>
      <c r="F27">
        <v>0</v>
      </c>
      <c r="G27">
        <v>0</v>
      </c>
      <c r="H27">
        <v>0</v>
      </c>
      <c r="I27">
        <v>0</v>
      </c>
      <c r="J27">
        <v>0.5</v>
      </c>
    </row>
    <row r="28" spans="1:10" x14ac:dyDescent="0.3">
      <c r="A28" t="s">
        <v>278</v>
      </c>
      <c r="B28">
        <v>1950</v>
      </c>
      <c r="C28">
        <v>0</v>
      </c>
      <c r="D28">
        <v>5</v>
      </c>
      <c r="E28">
        <v>2438</v>
      </c>
      <c r="F28">
        <v>0</v>
      </c>
      <c r="G28">
        <v>0</v>
      </c>
      <c r="H28">
        <v>0</v>
      </c>
      <c r="I28">
        <v>0</v>
      </c>
      <c r="J28">
        <v>0.6</v>
      </c>
    </row>
    <row r="29" spans="1:10" x14ac:dyDescent="0.3">
      <c r="A29" t="s">
        <v>278</v>
      </c>
      <c r="B29">
        <v>2000</v>
      </c>
      <c r="C29">
        <v>0</v>
      </c>
      <c r="D29">
        <v>0</v>
      </c>
      <c r="E29">
        <v>131532</v>
      </c>
      <c r="F29">
        <v>0</v>
      </c>
      <c r="G29">
        <v>0</v>
      </c>
      <c r="H29">
        <v>0</v>
      </c>
      <c r="I29">
        <v>0</v>
      </c>
      <c r="J29">
        <v>0.7</v>
      </c>
    </row>
    <row r="30" spans="1:10" x14ac:dyDescent="0.3">
      <c r="A30" t="s">
        <v>278</v>
      </c>
      <c r="B30">
        <v>2050</v>
      </c>
      <c r="C30">
        <v>0</v>
      </c>
      <c r="D30">
        <v>0</v>
      </c>
      <c r="E30">
        <v>2274</v>
      </c>
      <c r="F30">
        <v>0</v>
      </c>
      <c r="G30">
        <v>0</v>
      </c>
      <c r="H30">
        <v>0</v>
      </c>
      <c r="I30">
        <v>0</v>
      </c>
      <c r="J30">
        <v>0.8</v>
      </c>
    </row>
    <row r="31" spans="1:10" x14ac:dyDescent="0.3">
      <c r="A31" t="s">
        <v>278</v>
      </c>
      <c r="B31">
        <v>2100</v>
      </c>
      <c r="C31">
        <v>0</v>
      </c>
      <c r="D31">
        <v>0</v>
      </c>
      <c r="E31">
        <v>45751</v>
      </c>
      <c r="F31">
        <v>0</v>
      </c>
      <c r="G31">
        <v>0</v>
      </c>
      <c r="H31">
        <v>0</v>
      </c>
      <c r="I31">
        <v>0</v>
      </c>
      <c r="J31">
        <v>0.9</v>
      </c>
    </row>
    <row r="32" spans="1:10" x14ac:dyDescent="0.3">
      <c r="A32" t="s">
        <v>278</v>
      </c>
      <c r="B32">
        <v>2150</v>
      </c>
      <c r="C32">
        <v>0</v>
      </c>
      <c r="D32">
        <v>0</v>
      </c>
      <c r="E32">
        <v>9919</v>
      </c>
      <c r="F32">
        <v>0</v>
      </c>
      <c r="G32">
        <v>0</v>
      </c>
      <c r="H32">
        <v>0</v>
      </c>
      <c r="I32">
        <v>0</v>
      </c>
      <c r="J32">
        <v>1</v>
      </c>
    </row>
    <row r="33" spans="1:10" x14ac:dyDescent="0.3">
      <c r="A33" t="s">
        <v>278</v>
      </c>
      <c r="B33">
        <v>2175</v>
      </c>
      <c r="C33">
        <v>0</v>
      </c>
      <c r="D33">
        <v>0</v>
      </c>
      <c r="E33">
        <v>3096</v>
      </c>
      <c r="F33">
        <v>0</v>
      </c>
      <c r="G33">
        <v>0</v>
      </c>
      <c r="H33">
        <v>0</v>
      </c>
      <c r="I33">
        <v>0</v>
      </c>
      <c r="J33">
        <v>1.1000000000000001</v>
      </c>
    </row>
    <row r="34" spans="1:10" x14ac:dyDescent="0.3">
      <c r="A34" t="s">
        <v>278</v>
      </c>
      <c r="B34">
        <v>2200</v>
      </c>
      <c r="C34">
        <v>0</v>
      </c>
      <c r="D34">
        <v>3439</v>
      </c>
      <c r="E34">
        <v>120723</v>
      </c>
      <c r="F34">
        <v>1</v>
      </c>
      <c r="G34">
        <v>1.1000000000000001</v>
      </c>
      <c r="H34">
        <v>1</v>
      </c>
      <c r="I34">
        <v>1.1000000000000001</v>
      </c>
      <c r="J34">
        <v>1.2</v>
      </c>
    </row>
    <row r="35" spans="1:10" x14ac:dyDescent="0.3">
      <c r="A35" t="s">
        <v>278</v>
      </c>
      <c r="B35">
        <v>2250</v>
      </c>
      <c r="C35">
        <v>0</v>
      </c>
      <c r="D35">
        <v>1300</v>
      </c>
      <c r="E35">
        <v>6955</v>
      </c>
      <c r="F35">
        <v>1.1000000000000001</v>
      </c>
      <c r="G35">
        <v>1.3</v>
      </c>
      <c r="H35">
        <v>1.1000000000000001</v>
      </c>
      <c r="I35">
        <v>1.3</v>
      </c>
      <c r="J35">
        <v>1.3</v>
      </c>
    </row>
    <row r="36" spans="1:10" x14ac:dyDescent="0.3">
      <c r="A36" t="s">
        <v>278</v>
      </c>
      <c r="B36">
        <v>2275</v>
      </c>
      <c r="C36">
        <v>0</v>
      </c>
      <c r="D36">
        <v>132</v>
      </c>
      <c r="E36">
        <v>1490</v>
      </c>
      <c r="F36">
        <v>1.2</v>
      </c>
      <c r="G36">
        <v>1.4</v>
      </c>
      <c r="H36">
        <v>1.2</v>
      </c>
      <c r="I36">
        <v>1.4</v>
      </c>
      <c r="J36">
        <v>1.4</v>
      </c>
    </row>
    <row r="37" spans="1:10" x14ac:dyDescent="0.3">
      <c r="A37" t="s">
        <v>278</v>
      </c>
      <c r="B37">
        <v>2300</v>
      </c>
      <c r="C37">
        <v>0</v>
      </c>
      <c r="D37">
        <v>52</v>
      </c>
      <c r="E37">
        <v>85273</v>
      </c>
      <c r="F37">
        <v>1.2</v>
      </c>
      <c r="G37">
        <v>1.5</v>
      </c>
      <c r="H37">
        <v>1.2</v>
      </c>
      <c r="I37">
        <v>1.5</v>
      </c>
      <c r="J37">
        <v>1.5</v>
      </c>
    </row>
    <row r="38" spans="1:10" x14ac:dyDescent="0.3">
      <c r="A38" t="s">
        <v>278</v>
      </c>
      <c r="B38">
        <v>2325</v>
      </c>
      <c r="C38">
        <v>0</v>
      </c>
      <c r="D38">
        <v>0</v>
      </c>
      <c r="E38">
        <v>5733</v>
      </c>
      <c r="F38">
        <v>0</v>
      </c>
      <c r="G38">
        <v>0</v>
      </c>
      <c r="H38">
        <v>0</v>
      </c>
      <c r="I38">
        <v>0</v>
      </c>
      <c r="J38">
        <v>1.6</v>
      </c>
    </row>
    <row r="39" spans="1:10" x14ac:dyDescent="0.3">
      <c r="A39" t="s">
        <v>278</v>
      </c>
      <c r="B39">
        <v>2350</v>
      </c>
      <c r="C39">
        <v>0</v>
      </c>
      <c r="D39">
        <v>26</v>
      </c>
      <c r="E39">
        <v>3207</v>
      </c>
      <c r="F39">
        <v>1.4</v>
      </c>
      <c r="G39">
        <v>1.6</v>
      </c>
      <c r="H39">
        <v>1.4</v>
      </c>
      <c r="I39">
        <v>1.6</v>
      </c>
      <c r="J39">
        <v>1.7</v>
      </c>
    </row>
    <row r="40" spans="1:10" x14ac:dyDescent="0.3">
      <c r="A40" t="s">
        <v>278</v>
      </c>
      <c r="B40">
        <v>2375</v>
      </c>
      <c r="C40">
        <v>0</v>
      </c>
      <c r="D40">
        <v>22</v>
      </c>
      <c r="E40">
        <v>426</v>
      </c>
      <c r="F40">
        <v>1.5</v>
      </c>
      <c r="G40">
        <v>1.7</v>
      </c>
      <c r="H40">
        <v>1.5</v>
      </c>
      <c r="I40">
        <v>1.7</v>
      </c>
      <c r="J40">
        <v>1.8</v>
      </c>
    </row>
    <row r="41" spans="1:10" x14ac:dyDescent="0.3">
      <c r="A41" t="s">
        <v>278</v>
      </c>
      <c r="B41">
        <v>2400</v>
      </c>
      <c r="C41">
        <v>0</v>
      </c>
      <c r="D41">
        <v>16642</v>
      </c>
      <c r="E41">
        <v>148393</v>
      </c>
      <c r="F41">
        <v>1.6</v>
      </c>
      <c r="G41">
        <v>1.9</v>
      </c>
      <c r="H41">
        <v>1.6</v>
      </c>
      <c r="I41">
        <v>1.9</v>
      </c>
      <c r="J41">
        <v>1.9</v>
      </c>
    </row>
    <row r="42" spans="1:10" x14ac:dyDescent="0.3">
      <c r="A42" t="s">
        <v>278</v>
      </c>
      <c r="B42">
        <v>2425</v>
      </c>
      <c r="C42">
        <v>0</v>
      </c>
      <c r="D42">
        <v>217</v>
      </c>
      <c r="E42">
        <v>460</v>
      </c>
      <c r="F42">
        <v>1.6</v>
      </c>
      <c r="G42">
        <v>2</v>
      </c>
      <c r="H42">
        <v>1.6</v>
      </c>
      <c r="I42">
        <v>2</v>
      </c>
      <c r="J42">
        <v>2</v>
      </c>
    </row>
    <row r="43" spans="1:10" x14ac:dyDescent="0.3">
      <c r="A43" t="s">
        <v>278</v>
      </c>
      <c r="B43">
        <v>2450</v>
      </c>
      <c r="C43">
        <v>0</v>
      </c>
      <c r="D43">
        <v>125</v>
      </c>
      <c r="E43">
        <v>3934</v>
      </c>
      <c r="F43">
        <v>2</v>
      </c>
      <c r="G43">
        <v>2.1</v>
      </c>
      <c r="H43">
        <v>1.9</v>
      </c>
      <c r="I43">
        <v>2.1</v>
      </c>
      <c r="J43">
        <v>2.1</v>
      </c>
    </row>
    <row r="44" spans="1:10" x14ac:dyDescent="0.3">
      <c r="A44" t="s">
        <v>278</v>
      </c>
      <c r="B44">
        <v>2475</v>
      </c>
      <c r="C44">
        <v>0</v>
      </c>
      <c r="D44">
        <v>117</v>
      </c>
      <c r="E44">
        <v>25023</v>
      </c>
      <c r="F44">
        <v>1.9</v>
      </c>
      <c r="G44">
        <v>2.2000000000000002</v>
      </c>
      <c r="H44">
        <v>1.9</v>
      </c>
      <c r="I44">
        <v>2.2000000000000002</v>
      </c>
      <c r="J44">
        <v>2.2000000000000002</v>
      </c>
    </row>
    <row r="45" spans="1:10" x14ac:dyDescent="0.3">
      <c r="A45" t="s">
        <v>278</v>
      </c>
      <c r="B45">
        <v>2500</v>
      </c>
      <c r="C45">
        <v>0</v>
      </c>
      <c r="D45">
        <v>1212</v>
      </c>
      <c r="E45">
        <v>163958</v>
      </c>
      <c r="F45">
        <v>2.1</v>
      </c>
      <c r="G45">
        <v>2.2999999999999998</v>
      </c>
      <c r="H45">
        <v>2</v>
      </c>
      <c r="I45">
        <v>2.2999999999999998</v>
      </c>
      <c r="J45">
        <v>2.2999999999999998</v>
      </c>
    </row>
    <row r="46" spans="1:10" x14ac:dyDescent="0.3">
      <c r="A46" t="s">
        <v>278</v>
      </c>
      <c r="B46">
        <v>2525</v>
      </c>
      <c r="C46">
        <v>0</v>
      </c>
      <c r="D46">
        <v>657</v>
      </c>
      <c r="E46">
        <v>2721</v>
      </c>
      <c r="F46">
        <v>2.2000000000000002</v>
      </c>
      <c r="G46">
        <v>2.4</v>
      </c>
      <c r="H46">
        <v>2.2000000000000002</v>
      </c>
      <c r="I46">
        <v>2.4</v>
      </c>
      <c r="J46">
        <v>2.5</v>
      </c>
    </row>
    <row r="47" spans="1:10" x14ac:dyDescent="0.3">
      <c r="A47" t="s">
        <v>278</v>
      </c>
      <c r="B47">
        <v>2550</v>
      </c>
      <c r="C47">
        <v>0</v>
      </c>
      <c r="D47">
        <v>119</v>
      </c>
      <c r="E47">
        <v>10228</v>
      </c>
      <c r="F47">
        <v>2.2999999999999998</v>
      </c>
      <c r="G47">
        <v>2.6</v>
      </c>
      <c r="H47">
        <v>2.2999999999999998</v>
      </c>
      <c r="I47">
        <v>2.6</v>
      </c>
      <c r="J47">
        <v>2.6</v>
      </c>
    </row>
    <row r="48" spans="1:10" x14ac:dyDescent="0.3">
      <c r="A48" t="s">
        <v>278</v>
      </c>
      <c r="B48">
        <v>2575</v>
      </c>
      <c r="C48">
        <v>0</v>
      </c>
      <c r="D48">
        <v>118</v>
      </c>
      <c r="E48">
        <v>1339</v>
      </c>
      <c r="F48">
        <v>2.6</v>
      </c>
      <c r="G48">
        <v>2.7</v>
      </c>
      <c r="H48">
        <v>2.5</v>
      </c>
      <c r="I48">
        <v>2.7</v>
      </c>
      <c r="J48">
        <v>2.7</v>
      </c>
    </row>
    <row r="49" spans="1:10" x14ac:dyDescent="0.3">
      <c r="A49" t="s">
        <v>278</v>
      </c>
      <c r="B49">
        <v>2600</v>
      </c>
      <c r="C49">
        <v>0</v>
      </c>
      <c r="D49">
        <v>1577</v>
      </c>
      <c r="E49">
        <v>167764</v>
      </c>
      <c r="F49">
        <v>2.2999999999999998</v>
      </c>
      <c r="G49">
        <v>2.9</v>
      </c>
      <c r="H49">
        <v>2.2999999999999998</v>
      </c>
      <c r="I49">
        <v>2.9</v>
      </c>
      <c r="J49">
        <v>2.9</v>
      </c>
    </row>
    <row r="50" spans="1:10" x14ac:dyDescent="0.3">
      <c r="A50" t="s">
        <v>278</v>
      </c>
      <c r="B50">
        <v>2625</v>
      </c>
      <c r="C50">
        <v>0</v>
      </c>
      <c r="D50">
        <v>267</v>
      </c>
      <c r="E50">
        <v>1328</v>
      </c>
      <c r="F50">
        <v>2.4</v>
      </c>
      <c r="G50">
        <v>3.1</v>
      </c>
      <c r="H50">
        <v>2.4</v>
      </c>
      <c r="I50">
        <v>3</v>
      </c>
      <c r="J50">
        <v>3</v>
      </c>
    </row>
    <row r="51" spans="1:10" x14ac:dyDescent="0.3">
      <c r="A51" t="s">
        <v>278</v>
      </c>
      <c r="B51">
        <v>2650</v>
      </c>
      <c r="C51">
        <v>0</v>
      </c>
      <c r="D51">
        <v>142</v>
      </c>
      <c r="E51">
        <v>12626</v>
      </c>
      <c r="F51">
        <v>2.5</v>
      </c>
      <c r="G51">
        <v>3.2</v>
      </c>
      <c r="H51">
        <v>2.5</v>
      </c>
      <c r="I51">
        <v>3.2</v>
      </c>
      <c r="J51">
        <v>3.2</v>
      </c>
    </row>
    <row r="52" spans="1:10" x14ac:dyDescent="0.3">
      <c r="A52" t="s">
        <v>278</v>
      </c>
      <c r="B52">
        <v>2675</v>
      </c>
      <c r="C52">
        <v>0</v>
      </c>
      <c r="D52">
        <v>112</v>
      </c>
      <c r="E52">
        <v>3129</v>
      </c>
      <c r="F52">
        <v>2.6</v>
      </c>
      <c r="G52">
        <v>3.4</v>
      </c>
      <c r="H52">
        <v>2.6</v>
      </c>
      <c r="I52">
        <v>3.4</v>
      </c>
      <c r="J52">
        <v>3.4</v>
      </c>
    </row>
    <row r="53" spans="1:10" x14ac:dyDescent="0.3">
      <c r="A53" t="s">
        <v>278</v>
      </c>
      <c r="B53">
        <v>2700</v>
      </c>
      <c r="C53">
        <v>0</v>
      </c>
      <c r="D53">
        <v>137</v>
      </c>
      <c r="E53">
        <v>89590</v>
      </c>
      <c r="F53">
        <v>2.9</v>
      </c>
      <c r="G53">
        <v>3.5</v>
      </c>
      <c r="H53">
        <v>2.8</v>
      </c>
      <c r="I53">
        <v>3.5</v>
      </c>
      <c r="J53">
        <v>3.6</v>
      </c>
    </row>
    <row r="54" spans="1:10" x14ac:dyDescent="0.3">
      <c r="A54" t="s">
        <v>278</v>
      </c>
      <c r="B54">
        <v>2725</v>
      </c>
      <c r="C54">
        <v>0</v>
      </c>
      <c r="D54">
        <v>170</v>
      </c>
      <c r="E54">
        <v>11005</v>
      </c>
      <c r="F54">
        <v>3.4</v>
      </c>
      <c r="G54">
        <v>3.8</v>
      </c>
      <c r="H54">
        <v>2.9</v>
      </c>
      <c r="I54">
        <v>3.8</v>
      </c>
      <c r="J54">
        <v>3.8</v>
      </c>
    </row>
    <row r="55" spans="1:10" x14ac:dyDescent="0.3">
      <c r="A55" t="s">
        <v>278</v>
      </c>
      <c r="B55">
        <v>2750</v>
      </c>
      <c r="C55">
        <v>0</v>
      </c>
      <c r="D55">
        <v>245</v>
      </c>
      <c r="E55">
        <v>7725</v>
      </c>
      <c r="F55">
        <v>3.1</v>
      </c>
      <c r="G55">
        <v>4</v>
      </c>
      <c r="H55">
        <v>3.1</v>
      </c>
      <c r="I55">
        <v>4</v>
      </c>
      <c r="J55">
        <v>3.9</v>
      </c>
    </row>
    <row r="56" spans="1:10" x14ac:dyDescent="0.3">
      <c r="A56" t="s">
        <v>278</v>
      </c>
      <c r="B56">
        <v>2775</v>
      </c>
      <c r="C56">
        <v>0</v>
      </c>
      <c r="D56">
        <v>227</v>
      </c>
      <c r="E56">
        <v>4178</v>
      </c>
      <c r="F56">
        <v>3.7</v>
      </c>
      <c r="G56">
        <v>4.2</v>
      </c>
      <c r="H56">
        <v>3.7</v>
      </c>
      <c r="I56">
        <v>4.2</v>
      </c>
      <c r="J56">
        <v>4.2</v>
      </c>
    </row>
    <row r="57" spans="1:10" x14ac:dyDescent="0.3">
      <c r="A57" t="s">
        <v>278</v>
      </c>
      <c r="B57">
        <v>2800</v>
      </c>
      <c r="C57">
        <v>0</v>
      </c>
      <c r="D57">
        <v>3263</v>
      </c>
      <c r="E57">
        <v>115714</v>
      </c>
      <c r="F57">
        <v>3.9</v>
      </c>
      <c r="G57">
        <v>4.4000000000000004</v>
      </c>
      <c r="H57">
        <v>3.9</v>
      </c>
      <c r="I57">
        <v>4.4000000000000004</v>
      </c>
      <c r="J57">
        <v>4.4000000000000004</v>
      </c>
    </row>
    <row r="58" spans="1:10" x14ac:dyDescent="0.3">
      <c r="A58" t="s">
        <v>278</v>
      </c>
      <c r="B58">
        <v>2825</v>
      </c>
      <c r="C58">
        <v>0</v>
      </c>
      <c r="D58">
        <v>292</v>
      </c>
      <c r="E58">
        <v>1141</v>
      </c>
      <c r="F58">
        <v>4.4000000000000004</v>
      </c>
      <c r="G58">
        <v>4.5999999999999996</v>
      </c>
      <c r="H58">
        <v>4.3</v>
      </c>
      <c r="I58">
        <v>4.5999999999999996</v>
      </c>
      <c r="J58">
        <v>4.5999999999999996</v>
      </c>
    </row>
    <row r="59" spans="1:10" x14ac:dyDescent="0.3">
      <c r="A59" t="s">
        <v>278</v>
      </c>
      <c r="B59">
        <v>2850</v>
      </c>
      <c r="C59">
        <v>0</v>
      </c>
      <c r="D59">
        <v>281</v>
      </c>
      <c r="E59">
        <v>28746</v>
      </c>
      <c r="F59">
        <v>4.0999999999999996</v>
      </c>
      <c r="G59">
        <v>4.9000000000000004</v>
      </c>
      <c r="H59">
        <v>4.0999999999999996</v>
      </c>
      <c r="I59">
        <v>4.9000000000000004</v>
      </c>
      <c r="J59">
        <v>4.8</v>
      </c>
    </row>
    <row r="60" spans="1:10" x14ac:dyDescent="0.3">
      <c r="A60" t="s">
        <v>278</v>
      </c>
      <c r="B60">
        <v>2875</v>
      </c>
      <c r="C60">
        <v>0</v>
      </c>
      <c r="D60">
        <v>275</v>
      </c>
      <c r="E60">
        <v>2629</v>
      </c>
      <c r="F60">
        <v>4.7</v>
      </c>
      <c r="G60">
        <v>5.0999999999999996</v>
      </c>
      <c r="H60">
        <v>4.7</v>
      </c>
      <c r="I60">
        <v>5.0999999999999996</v>
      </c>
      <c r="J60">
        <v>5.0999999999999996</v>
      </c>
    </row>
    <row r="61" spans="1:10" x14ac:dyDescent="0.3">
      <c r="A61" t="s">
        <v>278</v>
      </c>
      <c r="B61">
        <v>2900</v>
      </c>
      <c r="C61">
        <v>0</v>
      </c>
      <c r="D61">
        <v>454</v>
      </c>
      <c r="E61">
        <v>101626</v>
      </c>
      <c r="F61">
        <v>4.8</v>
      </c>
      <c r="G61">
        <v>5.4</v>
      </c>
      <c r="H61">
        <v>4.8</v>
      </c>
      <c r="I61">
        <v>5.4</v>
      </c>
      <c r="J61">
        <v>5.3</v>
      </c>
    </row>
    <row r="62" spans="1:10" x14ac:dyDescent="0.3">
      <c r="A62" t="s">
        <v>278</v>
      </c>
      <c r="B62">
        <v>2925</v>
      </c>
      <c r="C62">
        <v>0</v>
      </c>
      <c r="D62">
        <v>568</v>
      </c>
      <c r="E62">
        <v>2268</v>
      </c>
      <c r="F62">
        <v>5</v>
      </c>
      <c r="G62">
        <v>5.7</v>
      </c>
      <c r="H62">
        <v>5</v>
      </c>
      <c r="I62">
        <v>5.6</v>
      </c>
      <c r="J62">
        <v>5.6</v>
      </c>
    </row>
    <row r="63" spans="1:10" x14ac:dyDescent="0.3">
      <c r="A63" t="s">
        <v>278</v>
      </c>
      <c r="B63">
        <v>2950</v>
      </c>
      <c r="C63">
        <v>0</v>
      </c>
      <c r="D63">
        <v>320</v>
      </c>
      <c r="E63">
        <v>5337</v>
      </c>
      <c r="F63">
        <v>5.2</v>
      </c>
      <c r="G63">
        <v>6</v>
      </c>
      <c r="H63">
        <v>5.2</v>
      </c>
      <c r="I63">
        <v>5.9</v>
      </c>
      <c r="J63">
        <v>5.9</v>
      </c>
    </row>
    <row r="64" spans="1:10" x14ac:dyDescent="0.3">
      <c r="A64" t="s">
        <v>278</v>
      </c>
      <c r="B64">
        <v>2975</v>
      </c>
      <c r="C64">
        <v>0</v>
      </c>
      <c r="D64">
        <v>207</v>
      </c>
      <c r="E64">
        <v>3385</v>
      </c>
      <c r="F64">
        <v>5.6</v>
      </c>
      <c r="G64">
        <v>6.3</v>
      </c>
      <c r="H64">
        <v>5.6</v>
      </c>
      <c r="I64">
        <v>6.3</v>
      </c>
      <c r="J64">
        <v>6.2</v>
      </c>
    </row>
    <row r="65" spans="1:10" x14ac:dyDescent="0.3">
      <c r="A65" t="s">
        <v>278</v>
      </c>
      <c r="B65">
        <v>3000</v>
      </c>
      <c r="C65">
        <v>0</v>
      </c>
      <c r="D65">
        <v>10671</v>
      </c>
      <c r="E65">
        <v>189572</v>
      </c>
      <c r="F65">
        <v>5.4</v>
      </c>
      <c r="G65">
        <v>6.6</v>
      </c>
      <c r="H65">
        <v>5.3</v>
      </c>
      <c r="I65">
        <v>6.6</v>
      </c>
      <c r="J65">
        <v>6.5</v>
      </c>
    </row>
    <row r="66" spans="1:10" x14ac:dyDescent="0.3">
      <c r="A66" t="s">
        <v>278</v>
      </c>
      <c r="B66">
        <v>3025</v>
      </c>
      <c r="C66">
        <v>0</v>
      </c>
      <c r="D66">
        <v>408</v>
      </c>
      <c r="E66">
        <v>3196</v>
      </c>
      <c r="F66">
        <v>6.3</v>
      </c>
      <c r="G66">
        <v>7</v>
      </c>
      <c r="H66">
        <v>6.3</v>
      </c>
      <c r="I66">
        <v>6.9</v>
      </c>
      <c r="J66">
        <v>6.9</v>
      </c>
    </row>
    <row r="67" spans="1:10" x14ac:dyDescent="0.3">
      <c r="A67" t="s">
        <v>278</v>
      </c>
      <c r="B67">
        <v>3050</v>
      </c>
      <c r="C67">
        <v>0</v>
      </c>
      <c r="D67">
        <v>317</v>
      </c>
      <c r="E67">
        <v>4172</v>
      </c>
      <c r="F67">
        <v>6.3</v>
      </c>
      <c r="G67">
        <v>7.3</v>
      </c>
      <c r="H67">
        <v>6.3</v>
      </c>
      <c r="I67">
        <v>7.3</v>
      </c>
      <c r="J67">
        <v>7.3</v>
      </c>
    </row>
    <row r="68" spans="1:10" x14ac:dyDescent="0.3">
      <c r="A68" t="s">
        <v>278</v>
      </c>
      <c r="B68">
        <v>3075</v>
      </c>
      <c r="C68">
        <v>0</v>
      </c>
      <c r="D68">
        <v>1045</v>
      </c>
      <c r="E68">
        <v>2281</v>
      </c>
      <c r="F68">
        <v>6.6</v>
      </c>
      <c r="G68">
        <v>7.7</v>
      </c>
      <c r="H68">
        <v>6.6</v>
      </c>
      <c r="I68">
        <v>7.7</v>
      </c>
      <c r="J68">
        <v>7.6</v>
      </c>
    </row>
    <row r="69" spans="1:10" x14ac:dyDescent="0.3">
      <c r="A69" t="s">
        <v>278</v>
      </c>
      <c r="B69">
        <v>3100</v>
      </c>
      <c r="C69">
        <v>0</v>
      </c>
      <c r="D69">
        <v>567</v>
      </c>
      <c r="E69">
        <v>158165</v>
      </c>
      <c r="F69">
        <v>7.3</v>
      </c>
      <c r="G69">
        <v>8.1999999999999993</v>
      </c>
      <c r="H69">
        <v>7.2</v>
      </c>
      <c r="I69">
        <v>8.1</v>
      </c>
      <c r="J69">
        <v>8.1</v>
      </c>
    </row>
    <row r="70" spans="1:10" x14ac:dyDescent="0.3">
      <c r="A70" t="s">
        <v>278</v>
      </c>
      <c r="B70">
        <v>3125</v>
      </c>
      <c r="C70">
        <v>0</v>
      </c>
      <c r="D70">
        <v>556</v>
      </c>
      <c r="E70">
        <v>3302</v>
      </c>
      <c r="F70">
        <v>7.6</v>
      </c>
      <c r="G70">
        <v>8.6</v>
      </c>
      <c r="H70">
        <v>7.6</v>
      </c>
      <c r="I70">
        <v>8.6</v>
      </c>
      <c r="J70">
        <v>8.5</v>
      </c>
    </row>
    <row r="71" spans="1:10" x14ac:dyDescent="0.3">
      <c r="A71" t="s">
        <v>278</v>
      </c>
      <c r="B71">
        <v>3150</v>
      </c>
      <c r="C71">
        <v>0</v>
      </c>
      <c r="D71">
        <v>504</v>
      </c>
      <c r="E71">
        <v>28497</v>
      </c>
      <c r="F71">
        <v>7.9</v>
      </c>
      <c r="G71">
        <v>9.1</v>
      </c>
      <c r="H71">
        <v>7.9</v>
      </c>
      <c r="I71">
        <v>9.1</v>
      </c>
      <c r="J71">
        <v>9</v>
      </c>
    </row>
    <row r="72" spans="1:10" x14ac:dyDescent="0.3">
      <c r="A72" t="s">
        <v>278</v>
      </c>
      <c r="B72">
        <v>3175</v>
      </c>
      <c r="C72">
        <v>0</v>
      </c>
      <c r="D72">
        <v>665</v>
      </c>
      <c r="E72">
        <v>3753</v>
      </c>
      <c r="F72">
        <v>8.4</v>
      </c>
      <c r="G72">
        <v>9.6</v>
      </c>
      <c r="H72">
        <v>8.4</v>
      </c>
      <c r="I72">
        <v>9.6</v>
      </c>
      <c r="J72">
        <v>9.5</v>
      </c>
    </row>
    <row r="73" spans="1:10" x14ac:dyDescent="0.3">
      <c r="A73" t="s">
        <v>278</v>
      </c>
      <c r="B73">
        <v>3200</v>
      </c>
      <c r="C73">
        <v>0</v>
      </c>
      <c r="D73">
        <v>4348</v>
      </c>
      <c r="E73">
        <v>166198</v>
      </c>
      <c r="F73">
        <v>9.6999999999999993</v>
      </c>
      <c r="G73">
        <v>10.199999999999999</v>
      </c>
      <c r="H73">
        <v>8.3000000000000007</v>
      </c>
      <c r="I73">
        <v>10.199999999999999</v>
      </c>
      <c r="J73">
        <v>10</v>
      </c>
    </row>
    <row r="74" spans="1:10" x14ac:dyDescent="0.3">
      <c r="A74" t="s">
        <v>278</v>
      </c>
      <c r="B74">
        <v>3225</v>
      </c>
      <c r="C74">
        <v>0</v>
      </c>
      <c r="D74">
        <v>1331</v>
      </c>
      <c r="E74">
        <v>3888</v>
      </c>
      <c r="F74">
        <v>9.8000000000000007</v>
      </c>
      <c r="G74">
        <v>10.8</v>
      </c>
      <c r="H74">
        <v>9.3000000000000007</v>
      </c>
      <c r="I74">
        <v>10.8</v>
      </c>
      <c r="J74">
        <v>10.6</v>
      </c>
    </row>
    <row r="75" spans="1:10" x14ac:dyDescent="0.3">
      <c r="A75" t="s">
        <v>278</v>
      </c>
      <c r="B75">
        <v>3250</v>
      </c>
      <c r="C75">
        <v>0</v>
      </c>
      <c r="D75">
        <v>400</v>
      </c>
      <c r="E75">
        <v>50114</v>
      </c>
      <c r="F75">
        <v>10.1</v>
      </c>
      <c r="G75">
        <v>11.5</v>
      </c>
      <c r="H75">
        <v>10</v>
      </c>
      <c r="I75">
        <v>11.4</v>
      </c>
      <c r="J75">
        <v>11.2</v>
      </c>
    </row>
    <row r="76" spans="1:10" x14ac:dyDescent="0.3">
      <c r="A76" t="s">
        <v>278</v>
      </c>
      <c r="B76">
        <v>3275</v>
      </c>
      <c r="C76">
        <v>0</v>
      </c>
      <c r="D76">
        <v>447</v>
      </c>
      <c r="E76">
        <v>5364</v>
      </c>
      <c r="F76">
        <v>10.5</v>
      </c>
      <c r="G76">
        <v>12.2</v>
      </c>
      <c r="H76">
        <v>10.4</v>
      </c>
      <c r="I76">
        <v>11.9</v>
      </c>
      <c r="J76">
        <v>11.9</v>
      </c>
    </row>
    <row r="77" spans="1:10" x14ac:dyDescent="0.3">
      <c r="A77" t="s">
        <v>278</v>
      </c>
      <c r="B77">
        <v>3300</v>
      </c>
      <c r="C77">
        <v>0</v>
      </c>
      <c r="D77">
        <v>7943</v>
      </c>
      <c r="E77">
        <v>228887</v>
      </c>
      <c r="F77">
        <v>10.3</v>
      </c>
      <c r="G77">
        <v>12.9</v>
      </c>
      <c r="H77">
        <v>10.199999999999999</v>
      </c>
      <c r="I77">
        <v>12.8</v>
      </c>
      <c r="J77">
        <v>12.7</v>
      </c>
    </row>
    <row r="78" spans="1:10" x14ac:dyDescent="0.3">
      <c r="A78" t="s">
        <v>278</v>
      </c>
      <c r="B78">
        <v>3325</v>
      </c>
      <c r="C78">
        <v>0</v>
      </c>
      <c r="D78">
        <v>259</v>
      </c>
      <c r="E78">
        <v>4253</v>
      </c>
      <c r="F78">
        <v>11.9</v>
      </c>
      <c r="G78">
        <v>13.7</v>
      </c>
      <c r="H78">
        <v>11.9</v>
      </c>
      <c r="I78">
        <v>13.7</v>
      </c>
      <c r="J78">
        <v>13.5</v>
      </c>
    </row>
    <row r="79" spans="1:10" x14ac:dyDescent="0.3">
      <c r="A79" t="s">
        <v>278</v>
      </c>
      <c r="B79">
        <v>3350</v>
      </c>
      <c r="C79">
        <v>0</v>
      </c>
      <c r="D79">
        <v>249</v>
      </c>
      <c r="E79">
        <v>36267</v>
      </c>
      <c r="F79">
        <v>14</v>
      </c>
      <c r="G79">
        <v>14.5</v>
      </c>
      <c r="H79">
        <v>12.6</v>
      </c>
      <c r="I79">
        <v>14.5</v>
      </c>
      <c r="J79">
        <v>14.3</v>
      </c>
    </row>
    <row r="80" spans="1:10" x14ac:dyDescent="0.3">
      <c r="A80" t="s">
        <v>278</v>
      </c>
      <c r="B80">
        <v>3375</v>
      </c>
      <c r="C80">
        <v>0</v>
      </c>
      <c r="D80">
        <v>226</v>
      </c>
      <c r="E80">
        <v>4292</v>
      </c>
      <c r="F80">
        <v>15</v>
      </c>
      <c r="G80">
        <v>15.6</v>
      </c>
      <c r="H80">
        <v>13.5</v>
      </c>
      <c r="I80">
        <v>15.5</v>
      </c>
      <c r="J80">
        <v>15.3</v>
      </c>
    </row>
    <row r="81" spans="1:10" x14ac:dyDescent="0.3">
      <c r="A81" t="s">
        <v>278</v>
      </c>
      <c r="B81">
        <v>3400</v>
      </c>
      <c r="C81">
        <v>0</v>
      </c>
      <c r="D81">
        <v>1593</v>
      </c>
      <c r="E81">
        <v>230231</v>
      </c>
      <c r="F81">
        <v>14.5</v>
      </c>
      <c r="G81">
        <v>16.600000000000001</v>
      </c>
      <c r="H81">
        <v>13.5</v>
      </c>
      <c r="I81">
        <v>16.5</v>
      </c>
      <c r="J81">
        <v>16.3</v>
      </c>
    </row>
    <row r="82" spans="1:10" x14ac:dyDescent="0.3">
      <c r="A82" t="s">
        <v>278</v>
      </c>
      <c r="B82">
        <v>3425</v>
      </c>
      <c r="C82">
        <v>0</v>
      </c>
      <c r="D82">
        <v>455</v>
      </c>
      <c r="E82">
        <v>43854</v>
      </c>
      <c r="F82">
        <v>15.1</v>
      </c>
      <c r="G82">
        <v>17.600000000000001</v>
      </c>
      <c r="H82">
        <v>14.4</v>
      </c>
      <c r="I82">
        <v>17.399999999999999</v>
      </c>
      <c r="J82">
        <v>17.399999999999999</v>
      </c>
    </row>
    <row r="83" spans="1:10" x14ac:dyDescent="0.3">
      <c r="A83" t="s">
        <v>278</v>
      </c>
      <c r="B83">
        <v>3450</v>
      </c>
      <c r="C83">
        <v>0</v>
      </c>
      <c r="D83">
        <v>466</v>
      </c>
      <c r="E83">
        <v>49104</v>
      </c>
      <c r="F83">
        <v>16.5</v>
      </c>
      <c r="G83">
        <v>18.899999999999999</v>
      </c>
      <c r="H83">
        <v>15.4</v>
      </c>
      <c r="I83">
        <v>18.899999999999999</v>
      </c>
      <c r="J83">
        <v>18.600000000000001</v>
      </c>
    </row>
    <row r="84" spans="1:10" x14ac:dyDescent="0.3">
      <c r="A84" t="s">
        <v>278</v>
      </c>
      <c r="B84">
        <v>3475</v>
      </c>
      <c r="C84">
        <v>0</v>
      </c>
      <c r="D84">
        <v>715</v>
      </c>
      <c r="E84">
        <v>37715</v>
      </c>
      <c r="F84">
        <v>19.100000000000001</v>
      </c>
      <c r="G84">
        <v>20.2</v>
      </c>
      <c r="H84">
        <v>17.3</v>
      </c>
      <c r="I84">
        <v>20.2</v>
      </c>
      <c r="J84">
        <v>19.899999999999999</v>
      </c>
    </row>
    <row r="85" spans="1:10" x14ac:dyDescent="0.3">
      <c r="A85" t="s">
        <v>278</v>
      </c>
      <c r="B85">
        <v>3500</v>
      </c>
      <c r="C85">
        <v>0</v>
      </c>
      <c r="D85">
        <v>43113</v>
      </c>
      <c r="E85">
        <v>263940</v>
      </c>
      <c r="F85">
        <v>21</v>
      </c>
      <c r="G85">
        <v>21.7</v>
      </c>
      <c r="H85">
        <v>18.8</v>
      </c>
      <c r="I85">
        <v>21.7</v>
      </c>
      <c r="J85">
        <v>21.3</v>
      </c>
    </row>
    <row r="86" spans="1:10" x14ac:dyDescent="0.3">
      <c r="A86" t="s">
        <v>278</v>
      </c>
      <c r="B86">
        <v>3525</v>
      </c>
      <c r="C86">
        <v>0</v>
      </c>
      <c r="D86">
        <v>402</v>
      </c>
      <c r="E86">
        <v>9855</v>
      </c>
      <c r="F86">
        <v>21.6</v>
      </c>
      <c r="G86">
        <v>23.3</v>
      </c>
      <c r="H86">
        <v>20.2</v>
      </c>
      <c r="I86">
        <v>23.3</v>
      </c>
      <c r="J86">
        <v>22.9</v>
      </c>
    </row>
    <row r="87" spans="1:10" x14ac:dyDescent="0.3">
      <c r="A87" t="s">
        <v>278</v>
      </c>
      <c r="B87">
        <v>3550</v>
      </c>
      <c r="C87">
        <v>0</v>
      </c>
      <c r="D87">
        <v>513</v>
      </c>
      <c r="E87">
        <v>38426</v>
      </c>
      <c r="F87">
        <v>22.9</v>
      </c>
      <c r="G87">
        <v>25.1</v>
      </c>
      <c r="H87">
        <v>20.7</v>
      </c>
      <c r="I87">
        <v>25.1</v>
      </c>
      <c r="J87">
        <v>24.6</v>
      </c>
    </row>
    <row r="88" spans="1:10" x14ac:dyDescent="0.3">
      <c r="A88" t="s">
        <v>278</v>
      </c>
      <c r="B88">
        <v>3575</v>
      </c>
      <c r="C88">
        <v>0</v>
      </c>
      <c r="D88">
        <v>288</v>
      </c>
      <c r="E88">
        <v>21158</v>
      </c>
      <c r="F88">
        <v>25.2</v>
      </c>
      <c r="G88">
        <v>27</v>
      </c>
      <c r="H88">
        <v>23.4</v>
      </c>
      <c r="I88">
        <v>27</v>
      </c>
      <c r="J88">
        <v>26.5</v>
      </c>
    </row>
    <row r="89" spans="1:10" x14ac:dyDescent="0.3">
      <c r="A89" t="s">
        <v>278</v>
      </c>
      <c r="B89">
        <v>3600</v>
      </c>
      <c r="C89">
        <v>0</v>
      </c>
      <c r="D89">
        <v>9407</v>
      </c>
      <c r="E89">
        <v>253032</v>
      </c>
      <c r="F89">
        <v>28</v>
      </c>
      <c r="G89">
        <v>29.2</v>
      </c>
      <c r="H89">
        <v>24.3</v>
      </c>
      <c r="I89">
        <v>29.1</v>
      </c>
      <c r="J89">
        <v>28.6</v>
      </c>
    </row>
    <row r="90" spans="1:10" x14ac:dyDescent="0.3">
      <c r="A90" t="s">
        <v>278</v>
      </c>
      <c r="B90">
        <v>3625</v>
      </c>
      <c r="C90">
        <v>0</v>
      </c>
      <c r="D90">
        <v>366</v>
      </c>
      <c r="E90">
        <v>29005</v>
      </c>
      <c r="F90">
        <v>28.4</v>
      </c>
      <c r="G90">
        <v>31.4</v>
      </c>
      <c r="H90">
        <v>27.3</v>
      </c>
      <c r="I90">
        <v>31.4</v>
      </c>
      <c r="J90">
        <v>30.9</v>
      </c>
    </row>
    <row r="91" spans="1:10" x14ac:dyDescent="0.3">
      <c r="A91" t="s">
        <v>278</v>
      </c>
      <c r="B91">
        <v>3650</v>
      </c>
      <c r="C91">
        <v>0</v>
      </c>
      <c r="D91">
        <v>5843</v>
      </c>
      <c r="E91">
        <v>48250</v>
      </c>
      <c r="F91">
        <v>30.5</v>
      </c>
      <c r="G91">
        <v>33.9</v>
      </c>
      <c r="H91">
        <v>29.3</v>
      </c>
      <c r="I91">
        <v>33.9</v>
      </c>
      <c r="J91">
        <v>33.4</v>
      </c>
    </row>
    <row r="92" spans="1:10" x14ac:dyDescent="0.3">
      <c r="A92" t="s">
        <v>278</v>
      </c>
      <c r="B92">
        <v>3675</v>
      </c>
      <c r="C92">
        <v>0</v>
      </c>
      <c r="D92">
        <v>1382</v>
      </c>
      <c r="E92">
        <v>15123</v>
      </c>
      <c r="F92">
        <v>33.6</v>
      </c>
      <c r="G92">
        <v>36.700000000000003</v>
      </c>
      <c r="H92">
        <v>31.7</v>
      </c>
      <c r="I92">
        <v>36.700000000000003</v>
      </c>
      <c r="J92">
        <v>36.1</v>
      </c>
    </row>
    <row r="93" spans="1:10" x14ac:dyDescent="0.3">
      <c r="A93" t="s">
        <v>278</v>
      </c>
      <c r="B93">
        <v>3700</v>
      </c>
      <c r="C93">
        <v>0</v>
      </c>
      <c r="D93">
        <v>7291</v>
      </c>
      <c r="E93">
        <v>233652</v>
      </c>
      <c r="F93">
        <v>37.799999999999997</v>
      </c>
      <c r="G93">
        <v>39.9</v>
      </c>
      <c r="H93">
        <v>33.5</v>
      </c>
      <c r="I93">
        <v>39.700000000000003</v>
      </c>
      <c r="J93">
        <v>39.1</v>
      </c>
    </row>
    <row r="94" spans="1:10" x14ac:dyDescent="0.3">
      <c r="A94" t="s">
        <v>278</v>
      </c>
      <c r="B94">
        <v>3725</v>
      </c>
      <c r="C94">
        <v>0</v>
      </c>
      <c r="D94">
        <v>422</v>
      </c>
      <c r="E94">
        <v>22829</v>
      </c>
      <c r="F94">
        <v>39.5</v>
      </c>
      <c r="G94">
        <v>43</v>
      </c>
      <c r="H94">
        <v>37.4</v>
      </c>
      <c r="I94">
        <v>43</v>
      </c>
      <c r="J94">
        <v>42.4</v>
      </c>
    </row>
    <row r="95" spans="1:10" x14ac:dyDescent="0.3">
      <c r="A95" t="s">
        <v>278</v>
      </c>
      <c r="B95">
        <v>3750</v>
      </c>
      <c r="C95">
        <v>0</v>
      </c>
      <c r="D95">
        <v>2205</v>
      </c>
      <c r="E95">
        <v>121432</v>
      </c>
      <c r="F95">
        <v>40.799999999999997</v>
      </c>
      <c r="G95">
        <v>46.6</v>
      </c>
      <c r="H95">
        <v>40.700000000000003</v>
      </c>
      <c r="I95">
        <v>46.6</v>
      </c>
      <c r="J95">
        <v>46</v>
      </c>
    </row>
    <row r="96" spans="1:10" x14ac:dyDescent="0.3">
      <c r="A96" t="s">
        <v>278</v>
      </c>
      <c r="B96">
        <v>3775</v>
      </c>
      <c r="C96">
        <v>0</v>
      </c>
      <c r="D96">
        <v>5384</v>
      </c>
      <c r="E96">
        <v>41762</v>
      </c>
      <c r="F96">
        <v>47.1</v>
      </c>
      <c r="G96">
        <v>50.6</v>
      </c>
      <c r="H96">
        <v>44</v>
      </c>
      <c r="I96">
        <v>50.2</v>
      </c>
      <c r="J96">
        <v>49.9</v>
      </c>
    </row>
    <row r="97" spans="1:10" x14ac:dyDescent="0.3">
      <c r="A97" t="s">
        <v>278</v>
      </c>
      <c r="B97">
        <v>3800</v>
      </c>
      <c r="C97">
        <v>0</v>
      </c>
      <c r="D97">
        <v>36555</v>
      </c>
      <c r="E97">
        <v>259999</v>
      </c>
      <c r="F97">
        <v>53</v>
      </c>
      <c r="G97">
        <v>55</v>
      </c>
      <c r="H97">
        <v>48.8</v>
      </c>
      <c r="I97">
        <v>54.9</v>
      </c>
      <c r="J97">
        <v>54.2</v>
      </c>
    </row>
    <row r="98" spans="1:10" x14ac:dyDescent="0.3">
      <c r="A98" t="s">
        <v>278</v>
      </c>
      <c r="B98">
        <v>3825</v>
      </c>
      <c r="C98">
        <v>0</v>
      </c>
      <c r="D98">
        <v>1928</v>
      </c>
      <c r="E98">
        <v>33806</v>
      </c>
      <c r="F98">
        <v>59.6</v>
      </c>
      <c r="G98">
        <v>59.6</v>
      </c>
      <c r="H98">
        <v>51.7</v>
      </c>
      <c r="I98">
        <v>59.1</v>
      </c>
      <c r="J98">
        <v>58.9</v>
      </c>
    </row>
    <row r="99" spans="1:10" x14ac:dyDescent="0.3">
      <c r="A99" t="s">
        <v>278</v>
      </c>
      <c r="B99">
        <v>3850</v>
      </c>
      <c r="C99">
        <v>0</v>
      </c>
      <c r="D99">
        <v>5572</v>
      </c>
      <c r="E99">
        <v>115455</v>
      </c>
      <c r="F99">
        <v>62.4</v>
      </c>
      <c r="G99">
        <v>64.599999999999994</v>
      </c>
      <c r="H99">
        <v>55.5</v>
      </c>
      <c r="I99">
        <v>64.599999999999994</v>
      </c>
      <c r="J99">
        <v>63.9</v>
      </c>
    </row>
    <row r="100" spans="1:10" x14ac:dyDescent="0.3">
      <c r="A100" t="s">
        <v>278</v>
      </c>
      <c r="B100">
        <v>3875</v>
      </c>
      <c r="C100">
        <v>0</v>
      </c>
      <c r="D100">
        <v>347</v>
      </c>
      <c r="E100">
        <v>10072</v>
      </c>
      <c r="F100">
        <v>63.5</v>
      </c>
      <c r="G100">
        <v>67</v>
      </c>
      <c r="H100">
        <v>63.4</v>
      </c>
      <c r="I100">
        <v>66.599999999999994</v>
      </c>
      <c r="J100">
        <v>69.5</v>
      </c>
    </row>
    <row r="101" spans="1:10" x14ac:dyDescent="0.3">
      <c r="A101" t="s">
        <v>278</v>
      </c>
      <c r="B101">
        <v>3900</v>
      </c>
      <c r="C101">
        <v>0</v>
      </c>
      <c r="D101">
        <v>32334</v>
      </c>
      <c r="E101">
        <v>370422</v>
      </c>
      <c r="F101">
        <v>72</v>
      </c>
      <c r="G101">
        <v>76.7</v>
      </c>
      <c r="H101">
        <v>67</v>
      </c>
      <c r="I101">
        <v>76.599999999999994</v>
      </c>
      <c r="J101">
        <v>75.5</v>
      </c>
    </row>
    <row r="102" spans="1:10" x14ac:dyDescent="0.3">
      <c r="A102" t="s">
        <v>278</v>
      </c>
      <c r="B102">
        <v>3925</v>
      </c>
      <c r="C102">
        <v>0</v>
      </c>
      <c r="D102">
        <v>818</v>
      </c>
      <c r="E102">
        <v>170112</v>
      </c>
      <c r="F102">
        <v>82.6</v>
      </c>
      <c r="G102">
        <v>82.6</v>
      </c>
      <c r="H102">
        <v>72.3</v>
      </c>
      <c r="I102">
        <v>79.2</v>
      </c>
      <c r="J102">
        <v>82.1</v>
      </c>
    </row>
    <row r="103" spans="1:10" x14ac:dyDescent="0.3">
      <c r="A103" t="s">
        <v>278</v>
      </c>
      <c r="B103">
        <v>3950</v>
      </c>
      <c r="C103">
        <v>0</v>
      </c>
      <c r="D103">
        <v>5983</v>
      </c>
      <c r="E103">
        <v>140656</v>
      </c>
      <c r="F103">
        <v>86</v>
      </c>
      <c r="G103">
        <v>90</v>
      </c>
      <c r="H103">
        <v>81</v>
      </c>
      <c r="I103">
        <v>90</v>
      </c>
      <c r="J103">
        <v>89.3</v>
      </c>
    </row>
    <row r="104" spans="1:10" x14ac:dyDescent="0.3">
      <c r="A104" t="s">
        <v>278</v>
      </c>
      <c r="B104">
        <v>3975</v>
      </c>
      <c r="C104">
        <v>0</v>
      </c>
      <c r="D104">
        <v>1371</v>
      </c>
      <c r="E104">
        <v>23505</v>
      </c>
      <c r="F104">
        <v>89.2</v>
      </c>
      <c r="G104">
        <v>96</v>
      </c>
      <c r="H104">
        <v>85.9</v>
      </c>
      <c r="I104">
        <v>96</v>
      </c>
      <c r="J104">
        <v>97</v>
      </c>
    </row>
    <row r="105" spans="1:10" x14ac:dyDescent="0.3">
      <c r="A105" t="s">
        <v>278</v>
      </c>
      <c r="B105">
        <v>4000</v>
      </c>
      <c r="C105">
        <v>0</v>
      </c>
      <c r="D105">
        <v>35141</v>
      </c>
      <c r="E105">
        <v>334604</v>
      </c>
      <c r="F105">
        <v>105.2</v>
      </c>
      <c r="G105">
        <v>106.3</v>
      </c>
      <c r="H105">
        <v>90.2</v>
      </c>
      <c r="I105">
        <v>106.1</v>
      </c>
      <c r="J105">
        <v>105.5</v>
      </c>
    </row>
    <row r="106" spans="1:10" x14ac:dyDescent="0.3">
      <c r="A106" t="s">
        <v>278</v>
      </c>
      <c r="B106">
        <v>4025</v>
      </c>
      <c r="C106">
        <v>0</v>
      </c>
      <c r="D106">
        <v>797</v>
      </c>
      <c r="E106">
        <v>15712</v>
      </c>
      <c r="F106">
        <v>107</v>
      </c>
      <c r="G106">
        <v>116</v>
      </c>
      <c r="H106">
        <v>100.6</v>
      </c>
      <c r="I106">
        <v>114.5</v>
      </c>
      <c r="J106">
        <v>114.7</v>
      </c>
    </row>
    <row r="107" spans="1:10" x14ac:dyDescent="0.3">
      <c r="A107" t="s">
        <v>278</v>
      </c>
      <c r="B107">
        <v>4050</v>
      </c>
      <c r="C107">
        <v>0</v>
      </c>
      <c r="D107">
        <v>6611</v>
      </c>
      <c r="E107">
        <v>55928</v>
      </c>
      <c r="F107">
        <v>117</v>
      </c>
      <c r="G107">
        <v>125.5</v>
      </c>
      <c r="H107">
        <v>111.1</v>
      </c>
      <c r="I107">
        <v>125.5</v>
      </c>
      <c r="J107">
        <v>124.7</v>
      </c>
    </row>
    <row r="108" spans="1:10" x14ac:dyDescent="0.3">
      <c r="A108" t="s">
        <v>278</v>
      </c>
      <c r="B108">
        <v>4075</v>
      </c>
      <c r="C108">
        <v>0</v>
      </c>
      <c r="D108">
        <v>6000</v>
      </c>
      <c r="E108">
        <v>15005</v>
      </c>
      <c r="F108">
        <v>127</v>
      </c>
      <c r="G108">
        <v>130.80000000000001</v>
      </c>
      <c r="H108">
        <v>122</v>
      </c>
      <c r="I108">
        <v>130.80000000000001</v>
      </c>
      <c r="J108">
        <v>135.5</v>
      </c>
    </row>
    <row r="109" spans="1:10" x14ac:dyDescent="0.3">
      <c r="A109" t="s">
        <v>278</v>
      </c>
      <c r="B109">
        <v>4100</v>
      </c>
      <c r="C109">
        <v>0</v>
      </c>
      <c r="D109">
        <v>23051</v>
      </c>
      <c r="E109">
        <v>242661</v>
      </c>
      <c r="F109">
        <v>137.80000000000001</v>
      </c>
      <c r="G109">
        <v>148.30000000000001</v>
      </c>
      <c r="H109">
        <v>132</v>
      </c>
      <c r="I109">
        <v>147.1</v>
      </c>
      <c r="J109">
        <v>147.1</v>
      </c>
    </row>
    <row r="110" spans="1:10" x14ac:dyDescent="0.3">
      <c r="A110" t="s">
        <v>278</v>
      </c>
      <c r="B110">
        <v>4125</v>
      </c>
      <c r="C110">
        <v>0</v>
      </c>
      <c r="D110">
        <v>201</v>
      </c>
      <c r="E110">
        <v>21979</v>
      </c>
      <c r="F110">
        <v>150</v>
      </c>
      <c r="G110">
        <v>160.80000000000001</v>
      </c>
      <c r="H110">
        <v>143.30000000000001</v>
      </c>
      <c r="I110">
        <v>160.80000000000001</v>
      </c>
      <c r="J110">
        <v>159.69999999999999</v>
      </c>
    </row>
    <row r="111" spans="1:10" x14ac:dyDescent="0.3">
      <c r="A111" t="s">
        <v>278</v>
      </c>
      <c r="B111">
        <v>4150</v>
      </c>
      <c r="C111">
        <v>0</v>
      </c>
      <c r="D111">
        <v>2878</v>
      </c>
      <c r="E111">
        <v>98196</v>
      </c>
      <c r="F111">
        <v>162.9</v>
      </c>
      <c r="G111">
        <v>170.5</v>
      </c>
      <c r="H111">
        <v>157.1</v>
      </c>
      <c r="I111">
        <v>168.1</v>
      </c>
      <c r="J111">
        <v>173.3</v>
      </c>
    </row>
    <row r="112" spans="1:10" x14ac:dyDescent="0.3">
      <c r="A112" t="s">
        <v>278</v>
      </c>
      <c r="B112">
        <v>4175</v>
      </c>
      <c r="C112">
        <v>0</v>
      </c>
      <c r="D112">
        <v>11</v>
      </c>
      <c r="E112">
        <v>22229</v>
      </c>
      <c r="F112">
        <v>178.1</v>
      </c>
      <c r="G112">
        <v>182</v>
      </c>
      <c r="H112">
        <v>172.8</v>
      </c>
      <c r="I112">
        <v>172.8</v>
      </c>
      <c r="J112">
        <v>187.9</v>
      </c>
    </row>
    <row r="113" spans="1:10" x14ac:dyDescent="0.3">
      <c r="A113" t="s">
        <v>278</v>
      </c>
      <c r="B113">
        <v>4200</v>
      </c>
      <c r="C113">
        <v>0</v>
      </c>
      <c r="D113">
        <v>4348</v>
      </c>
      <c r="E113">
        <v>174358</v>
      </c>
      <c r="F113">
        <v>190.4</v>
      </c>
      <c r="G113">
        <v>199.6</v>
      </c>
      <c r="H113">
        <v>185</v>
      </c>
      <c r="I113">
        <v>195.7</v>
      </c>
      <c r="J113">
        <v>203.5</v>
      </c>
    </row>
    <row r="114" spans="1:10" x14ac:dyDescent="0.3">
      <c r="A114" t="s">
        <v>278</v>
      </c>
      <c r="B114">
        <v>4225</v>
      </c>
      <c r="C114">
        <v>0</v>
      </c>
      <c r="D114">
        <v>201</v>
      </c>
      <c r="E114">
        <v>14288</v>
      </c>
      <c r="F114">
        <v>210</v>
      </c>
      <c r="G114">
        <v>210</v>
      </c>
      <c r="H114">
        <v>210</v>
      </c>
      <c r="I114">
        <v>210</v>
      </c>
      <c r="J114">
        <v>220.2</v>
      </c>
    </row>
    <row r="115" spans="1:10" x14ac:dyDescent="0.3">
      <c r="A115" t="s">
        <v>278</v>
      </c>
      <c r="B115">
        <v>4250</v>
      </c>
      <c r="C115">
        <v>0</v>
      </c>
      <c r="D115">
        <v>867</v>
      </c>
      <c r="E115">
        <v>101755</v>
      </c>
      <c r="F115">
        <v>213</v>
      </c>
      <c r="G115">
        <v>230.4</v>
      </c>
      <c r="H115">
        <v>213</v>
      </c>
      <c r="I115">
        <v>230.4</v>
      </c>
      <c r="J115">
        <v>237.9</v>
      </c>
    </row>
    <row r="116" spans="1:10" x14ac:dyDescent="0.3">
      <c r="A116" t="s">
        <v>278</v>
      </c>
      <c r="B116">
        <v>4275</v>
      </c>
      <c r="C116">
        <v>0</v>
      </c>
      <c r="D116">
        <v>1</v>
      </c>
      <c r="E116">
        <v>10212</v>
      </c>
      <c r="F116">
        <v>0</v>
      </c>
      <c r="G116">
        <v>0</v>
      </c>
      <c r="H116">
        <v>0</v>
      </c>
      <c r="I116">
        <v>0</v>
      </c>
      <c r="J116">
        <v>256.60000000000002</v>
      </c>
    </row>
    <row r="117" spans="1:10" x14ac:dyDescent="0.3">
      <c r="A117" t="s">
        <v>278</v>
      </c>
      <c r="B117">
        <v>4300</v>
      </c>
      <c r="C117">
        <v>0</v>
      </c>
      <c r="D117">
        <v>324</v>
      </c>
      <c r="E117">
        <v>190429</v>
      </c>
      <c r="F117">
        <v>265</v>
      </c>
      <c r="G117">
        <v>270</v>
      </c>
      <c r="H117">
        <v>260</v>
      </c>
      <c r="I117">
        <v>260</v>
      </c>
      <c r="J117">
        <v>276.2</v>
      </c>
    </row>
    <row r="118" spans="1:10" x14ac:dyDescent="0.3">
      <c r="A118" t="s">
        <v>278</v>
      </c>
      <c r="B118">
        <v>4325</v>
      </c>
      <c r="C118">
        <v>0</v>
      </c>
      <c r="D118">
        <v>3</v>
      </c>
      <c r="E118">
        <v>16718</v>
      </c>
      <c r="F118">
        <v>285</v>
      </c>
      <c r="G118">
        <v>286</v>
      </c>
      <c r="H118">
        <v>285</v>
      </c>
      <c r="I118">
        <v>286</v>
      </c>
      <c r="J118">
        <v>296.7</v>
      </c>
    </row>
    <row r="119" spans="1:10" x14ac:dyDescent="0.3">
      <c r="A119" t="s">
        <v>278</v>
      </c>
      <c r="B119">
        <v>4350</v>
      </c>
      <c r="C119">
        <v>0</v>
      </c>
      <c r="D119">
        <v>255</v>
      </c>
      <c r="E119">
        <v>48752</v>
      </c>
      <c r="F119">
        <v>287</v>
      </c>
      <c r="G119">
        <v>319.5</v>
      </c>
      <c r="H119">
        <v>287</v>
      </c>
      <c r="I119">
        <v>319.5</v>
      </c>
      <c r="J119">
        <v>318</v>
      </c>
    </row>
    <row r="120" spans="1:10" x14ac:dyDescent="0.3">
      <c r="A120" t="s">
        <v>278</v>
      </c>
      <c r="B120">
        <v>4375</v>
      </c>
      <c r="C120">
        <v>0</v>
      </c>
      <c r="D120">
        <v>2</v>
      </c>
      <c r="E120">
        <v>3685</v>
      </c>
      <c r="F120">
        <v>320</v>
      </c>
      <c r="G120">
        <v>320</v>
      </c>
      <c r="H120">
        <v>320</v>
      </c>
      <c r="I120">
        <v>320</v>
      </c>
      <c r="J120">
        <v>339.9</v>
      </c>
    </row>
    <row r="121" spans="1:10" x14ac:dyDescent="0.3">
      <c r="A121" t="s">
        <v>278</v>
      </c>
      <c r="B121">
        <v>4400</v>
      </c>
      <c r="C121">
        <v>0</v>
      </c>
      <c r="D121">
        <v>320</v>
      </c>
      <c r="E121">
        <v>90024</v>
      </c>
      <c r="F121">
        <v>329</v>
      </c>
      <c r="G121">
        <v>352.2</v>
      </c>
      <c r="H121">
        <v>329</v>
      </c>
      <c r="I121">
        <v>352.2</v>
      </c>
      <c r="J121">
        <v>362.4</v>
      </c>
    </row>
    <row r="122" spans="1:10" x14ac:dyDescent="0.3">
      <c r="A122" t="s">
        <v>278</v>
      </c>
      <c r="B122">
        <v>4425</v>
      </c>
      <c r="C122">
        <v>0</v>
      </c>
      <c r="D122">
        <v>0</v>
      </c>
      <c r="E122">
        <v>1253</v>
      </c>
      <c r="F122">
        <v>0</v>
      </c>
      <c r="G122">
        <v>0</v>
      </c>
      <c r="H122">
        <v>0</v>
      </c>
      <c r="I122">
        <v>0</v>
      </c>
      <c r="J122">
        <v>385.4</v>
      </c>
    </row>
    <row r="123" spans="1:10" x14ac:dyDescent="0.3">
      <c r="A123" t="s">
        <v>278</v>
      </c>
      <c r="B123">
        <v>4450</v>
      </c>
      <c r="C123">
        <v>0</v>
      </c>
      <c r="D123">
        <v>0</v>
      </c>
      <c r="E123">
        <v>9596</v>
      </c>
      <c r="F123">
        <v>0</v>
      </c>
      <c r="G123">
        <v>0</v>
      </c>
      <c r="H123">
        <v>0</v>
      </c>
      <c r="I123">
        <v>0</v>
      </c>
      <c r="J123">
        <v>408.8</v>
      </c>
    </row>
    <row r="124" spans="1:10" x14ac:dyDescent="0.3">
      <c r="A124" t="s">
        <v>278</v>
      </c>
      <c r="B124">
        <v>4475</v>
      </c>
      <c r="C124">
        <v>0</v>
      </c>
      <c r="D124">
        <v>0</v>
      </c>
      <c r="E124">
        <v>938</v>
      </c>
      <c r="F124">
        <v>0</v>
      </c>
      <c r="G124">
        <v>0</v>
      </c>
      <c r="H124">
        <v>0</v>
      </c>
      <c r="I124">
        <v>0</v>
      </c>
      <c r="J124">
        <v>432.5</v>
      </c>
    </row>
    <row r="125" spans="1:10" x14ac:dyDescent="0.3">
      <c r="A125" t="s">
        <v>278</v>
      </c>
      <c r="B125">
        <v>4500</v>
      </c>
      <c r="C125">
        <v>0</v>
      </c>
      <c r="D125">
        <v>2</v>
      </c>
      <c r="E125">
        <v>19033</v>
      </c>
      <c r="F125">
        <v>434</v>
      </c>
      <c r="G125">
        <v>434</v>
      </c>
      <c r="H125">
        <v>434</v>
      </c>
      <c r="I125">
        <v>434</v>
      </c>
      <c r="J125">
        <v>456.4</v>
      </c>
    </row>
    <row r="126" spans="1:10" x14ac:dyDescent="0.3">
      <c r="A126" t="s">
        <v>278</v>
      </c>
      <c r="B126">
        <v>4525</v>
      </c>
      <c r="C126">
        <v>0</v>
      </c>
      <c r="D126">
        <v>0</v>
      </c>
      <c r="E126">
        <v>3540</v>
      </c>
      <c r="F126">
        <v>0</v>
      </c>
      <c r="G126">
        <v>0</v>
      </c>
      <c r="H126">
        <v>0</v>
      </c>
      <c r="I126">
        <v>0</v>
      </c>
      <c r="J126">
        <v>480.6</v>
      </c>
    </row>
    <row r="127" spans="1:10" x14ac:dyDescent="0.3">
      <c r="A127" t="s">
        <v>278</v>
      </c>
      <c r="B127">
        <v>4550</v>
      </c>
      <c r="C127">
        <v>0</v>
      </c>
      <c r="D127">
        <v>0</v>
      </c>
      <c r="E127">
        <v>1026</v>
      </c>
      <c r="F127">
        <v>0</v>
      </c>
      <c r="G127">
        <v>0</v>
      </c>
      <c r="H127">
        <v>0</v>
      </c>
      <c r="I127">
        <v>0</v>
      </c>
      <c r="J127">
        <v>504.9</v>
      </c>
    </row>
    <row r="128" spans="1:10" x14ac:dyDescent="0.3">
      <c r="A128" t="s">
        <v>278</v>
      </c>
      <c r="B128">
        <v>4575</v>
      </c>
      <c r="C128">
        <v>0</v>
      </c>
      <c r="D128">
        <v>0</v>
      </c>
      <c r="E128">
        <v>1505</v>
      </c>
      <c r="F128">
        <v>0</v>
      </c>
      <c r="G128">
        <v>0</v>
      </c>
      <c r="H128">
        <v>0</v>
      </c>
      <c r="I128">
        <v>0</v>
      </c>
      <c r="J128">
        <v>529.4</v>
      </c>
    </row>
    <row r="129" spans="1:10" x14ac:dyDescent="0.3">
      <c r="A129" t="s">
        <v>278</v>
      </c>
      <c r="B129">
        <v>4600</v>
      </c>
      <c r="C129">
        <v>0</v>
      </c>
      <c r="D129">
        <v>0</v>
      </c>
      <c r="E129">
        <v>9960</v>
      </c>
      <c r="F129">
        <v>0</v>
      </c>
      <c r="G129">
        <v>0</v>
      </c>
      <c r="H129">
        <v>0</v>
      </c>
      <c r="I129">
        <v>0</v>
      </c>
      <c r="J129">
        <v>553.9</v>
      </c>
    </row>
    <row r="130" spans="1:10" x14ac:dyDescent="0.3">
      <c r="A130" t="s">
        <v>278</v>
      </c>
      <c r="B130">
        <v>4625</v>
      </c>
      <c r="C130">
        <v>0</v>
      </c>
      <c r="D130">
        <v>0</v>
      </c>
      <c r="E130">
        <v>210</v>
      </c>
      <c r="F130">
        <v>0</v>
      </c>
      <c r="G130">
        <v>0</v>
      </c>
      <c r="H130">
        <v>0</v>
      </c>
      <c r="I130">
        <v>0</v>
      </c>
      <c r="J130">
        <v>578.5</v>
      </c>
    </row>
    <row r="131" spans="1:10" x14ac:dyDescent="0.3">
      <c r="A131" t="s">
        <v>278</v>
      </c>
      <c r="B131">
        <v>4650</v>
      </c>
      <c r="C131">
        <v>0</v>
      </c>
      <c r="D131">
        <v>0</v>
      </c>
      <c r="E131">
        <v>210</v>
      </c>
      <c r="F131">
        <v>0</v>
      </c>
      <c r="G131">
        <v>0</v>
      </c>
      <c r="H131">
        <v>0</v>
      </c>
      <c r="I131">
        <v>0</v>
      </c>
      <c r="J131">
        <v>603.20000000000005</v>
      </c>
    </row>
    <row r="132" spans="1:10" x14ac:dyDescent="0.3">
      <c r="A132" t="s">
        <v>278</v>
      </c>
      <c r="B132">
        <v>4675</v>
      </c>
      <c r="C132">
        <v>0</v>
      </c>
      <c r="D132">
        <v>0</v>
      </c>
      <c r="E132">
        <v>32</v>
      </c>
      <c r="F132">
        <v>0</v>
      </c>
      <c r="G132">
        <v>0</v>
      </c>
      <c r="H132">
        <v>0</v>
      </c>
      <c r="I132">
        <v>0</v>
      </c>
      <c r="J132">
        <v>627.9</v>
      </c>
    </row>
    <row r="133" spans="1:10" x14ac:dyDescent="0.3">
      <c r="A133" t="s">
        <v>278</v>
      </c>
      <c r="B133">
        <v>4700</v>
      </c>
      <c r="C133">
        <v>0</v>
      </c>
      <c r="D133">
        <v>0</v>
      </c>
      <c r="E133">
        <v>3611</v>
      </c>
      <c r="F133">
        <v>0</v>
      </c>
      <c r="G133">
        <v>0</v>
      </c>
      <c r="H133">
        <v>0</v>
      </c>
      <c r="I133">
        <v>0</v>
      </c>
      <c r="J133">
        <v>652.70000000000005</v>
      </c>
    </row>
    <row r="134" spans="1:10" x14ac:dyDescent="0.3">
      <c r="A134" t="s">
        <v>278</v>
      </c>
      <c r="B134">
        <v>4725</v>
      </c>
      <c r="C134">
        <v>0</v>
      </c>
      <c r="D134">
        <v>0</v>
      </c>
      <c r="E134">
        <v>1</v>
      </c>
      <c r="F134">
        <v>0</v>
      </c>
      <c r="G134">
        <v>0</v>
      </c>
      <c r="H134">
        <v>0</v>
      </c>
      <c r="I134">
        <v>0</v>
      </c>
      <c r="J134">
        <v>677.4</v>
      </c>
    </row>
    <row r="135" spans="1:10" x14ac:dyDescent="0.3">
      <c r="A135" t="s">
        <v>278</v>
      </c>
      <c r="B135">
        <v>4750</v>
      </c>
      <c r="C135">
        <v>0</v>
      </c>
      <c r="D135">
        <v>0</v>
      </c>
      <c r="E135">
        <v>1</v>
      </c>
      <c r="F135">
        <v>0</v>
      </c>
      <c r="G135">
        <v>0</v>
      </c>
      <c r="H135">
        <v>0</v>
      </c>
      <c r="I135">
        <v>0</v>
      </c>
      <c r="J135">
        <v>702.2</v>
      </c>
    </row>
    <row r="136" spans="1:10" x14ac:dyDescent="0.3">
      <c r="A136" t="s">
        <v>278</v>
      </c>
      <c r="B136">
        <v>4775</v>
      </c>
      <c r="C136">
        <v>0</v>
      </c>
      <c r="D136">
        <v>0</v>
      </c>
      <c r="E136">
        <v>46</v>
      </c>
      <c r="F136">
        <v>0</v>
      </c>
      <c r="G136">
        <v>0</v>
      </c>
      <c r="H136">
        <v>0</v>
      </c>
      <c r="I136">
        <v>0</v>
      </c>
      <c r="J136">
        <v>727</v>
      </c>
    </row>
    <row r="137" spans="1:10" x14ac:dyDescent="0.3">
      <c r="A137" t="s">
        <v>278</v>
      </c>
      <c r="B137">
        <v>4800</v>
      </c>
      <c r="C137">
        <v>0</v>
      </c>
      <c r="D137">
        <v>0</v>
      </c>
      <c r="E137">
        <v>659</v>
      </c>
      <c r="F137">
        <v>0</v>
      </c>
      <c r="G137">
        <v>0</v>
      </c>
      <c r="H137">
        <v>0</v>
      </c>
      <c r="I137">
        <v>0</v>
      </c>
      <c r="J137">
        <v>751.8</v>
      </c>
    </row>
    <row r="138" spans="1:10" x14ac:dyDescent="0.3">
      <c r="A138" t="s">
        <v>278</v>
      </c>
      <c r="B138">
        <v>4825</v>
      </c>
      <c r="C138">
        <v>0</v>
      </c>
      <c r="D138">
        <v>0</v>
      </c>
      <c r="E138">
        <v>1</v>
      </c>
      <c r="F138">
        <v>0</v>
      </c>
      <c r="G138">
        <v>0</v>
      </c>
      <c r="H138">
        <v>0</v>
      </c>
      <c r="I138">
        <v>0</v>
      </c>
      <c r="J138">
        <v>776.6</v>
      </c>
    </row>
    <row r="139" spans="1:10" x14ac:dyDescent="0.3">
      <c r="A139" t="s">
        <v>278</v>
      </c>
      <c r="B139">
        <v>4850</v>
      </c>
      <c r="C139">
        <v>0</v>
      </c>
      <c r="D139">
        <v>0</v>
      </c>
      <c r="E139">
        <v>5</v>
      </c>
      <c r="F139">
        <v>0</v>
      </c>
      <c r="G139">
        <v>0</v>
      </c>
      <c r="H139">
        <v>0</v>
      </c>
      <c r="I139">
        <v>0</v>
      </c>
      <c r="J139">
        <v>801.4</v>
      </c>
    </row>
    <row r="140" spans="1:10" x14ac:dyDescent="0.3">
      <c r="A140" t="s">
        <v>278</v>
      </c>
      <c r="B140">
        <v>4875</v>
      </c>
      <c r="C140">
        <v>0</v>
      </c>
      <c r="D140">
        <v>0</v>
      </c>
      <c r="E140">
        <v>81</v>
      </c>
      <c r="F140">
        <v>0</v>
      </c>
      <c r="G140">
        <v>0</v>
      </c>
      <c r="H140">
        <v>0</v>
      </c>
      <c r="I140">
        <v>0</v>
      </c>
      <c r="J140">
        <v>826.2</v>
      </c>
    </row>
    <row r="141" spans="1:10" x14ac:dyDescent="0.3">
      <c r="A141" t="s">
        <v>278</v>
      </c>
      <c r="B141">
        <v>4900</v>
      </c>
      <c r="C141">
        <v>0</v>
      </c>
      <c r="D141">
        <v>0</v>
      </c>
      <c r="E141">
        <v>227</v>
      </c>
      <c r="F141">
        <v>0</v>
      </c>
      <c r="G141">
        <v>0</v>
      </c>
      <c r="H141">
        <v>0</v>
      </c>
      <c r="I141">
        <v>0</v>
      </c>
      <c r="J141">
        <v>851</v>
      </c>
    </row>
    <row r="142" spans="1:10" x14ac:dyDescent="0.3">
      <c r="A142" t="s">
        <v>278</v>
      </c>
      <c r="B142">
        <v>4925</v>
      </c>
      <c r="C142">
        <v>0</v>
      </c>
      <c r="D142">
        <v>0</v>
      </c>
      <c r="E142">
        <v>35</v>
      </c>
      <c r="F142">
        <v>0</v>
      </c>
      <c r="G142">
        <v>0</v>
      </c>
      <c r="H142">
        <v>0</v>
      </c>
      <c r="I142">
        <v>0</v>
      </c>
      <c r="J142">
        <v>875.9</v>
      </c>
    </row>
    <row r="143" spans="1:10" x14ac:dyDescent="0.3">
      <c r="A143" t="s">
        <v>278</v>
      </c>
      <c r="B143">
        <v>4950</v>
      </c>
      <c r="C143">
        <v>0</v>
      </c>
      <c r="D143">
        <v>0</v>
      </c>
      <c r="E143">
        <v>36</v>
      </c>
      <c r="F143">
        <v>0</v>
      </c>
      <c r="G143">
        <v>0</v>
      </c>
      <c r="H143">
        <v>0</v>
      </c>
      <c r="I143">
        <v>0</v>
      </c>
      <c r="J143">
        <v>900.7</v>
      </c>
    </row>
    <row r="144" spans="1:10" x14ac:dyDescent="0.3">
      <c r="A144" t="s">
        <v>278</v>
      </c>
      <c r="B144">
        <v>4975</v>
      </c>
      <c r="C144">
        <v>0</v>
      </c>
      <c r="D144">
        <v>0</v>
      </c>
      <c r="E144">
        <v>36</v>
      </c>
      <c r="F144">
        <v>0</v>
      </c>
      <c r="G144">
        <v>0</v>
      </c>
      <c r="H144">
        <v>0</v>
      </c>
      <c r="I144">
        <v>0</v>
      </c>
      <c r="J144">
        <v>925.5</v>
      </c>
    </row>
    <row r="145" spans="1:10" x14ac:dyDescent="0.3">
      <c r="A145" t="s">
        <v>278</v>
      </c>
      <c r="B145">
        <v>5000</v>
      </c>
      <c r="C145">
        <v>0</v>
      </c>
      <c r="D145">
        <v>1</v>
      </c>
      <c r="E145">
        <v>4054</v>
      </c>
      <c r="F145">
        <v>0</v>
      </c>
      <c r="G145">
        <v>0</v>
      </c>
      <c r="H145">
        <v>0</v>
      </c>
      <c r="I145">
        <v>0</v>
      </c>
      <c r="J145">
        <v>950.3</v>
      </c>
    </row>
    <row r="146" spans="1:10" x14ac:dyDescent="0.3">
      <c r="A146" t="s">
        <v>278</v>
      </c>
      <c r="B146">
        <v>5025</v>
      </c>
      <c r="C146">
        <v>0</v>
      </c>
      <c r="D146">
        <v>0</v>
      </c>
      <c r="E146">
        <v>0</v>
      </c>
      <c r="F146">
        <v>0</v>
      </c>
      <c r="G146">
        <v>0</v>
      </c>
      <c r="H146">
        <v>0</v>
      </c>
      <c r="I146">
        <v>0</v>
      </c>
      <c r="J146">
        <v>975.2</v>
      </c>
    </row>
    <row r="147" spans="1:10" x14ac:dyDescent="0.3">
      <c r="A147" t="s">
        <v>278</v>
      </c>
      <c r="B147">
        <v>5050</v>
      </c>
      <c r="C147">
        <v>0</v>
      </c>
      <c r="D147">
        <v>0</v>
      </c>
      <c r="E147">
        <v>0</v>
      </c>
      <c r="F147">
        <v>0</v>
      </c>
      <c r="G147">
        <v>0</v>
      </c>
      <c r="H147">
        <v>0</v>
      </c>
      <c r="I147">
        <v>0</v>
      </c>
      <c r="J147">
        <v>1000</v>
      </c>
    </row>
    <row r="148" spans="1:10" x14ac:dyDescent="0.3">
      <c r="A148" t="s">
        <v>278</v>
      </c>
      <c r="B148">
        <v>5075</v>
      </c>
      <c r="C148">
        <v>0</v>
      </c>
      <c r="D148">
        <v>0</v>
      </c>
      <c r="E148">
        <v>0</v>
      </c>
      <c r="F148">
        <v>0</v>
      </c>
      <c r="G148">
        <v>0</v>
      </c>
      <c r="H148">
        <v>0</v>
      </c>
      <c r="I148">
        <v>0</v>
      </c>
      <c r="J148">
        <v>1024.8</v>
      </c>
    </row>
    <row r="149" spans="1:10" x14ac:dyDescent="0.3">
      <c r="A149" t="s">
        <v>278</v>
      </c>
      <c r="B149">
        <v>5100</v>
      </c>
      <c r="C149">
        <v>0</v>
      </c>
      <c r="D149">
        <v>0</v>
      </c>
      <c r="E149">
        <v>2</v>
      </c>
      <c r="F149">
        <v>0</v>
      </c>
      <c r="G149">
        <v>0</v>
      </c>
      <c r="H149">
        <v>0</v>
      </c>
      <c r="I149">
        <v>0</v>
      </c>
      <c r="J149">
        <v>1049.7</v>
      </c>
    </row>
    <row r="150" spans="1:10" x14ac:dyDescent="0.3">
      <c r="A150" t="s">
        <v>278</v>
      </c>
      <c r="B150">
        <v>5125</v>
      </c>
      <c r="C150">
        <v>0</v>
      </c>
      <c r="D150">
        <v>0</v>
      </c>
      <c r="E150">
        <v>0</v>
      </c>
      <c r="F150">
        <v>0</v>
      </c>
      <c r="G150">
        <v>0</v>
      </c>
      <c r="H150">
        <v>0</v>
      </c>
      <c r="I150">
        <v>0</v>
      </c>
      <c r="J150">
        <v>1074.5</v>
      </c>
    </row>
    <row r="151" spans="1:10" x14ac:dyDescent="0.3">
      <c r="A151" t="s">
        <v>278</v>
      </c>
      <c r="B151">
        <v>5150</v>
      </c>
      <c r="C151">
        <v>0</v>
      </c>
      <c r="D151">
        <v>0</v>
      </c>
      <c r="E151">
        <v>5</v>
      </c>
      <c r="F151">
        <v>0</v>
      </c>
      <c r="G151">
        <v>0</v>
      </c>
      <c r="H151">
        <v>0</v>
      </c>
      <c r="I151">
        <v>0</v>
      </c>
      <c r="J151">
        <v>1099.3</v>
      </c>
    </row>
    <row r="152" spans="1:10" x14ac:dyDescent="0.3">
      <c r="A152" t="s">
        <v>278</v>
      </c>
      <c r="B152">
        <v>5175</v>
      </c>
      <c r="C152">
        <v>0</v>
      </c>
      <c r="D152">
        <v>0</v>
      </c>
      <c r="E152">
        <v>0</v>
      </c>
      <c r="F152">
        <v>0</v>
      </c>
      <c r="G152">
        <v>0</v>
      </c>
      <c r="H152">
        <v>0</v>
      </c>
      <c r="I152">
        <v>0</v>
      </c>
      <c r="J152">
        <v>1124.2</v>
      </c>
    </row>
    <row r="153" spans="1:10" x14ac:dyDescent="0.3">
      <c r="A153" t="s">
        <v>278</v>
      </c>
      <c r="B153">
        <v>5200</v>
      </c>
      <c r="C153">
        <v>0</v>
      </c>
      <c r="D153">
        <v>0</v>
      </c>
      <c r="E153">
        <v>1</v>
      </c>
      <c r="F153">
        <v>0</v>
      </c>
      <c r="G153">
        <v>0</v>
      </c>
      <c r="H153">
        <v>0</v>
      </c>
      <c r="I153">
        <v>0</v>
      </c>
      <c r="J153">
        <v>1149</v>
      </c>
    </row>
    <row r="154" spans="1:10" x14ac:dyDescent="0.3">
      <c r="A154" t="s">
        <v>278</v>
      </c>
      <c r="B154">
        <v>5225</v>
      </c>
      <c r="C154">
        <v>0</v>
      </c>
      <c r="D154">
        <v>0</v>
      </c>
      <c r="E154">
        <v>0</v>
      </c>
      <c r="F154">
        <v>0</v>
      </c>
      <c r="G154">
        <v>0</v>
      </c>
      <c r="H154">
        <v>0</v>
      </c>
      <c r="I154">
        <v>0</v>
      </c>
      <c r="J154">
        <v>1173.9000000000001</v>
      </c>
    </row>
    <row r="155" spans="1:10" x14ac:dyDescent="0.3">
      <c r="A155" t="s">
        <v>278</v>
      </c>
      <c r="B155">
        <v>5250</v>
      </c>
      <c r="C155">
        <v>0</v>
      </c>
      <c r="D155">
        <v>0</v>
      </c>
      <c r="E155">
        <v>0</v>
      </c>
      <c r="F155">
        <v>0</v>
      </c>
      <c r="G155">
        <v>0</v>
      </c>
      <c r="H155">
        <v>0</v>
      </c>
      <c r="I155">
        <v>0</v>
      </c>
      <c r="J155">
        <v>1198.7</v>
      </c>
    </row>
    <row r="156" spans="1:10" x14ac:dyDescent="0.3">
      <c r="A156" t="s">
        <v>278</v>
      </c>
      <c r="B156">
        <v>5275</v>
      </c>
      <c r="C156">
        <v>0</v>
      </c>
      <c r="D156">
        <v>0</v>
      </c>
      <c r="E156">
        <v>0</v>
      </c>
      <c r="F156">
        <v>0</v>
      </c>
      <c r="G156">
        <v>0</v>
      </c>
      <c r="H156">
        <v>0</v>
      </c>
      <c r="I156">
        <v>0</v>
      </c>
      <c r="J156">
        <v>1223.5</v>
      </c>
    </row>
    <row r="157" spans="1:10" x14ac:dyDescent="0.3">
      <c r="A157" t="s">
        <v>278</v>
      </c>
      <c r="B157">
        <v>5300</v>
      </c>
      <c r="C157">
        <v>0</v>
      </c>
      <c r="D157">
        <v>0</v>
      </c>
      <c r="E157">
        <v>11</v>
      </c>
      <c r="F157">
        <v>0</v>
      </c>
      <c r="G157">
        <v>0</v>
      </c>
      <c r="H157">
        <v>0</v>
      </c>
      <c r="I157">
        <v>0</v>
      </c>
      <c r="J157">
        <v>1248.4000000000001</v>
      </c>
    </row>
    <row r="158" spans="1:10" x14ac:dyDescent="0.3">
      <c r="A158" t="s">
        <v>278</v>
      </c>
      <c r="B158">
        <v>5325</v>
      </c>
      <c r="C158">
        <v>0</v>
      </c>
      <c r="D158">
        <v>0</v>
      </c>
      <c r="E158">
        <v>0</v>
      </c>
      <c r="F158">
        <v>0</v>
      </c>
      <c r="G158">
        <v>0</v>
      </c>
      <c r="H158">
        <v>0</v>
      </c>
      <c r="I158">
        <v>0</v>
      </c>
      <c r="J158">
        <v>1273.2</v>
      </c>
    </row>
    <row r="159" spans="1:10" x14ac:dyDescent="0.3">
      <c r="A159" t="s">
        <v>278</v>
      </c>
      <c r="B159">
        <v>5350</v>
      </c>
      <c r="C159">
        <v>0</v>
      </c>
      <c r="D159">
        <v>0</v>
      </c>
      <c r="E159">
        <v>8</v>
      </c>
      <c r="F159">
        <v>0</v>
      </c>
      <c r="G159">
        <v>0</v>
      </c>
      <c r="H159">
        <v>0</v>
      </c>
      <c r="I159">
        <v>0</v>
      </c>
      <c r="J159">
        <v>1298.0999999999999</v>
      </c>
    </row>
    <row r="160" spans="1:10" x14ac:dyDescent="0.3">
      <c r="A160" t="s">
        <v>278</v>
      </c>
      <c r="B160">
        <v>5375</v>
      </c>
      <c r="C160">
        <v>0</v>
      </c>
      <c r="D160">
        <v>0</v>
      </c>
      <c r="E160">
        <v>0</v>
      </c>
      <c r="F160">
        <v>0</v>
      </c>
      <c r="G160">
        <v>0</v>
      </c>
      <c r="H160">
        <v>0</v>
      </c>
      <c r="I160">
        <v>0</v>
      </c>
      <c r="J160">
        <v>1322.9</v>
      </c>
    </row>
    <row r="161" spans="1:10" x14ac:dyDescent="0.3">
      <c r="A161" t="s">
        <v>278</v>
      </c>
      <c r="B161">
        <v>5400</v>
      </c>
      <c r="C161">
        <v>0</v>
      </c>
      <c r="D161">
        <v>0</v>
      </c>
      <c r="E161">
        <v>73</v>
      </c>
      <c r="F161">
        <v>0</v>
      </c>
      <c r="G161">
        <v>0</v>
      </c>
      <c r="H161">
        <v>0</v>
      </c>
      <c r="I161">
        <v>0</v>
      </c>
      <c r="J161">
        <v>1347.8</v>
      </c>
    </row>
    <row r="162" spans="1:10" x14ac:dyDescent="0.3">
      <c r="A162" t="s">
        <v>278</v>
      </c>
      <c r="B162">
        <v>5425</v>
      </c>
      <c r="C162">
        <v>0</v>
      </c>
      <c r="D162">
        <v>0</v>
      </c>
      <c r="E162">
        <v>0</v>
      </c>
      <c r="F162">
        <v>0</v>
      </c>
      <c r="G162">
        <v>0</v>
      </c>
      <c r="H162">
        <v>0</v>
      </c>
      <c r="I162">
        <v>0</v>
      </c>
      <c r="J162">
        <v>1372.6</v>
      </c>
    </row>
    <row r="163" spans="1:10" x14ac:dyDescent="0.3">
      <c r="A163" t="s">
        <v>278</v>
      </c>
      <c r="B163">
        <v>5500</v>
      </c>
      <c r="C163">
        <v>0</v>
      </c>
      <c r="D163">
        <v>0</v>
      </c>
      <c r="E163">
        <v>25</v>
      </c>
      <c r="F163">
        <v>0</v>
      </c>
      <c r="G163">
        <v>0</v>
      </c>
      <c r="H163">
        <v>0</v>
      </c>
      <c r="I163">
        <v>0</v>
      </c>
      <c r="J163">
        <v>1447.1</v>
      </c>
    </row>
    <row r="164" spans="1:10" x14ac:dyDescent="0.3">
      <c r="A164" t="s">
        <v>278</v>
      </c>
      <c r="B164">
        <v>5600</v>
      </c>
      <c r="C164">
        <v>0</v>
      </c>
      <c r="D164">
        <v>0</v>
      </c>
      <c r="E164">
        <v>1139</v>
      </c>
      <c r="F164">
        <v>0</v>
      </c>
      <c r="G164">
        <v>0</v>
      </c>
      <c r="H164">
        <v>0</v>
      </c>
      <c r="I164">
        <v>0</v>
      </c>
      <c r="J164">
        <v>1546.5</v>
      </c>
    </row>
    <row r="165" spans="1:10" x14ac:dyDescent="0.3">
      <c r="A165" t="s">
        <v>278</v>
      </c>
      <c r="B165">
        <v>5700</v>
      </c>
      <c r="C165">
        <v>0</v>
      </c>
      <c r="D165">
        <v>0</v>
      </c>
      <c r="E165">
        <v>635</v>
      </c>
      <c r="F165">
        <v>0</v>
      </c>
      <c r="G165">
        <v>0</v>
      </c>
      <c r="H165">
        <v>0</v>
      </c>
      <c r="I165">
        <v>0</v>
      </c>
      <c r="J165">
        <v>1645.9</v>
      </c>
    </row>
    <row r="166" spans="1:10" x14ac:dyDescent="0.3">
      <c r="A166" t="s">
        <v>278</v>
      </c>
      <c r="B166">
        <v>5800</v>
      </c>
      <c r="C166">
        <v>0</v>
      </c>
      <c r="D166">
        <v>0</v>
      </c>
      <c r="E166">
        <v>319</v>
      </c>
      <c r="F166">
        <v>0</v>
      </c>
      <c r="G166">
        <v>0</v>
      </c>
      <c r="H166">
        <v>0</v>
      </c>
      <c r="I166">
        <v>0</v>
      </c>
      <c r="J166">
        <v>1745.3</v>
      </c>
    </row>
    <row r="167" spans="1:10" x14ac:dyDescent="0.3">
      <c r="A167" t="s">
        <v>278</v>
      </c>
      <c r="B167">
        <v>5900</v>
      </c>
      <c r="C167">
        <v>0</v>
      </c>
      <c r="D167">
        <v>0</v>
      </c>
      <c r="E167">
        <v>200</v>
      </c>
      <c r="F167">
        <v>0</v>
      </c>
      <c r="G167">
        <v>0</v>
      </c>
      <c r="H167">
        <v>0</v>
      </c>
      <c r="I167">
        <v>0</v>
      </c>
      <c r="J167">
        <v>1844.6</v>
      </c>
    </row>
    <row r="168" spans="1:10" x14ac:dyDescent="0.3">
      <c r="A168" t="s">
        <v>278</v>
      </c>
      <c r="B168">
        <v>6000</v>
      </c>
      <c r="C168">
        <v>0</v>
      </c>
      <c r="D168">
        <v>0</v>
      </c>
      <c r="E168">
        <v>115588</v>
      </c>
      <c r="F168">
        <v>0</v>
      </c>
      <c r="G168">
        <v>0</v>
      </c>
      <c r="H168">
        <v>0</v>
      </c>
      <c r="I168">
        <v>0</v>
      </c>
      <c r="J168">
        <v>1944</v>
      </c>
    </row>
    <row r="169" spans="1:10" x14ac:dyDescent="0.3">
      <c r="A169" t="s">
        <v>278</v>
      </c>
      <c r="B169">
        <v>6600</v>
      </c>
      <c r="C169">
        <v>0</v>
      </c>
      <c r="D169">
        <v>0</v>
      </c>
      <c r="E169">
        <v>206</v>
      </c>
      <c r="F169">
        <v>0</v>
      </c>
      <c r="G169">
        <v>0</v>
      </c>
      <c r="H169">
        <v>0</v>
      </c>
      <c r="I169">
        <v>0</v>
      </c>
      <c r="J169">
        <v>2540.4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157F5-D26F-4527-9E01-78ADFC7C1056}">
  <sheetPr codeName="Tabelle13"/>
  <dimension ref="A2:I47"/>
  <sheetViews>
    <sheetView view="pageBreakPreview" topLeftCell="A19" zoomScaleNormal="100" zoomScaleSheetLayoutView="100" workbookViewId="0">
      <selection activeCell="J55" sqref="J55"/>
    </sheetView>
  </sheetViews>
  <sheetFormatPr baseColWidth="10" defaultRowHeight="14.4" x14ac:dyDescent="0.3"/>
  <sheetData>
    <row r="2" spans="1:6" ht="28.8" x14ac:dyDescent="0.55000000000000004">
      <c r="A2" s="84" t="s">
        <v>141</v>
      </c>
    </row>
    <row r="4" spans="1:6" ht="21" x14ac:dyDescent="0.3">
      <c r="A4" s="81" t="s">
        <v>142</v>
      </c>
    </row>
    <row r="5" spans="1:6" ht="18" x14ac:dyDescent="0.35">
      <c r="A5" s="82" t="s">
        <v>143</v>
      </c>
      <c r="E5" s="85" t="s">
        <v>163</v>
      </c>
      <c r="F5" s="85"/>
    </row>
    <row r="7" spans="1:6" ht="23.4" x14ac:dyDescent="0.45">
      <c r="E7" s="86" t="s">
        <v>151</v>
      </c>
    </row>
    <row r="8" spans="1:6" ht="23.4" x14ac:dyDescent="0.45">
      <c r="E8" s="86" t="s">
        <v>152</v>
      </c>
    </row>
    <row r="9" spans="1:6" ht="23.4" x14ac:dyDescent="0.45">
      <c r="E9" s="86" t="s">
        <v>153</v>
      </c>
    </row>
    <row r="11" spans="1:6" ht="23.4" x14ac:dyDescent="0.45">
      <c r="E11" s="86" t="s">
        <v>144</v>
      </c>
    </row>
    <row r="12" spans="1:6" ht="23.4" x14ac:dyDescent="0.45">
      <c r="E12" s="86" t="s">
        <v>154</v>
      </c>
    </row>
    <row r="15" spans="1:6" ht="23.4" x14ac:dyDescent="0.45">
      <c r="A15" s="82" t="s">
        <v>145</v>
      </c>
      <c r="E15" s="86" t="s">
        <v>155</v>
      </c>
    </row>
    <row r="16" spans="1:6" ht="23.4" x14ac:dyDescent="0.45">
      <c r="E16" s="86" t="s">
        <v>156</v>
      </c>
    </row>
    <row r="17" spans="1:5" ht="23.4" x14ac:dyDescent="0.45">
      <c r="E17" s="86" t="s">
        <v>157</v>
      </c>
    </row>
    <row r="18" spans="1:5" ht="23.4" x14ac:dyDescent="0.45">
      <c r="E18" s="86" t="s">
        <v>158</v>
      </c>
    </row>
    <row r="20" spans="1:5" ht="23.4" x14ac:dyDescent="0.45">
      <c r="E20" s="86" t="s">
        <v>144</v>
      </c>
    </row>
    <row r="21" spans="1:5" ht="23.4" x14ac:dyDescent="0.45">
      <c r="E21" s="86" t="s">
        <v>154</v>
      </c>
    </row>
    <row r="24" spans="1:5" x14ac:dyDescent="0.3">
      <c r="A24" t="s">
        <v>146</v>
      </c>
    </row>
    <row r="27" spans="1:5" ht="18" x14ac:dyDescent="0.35">
      <c r="A27" s="82" t="s">
        <v>147</v>
      </c>
    </row>
    <row r="29" spans="1:5" ht="23.4" x14ac:dyDescent="0.3">
      <c r="A29" s="83" t="s">
        <v>148</v>
      </c>
    </row>
    <row r="30" spans="1:5" ht="23.4" x14ac:dyDescent="0.45">
      <c r="A30" s="83" t="s">
        <v>159</v>
      </c>
      <c r="E30" s="86" t="s">
        <v>161</v>
      </c>
    </row>
    <row r="31" spans="1:5" ht="23.4" x14ac:dyDescent="0.3">
      <c r="A31" s="83" t="s">
        <v>160</v>
      </c>
    </row>
    <row r="32" spans="1:5" ht="23.4" x14ac:dyDescent="0.3">
      <c r="A32" s="83" t="s">
        <v>149</v>
      </c>
    </row>
    <row r="35" spans="1:9" x14ac:dyDescent="0.3">
      <c r="A35" s="87" t="s">
        <v>150</v>
      </c>
    </row>
    <row r="40" spans="1:9" x14ac:dyDescent="0.3">
      <c r="A40" s="105"/>
      <c r="B40" s="105"/>
      <c r="C40" s="105"/>
      <c r="D40" s="105"/>
      <c r="E40" s="105"/>
      <c r="F40" s="105"/>
      <c r="G40" s="105"/>
      <c r="H40" s="105"/>
      <c r="I40" s="105"/>
    </row>
    <row r="47" spans="1:9" x14ac:dyDescent="0.3">
      <c r="A47" s="105" t="s">
        <v>162</v>
      </c>
      <c r="B47" s="105"/>
      <c r="C47" s="105"/>
      <c r="D47" s="105"/>
      <c r="E47" s="105"/>
      <c r="F47" s="105"/>
      <c r="G47" s="105"/>
      <c r="H47" s="105"/>
      <c r="I47" s="105"/>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02E4C-9905-4F9A-A321-32DACF94E9B9}">
  <sheetPr codeName="Tabelle18"/>
  <dimension ref="A2:I48"/>
  <sheetViews>
    <sheetView view="pageBreakPreview" zoomScaleNormal="100" zoomScaleSheetLayoutView="100" workbookViewId="0">
      <selection activeCell="J55" sqref="J55"/>
    </sheetView>
  </sheetViews>
  <sheetFormatPr baseColWidth="10" defaultRowHeight="14.4" x14ac:dyDescent="0.3"/>
  <sheetData>
    <row r="2" spans="1:6" ht="28.8" x14ac:dyDescent="0.55000000000000004">
      <c r="A2" s="84" t="s">
        <v>141</v>
      </c>
    </row>
    <row r="4" spans="1:6" ht="21" x14ac:dyDescent="0.3">
      <c r="A4" s="81" t="s">
        <v>142</v>
      </c>
    </row>
    <row r="5" spans="1:6" ht="18" x14ac:dyDescent="0.35">
      <c r="A5" s="82" t="s">
        <v>143</v>
      </c>
      <c r="E5" s="85" t="s">
        <v>164</v>
      </c>
      <c r="F5" s="85"/>
    </row>
    <row r="7" spans="1:6" ht="23.4" x14ac:dyDescent="0.45">
      <c r="E7" s="86" t="s">
        <v>151</v>
      </c>
    </row>
    <row r="8" spans="1:6" ht="23.4" x14ac:dyDescent="0.45">
      <c r="E8" s="86" t="s">
        <v>152</v>
      </c>
    </row>
    <row r="9" spans="1:6" ht="23.4" x14ac:dyDescent="0.45">
      <c r="E9" s="86" t="s">
        <v>165</v>
      </c>
    </row>
    <row r="11" spans="1:6" ht="23.4" x14ac:dyDescent="0.45">
      <c r="E11" s="86" t="s">
        <v>144</v>
      </c>
    </row>
    <row r="12" spans="1:6" ht="23.4" x14ac:dyDescent="0.45">
      <c r="E12" s="86" t="s">
        <v>154</v>
      </c>
    </row>
    <row r="15" spans="1:6" ht="18" x14ac:dyDescent="0.35">
      <c r="A15" s="82" t="s">
        <v>145</v>
      </c>
      <c r="E15" s="85" t="s">
        <v>166</v>
      </c>
    </row>
    <row r="16" spans="1:6" ht="18" x14ac:dyDescent="0.35">
      <c r="A16" s="82"/>
      <c r="E16" s="85"/>
    </row>
    <row r="17" spans="1:5" ht="23.4" x14ac:dyDescent="0.45">
      <c r="E17" s="86" t="s">
        <v>155</v>
      </c>
    </row>
    <row r="18" spans="1:5" ht="23.4" x14ac:dyDescent="0.45">
      <c r="E18" s="86" t="s">
        <v>156</v>
      </c>
    </row>
    <row r="19" spans="1:5" ht="23.4" x14ac:dyDescent="0.45">
      <c r="E19" s="86" t="s">
        <v>157</v>
      </c>
    </row>
    <row r="20" spans="1:5" ht="23.4" x14ac:dyDescent="0.45">
      <c r="E20" s="86" t="s">
        <v>167</v>
      </c>
    </row>
    <row r="22" spans="1:5" ht="23.4" x14ac:dyDescent="0.45">
      <c r="E22" s="86" t="s">
        <v>144</v>
      </c>
    </row>
    <row r="23" spans="1:5" ht="23.4" x14ac:dyDescent="0.45">
      <c r="E23" s="86" t="s">
        <v>154</v>
      </c>
    </row>
    <row r="25" spans="1:5" x14ac:dyDescent="0.3">
      <c r="A25" t="s">
        <v>146</v>
      </c>
    </row>
    <row r="28" spans="1:5" ht="18" x14ac:dyDescent="0.35">
      <c r="A28" s="82" t="s">
        <v>147</v>
      </c>
    </row>
    <row r="30" spans="1:5" ht="23.4" x14ac:dyDescent="0.3">
      <c r="A30" s="83" t="s">
        <v>148</v>
      </c>
    </row>
    <row r="31" spans="1:5" ht="23.4" x14ac:dyDescent="0.45">
      <c r="A31" s="83" t="s">
        <v>159</v>
      </c>
      <c r="E31" s="86" t="s">
        <v>161</v>
      </c>
    </row>
    <row r="32" spans="1:5" ht="23.4" x14ac:dyDescent="0.3">
      <c r="A32" s="83" t="s">
        <v>160</v>
      </c>
    </row>
    <row r="33" spans="1:9" ht="23.4" x14ac:dyDescent="0.3">
      <c r="A33" s="83" t="s">
        <v>149</v>
      </c>
    </row>
    <row r="36" spans="1:9" x14ac:dyDescent="0.3">
      <c r="A36" s="87" t="s">
        <v>150</v>
      </c>
    </row>
    <row r="41" spans="1:9" x14ac:dyDescent="0.3">
      <c r="A41" s="105"/>
      <c r="B41" s="105"/>
      <c r="C41" s="105"/>
      <c r="D41" s="105"/>
      <c r="E41" s="105"/>
      <c r="F41" s="105"/>
      <c r="G41" s="105"/>
      <c r="H41" s="105"/>
      <c r="I41" s="105"/>
    </row>
    <row r="48" spans="1:9" x14ac:dyDescent="0.3">
      <c r="A48" s="105" t="s">
        <v>162</v>
      </c>
      <c r="B48" s="105"/>
      <c r="C48" s="105"/>
      <c r="D48" s="105"/>
      <c r="E48" s="105"/>
      <c r="F48" s="105"/>
      <c r="G48" s="105"/>
      <c r="H48" s="105"/>
      <c r="I48" s="105"/>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D66"/>
  <sheetViews>
    <sheetView topLeftCell="F16" zoomScale="80" zoomScaleNormal="80" workbookViewId="0">
      <selection activeCell="U45" sqref="U45"/>
    </sheetView>
  </sheetViews>
  <sheetFormatPr baseColWidth="10" defaultRowHeight="14.4" x14ac:dyDescent="0.3"/>
  <cols>
    <col min="1" max="1" width="20.109375" customWidth="1"/>
    <col min="14" max="14" width="15.5546875" customWidth="1"/>
  </cols>
  <sheetData>
    <row r="1" spans="1:30" x14ac:dyDescent="0.3">
      <c r="A1" t="s">
        <v>14</v>
      </c>
      <c r="B1" s="46" t="s">
        <v>90</v>
      </c>
      <c r="N1" t="s">
        <v>91</v>
      </c>
      <c r="AD1" s="80" t="s">
        <v>136</v>
      </c>
    </row>
    <row r="2" spans="1:30" x14ac:dyDescent="0.3">
      <c r="A2" t="s">
        <v>92</v>
      </c>
      <c r="B2" s="46" t="s">
        <v>96</v>
      </c>
      <c r="AD2" s="79" t="s">
        <v>135</v>
      </c>
    </row>
    <row r="3" spans="1:30" x14ac:dyDescent="0.3">
      <c r="B3" s="46"/>
      <c r="AD3" s="79" t="s">
        <v>133</v>
      </c>
    </row>
    <row r="6" spans="1:30" x14ac:dyDescent="0.3">
      <c r="N6" t="s">
        <v>168</v>
      </c>
      <c r="O6" t="s">
        <v>171</v>
      </c>
    </row>
    <row r="7" spans="1:30" x14ac:dyDescent="0.3">
      <c r="N7" t="s">
        <v>169</v>
      </c>
      <c r="O7" t="s">
        <v>172</v>
      </c>
    </row>
    <row r="8" spans="1:30" x14ac:dyDescent="0.3">
      <c r="N8" t="s">
        <v>170</v>
      </c>
      <c r="O8" t="s">
        <v>172</v>
      </c>
    </row>
    <row r="22" spans="1:20" x14ac:dyDescent="0.3">
      <c r="O22" t="s">
        <v>189</v>
      </c>
      <c r="P22" t="s">
        <v>302</v>
      </c>
    </row>
    <row r="23" spans="1:20" ht="18" x14ac:dyDescent="0.3">
      <c r="A23" s="54" t="s">
        <v>33</v>
      </c>
    </row>
    <row r="24" spans="1:20" x14ac:dyDescent="0.3">
      <c r="A24" t="str">
        <f>"STOXX "&amp;A23 &amp; " - " &amp;STOXX_Summery!C3 &amp; " Tage bis Verfall  - " &amp; (DAY(STOXX_Summery!C9) &amp; "."&amp; MONTH(STOXX_Summery!C9) &amp;"."&amp;YEAR(STOXX_Summery!C9))</f>
        <v>STOXX Änderung des Hedgebedarfs für den Frontmonat (Kontrakte/P) - 25 Tage bis Verfall  - 23.10.2023</v>
      </c>
    </row>
    <row r="26" spans="1:20" x14ac:dyDescent="0.3">
      <c r="A26" t="s">
        <v>38</v>
      </c>
    </row>
    <row r="28" spans="1:20" x14ac:dyDescent="0.3">
      <c r="A28" t="str">
        <f>"STOXX "&amp;A26 &amp; " - " &amp;STOXX_Summery!C3 &amp; " days until expiration    -   " &amp; (YEAR(STOXX_Summery!C9)&amp;"-"&amp;MONTH(STOXX_Summery!C9)&amp;"-"&amp;DAY(STOXX_Summery!C9))&amp;" (last trading day closing:  "&amp;Ueberhaenge!X4&amp;")"</f>
        <v>STOXX Change in hedge requirement for front and following month (contracts/P, estimated) - 25 days until expiration    -   2023-10-23 (last trading day closing:  4046,96)</v>
      </c>
    </row>
    <row r="30" spans="1:20" x14ac:dyDescent="0.3">
      <c r="N30" t="s">
        <v>134</v>
      </c>
      <c r="O30" s="79" t="s">
        <v>133</v>
      </c>
    </row>
    <row r="31" spans="1:20" x14ac:dyDescent="0.3">
      <c r="A31" t="s">
        <v>3</v>
      </c>
      <c r="B31" t="str">
        <f>O34&amp;"-"&amp;P34</f>
        <v>2023-11</v>
      </c>
    </row>
    <row r="32" spans="1:20" x14ac:dyDescent="0.3">
      <c r="A32" t="s">
        <v>40</v>
      </c>
      <c r="B32" t="str">
        <f>O36&amp;"-"&amp;P36</f>
        <v>2023-12</v>
      </c>
      <c r="N32" s="110" t="s">
        <v>73</v>
      </c>
      <c r="O32" s="109" t="s">
        <v>22</v>
      </c>
      <c r="P32" s="109"/>
      <c r="S32" s="109" t="s">
        <v>176</v>
      </c>
      <c r="T32" s="109"/>
    </row>
    <row r="33" spans="1:20" x14ac:dyDescent="0.3">
      <c r="A33" t="s">
        <v>41</v>
      </c>
      <c r="B33" t="str">
        <f>B31&amp;"+"&amp;B32</f>
        <v>2023-11+2023-12</v>
      </c>
      <c r="N33" s="110"/>
      <c r="O33" s="47" t="s">
        <v>74</v>
      </c>
      <c r="P33" s="47" t="s">
        <v>75</v>
      </c>
    </row>
    <row r="34" spans="1:20" x14ac:dyDescent="0.3">
      <c r="N34" t="s">
        <v>97</v>
      </c>
      <c r="O34" s="49">
        <v>2023</v>
      </c>
      <c r="P34" s="48" t="s">
        <v>288</v>
      </c>
      <c r="Q34" t="s">
        <v>201</v>
      </c>
      <c r="R34" s="52"/>
      <c r="S34" s="41">
        <v>45247</v>
      </c>
      <c r="T34" t="s">
        <v>202</v>
      </c>
    </row>
    <row r="35" spans="1:20" x14ac:dyDescent="0.3">
      <c r="A35" t="s">
        <v>42</v>
      </c>
      <c r="N35" t="s">
        <v>98</v>
      </c>
      <c r="O35" s="49">
        <v>2023</v>
      </c>
      <c r="P35" s="48" t="s">
        <v>288</v>
      </c>
      <c r="Q35" t="s">
        <v>201</v>
      </c>
      <c r="R35" s="52"/>
      <c r="S35" s="41"/>
    </row>
    <row r="36" spans="1:20" x14ac:dyDescent="0.3">
      <c r="N36" t="s">
        <v>108</v>
      </c>
      <c r="O36" s="49">
        <v>2023</v>
      </c>
      <c r="P36" s="48" t="s">
        <v>303</v>
      </c>
      <c r="Q36" t="s">
        <v>201</v>
      </c>
      <c r="R36" s="52"/>
      <c r="S36" s="41">
        <v>45275</v>
      </c>
      <c r="T36" t="s">
        <v>239</v>
      </c>
    </row>
    <row r="37" spans="1:20" x14ac:dyDescent="0.3">
      <c r="N37" t="s">
        <v>109</v>
      </c>
      <c r="O37" s="49">
        <v>2023</v>
      </c>
      <c r="P37" s="48" t="s">
        <v>303</v>
      </c>
      <c r="Q37" t="s">
        <v>201</v>
      </c>
      <c r="R37" s="52"/>
      <c r="S37" s="41"/>
    </row>
    <row r="38" spans="1:20" x14ac:dyDescent="0.3">
      <c r="N38" t="s">
        <v>173</v>
      </c>
      <c r="O38" s="49">
        <v>2023</v>
      </c>
      <c r="P38" s="48" t="s">
        <v>288</v>
      </c>
      <c r="Q38" t="s">
        <v>201</v>
      </c>
      <c r="R38" s="52"/>
    </row>
    <row r="39" spans="1:20" x14ac:dyDescent="0.3">
      <c r="A39" t="s">
        <v>54</v>
      </c>
      <c r="B39" t="s">
        <v>216</v>
      </c>
      <c r="N39" t="s">
        <v>174</v>
      </c>
      <c r="O39" s="49">
        <v>2023</v>
      </c>
      <c r="P39" s="48" t="s">
        <v>288</v>
      </c>
      <c r="Q39" t="s">
        <v>201</v>
      </c>
      <c r="R39" s="52"/>
    </row>
    <row r="40" spans="1:20" x14ac:dyDescent="0.3">
      <c r="A40" t="s">
        <v>55</v>
      </c>
      <c r="B40" t="s">
        <v>103</v>
      </c>
      <c r="O40" s="49">
        <v>2023</v>
      </c>
      <c r="P40" s="48" t="s">
        <v>288</v>
      </c>
      <c r="Q40" t="s">
        <v>201</v>
      </c>
      <c r="R40" s="39"/>
    </row>
    <row r="41" spans="1:20" x14ac:dyDescent="0.3">
      <c r="O41" s="49">
        <v>2023</v>
      </c>
      <c r="P41" s="48" t="s">
        <v>288</v>
      </c>
      <c r="Q41" t="s">
        <v>201</v>
      </c>
      <c r="R41" s="39"/>
    </row>
    <row r="42" spans="1:20" x14ac:dyDescent="0.3">
      <c r="A42" t="s">
        <v>85</v>
      </c>
      <c r="O42" s="49">
        <v>2023</v>
      </c>
      <c r="P42" s="48" t="s">
        <v>288</v>
      </c>
      <c r="Q42" t="s">
        <v>201</v>
      </c>
      <c r="R42" s="39"/>
    </row>
    <row r="43" spans="1:20" x14ac:dyDescent="0.3">
      <c r="A43" t="s">
        <v>81</v>
      </c>
      <c r="B43" t="s">
        <v>86</v>
      </c>
      <c r="C43" t="s">
        <v>87</v>
      </c>
      <c r="O43" s="49">
        <v>2023</v>
      </c>
      <c r="P43" s="48" t="s">
        <v>288</v>
      </c>
      <c r="Q43" t="s">
        <v>201</v>
      </c>
      <c r="R43" s="39"/>
    </row>
    <row r="44" spans="1:20" x14ac:dyDescent="0.3">
      <c r="B44" t="s">
        <v>37</v>
      </c>
      <c r="C44" s="46" t="s">
        <v>88</v>
      </c>
      <c r="O44" s="49"/>
      <c r="P44" s="48"/>
      <c r="R44" s="39"/>
    </row>
    <row r="45" spans="1:20" x14ac:dyDescent="0.3">
      <c r="A45" t="s">
        <v>58</v>
      </c>
      <c r="B45" t="s">
        <v>81</v>
      </c>
      <c r="C45" t="s">
        <v>89</v>
      </c>
      <c r="O45" s="49"/>
      <c r="P45" s="48"/>
      <c r="R45" s="39"/>
    </row>
    <row r="46" spans="1:20" x14ac:dyDescent="0.3">
      <c r="O46" s="49"/>
      <c r="P46" s="48"/>
      <c r="R46" s="52"/>
    </row>
    <row r="47" spans="1:20" x14ac:dyDescent="0.3">
      <c r="O47" s="49"/>
      <c r="P47" s="48"/>
      <c r="R47" s="52"/>
    </row>
    <row r="49" spans="1:26" x14ac:dyDescent="0.3">
      <c r="A49" s="107" t="s">
        <v>71</v>
      </c>
      <c r="B49" s="107"/>
      <c r="C49" s="107"/>
      <c r="D49" s="107"/>
      <c r="E49" s="107"/>
      <c r="F49" s="107"/>
      <c r="G49" s="107"/>
      <c r="H49" s="107"/>
      <c r="I49" s="107"/>
      <c r="J49" s="107"/>
      <c r="K49" s="107"/>
      <c r="L49" s="107"/>
      <c r="M49" s="107"/>
      <c r="N49" s="107"/>
    </row>
    <row r="50" spans="1:26" ht="110.25" customHeight="1" x14ac:dyDescent="0.3">
      <c r="A50" t="s">
        <v>97</v>
      </c>
      <c r="B50" s="106" t="s">
        <v>240</v>
      </c>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row>
    <row r="51" spans="1:26" ht="114.9" customHeight="1" x14ac:dyDescent="0.3">
      <c r="A51" t="s">
        <v>98</v>
      </c>
      <c r="B51" s="106" t="s">
        <v>241</v>
      </c>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row>
    <row r="52" spans="1:26" ht="114.9" customHeight="1" x14ac:dyDescent="0.3">
      <c r="A52" t="s">
        <v>108</v>
      </c>
      <c r="B52" s="106" t="s">
        <v>242</v>
      </c>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row>
    <row r="53" spans="1:26" ht="114.9" customHeight="1" x14ac:dyDescent="0.3">
      <c r="A53" t="s">
        <v>109</v>
      </c>
      <c r="B53" s="106" t="s">
        <v>243</v>
      </c>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row>
    <row r="54" spans="1:26" ht="114.9" customHeight="1" x14ac:dyDescent="0.3">
      <c r="A54" t="s">
        <v>173</v>
      </c>
      <c r="B54" s="106" t="s">
        <v>244</v>
      </c>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row>
    <row r="55" spans="1:26" ht="114.9" customHeight="1" x14ac:dyDescent="0.3">
      <c r="A55" t="s">
        <v>174</v>
      </c>
      <c r="B55" s="106" t="s">
        <v>245</v>
      </c>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row>
    <row r="56" spans="1:26" ht="114.9" customHeight="1" x14ac:dyDescent="0.3">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row>
    <row r="57" spans="1:26" ht="114.9" customHeight="1" x14ac:dyDescent="0.3">
      <c r="B57" s="108"/>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row>
    <row r="58" spans="1:26" ht="22.5" customHeight="1" x14ac:dyDescent="0.3">
      <c r="B58" s="108"/>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row>
    <row r="59" spans="1:26" ht="114.9" customHeight="1" x14ac:dyDescent="0.3">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row>
    <row r="60" spans="1:26" ht="114.9" customHeight="1" x14ac:dyDescent="0.3">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row>
    <row r="61" spans="1:26" ht="114.9" customHeight="1" x14ac:dyDescent="0.3">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row>
    <row r="62" spans="1:26" ht="114.9" customHeight="1" x14ac:dyDescent="0.3">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row>
    <row r="63" spans="1:26" ht="114.9" customHeight="1" x14ac:dyDescent="0.3">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row>
    <row r="66" spans="1:2" ht="409.6" x14ac:dyDescent="0.3">
      <c r="A66" t="s">
        <v>93</v>
      </c>
      <c r="B66" s="25" t="s">
        <v>95</v>
      </c>
    </row>
  </sheetData>
  <mergeCells count="18">
    <mergeCell ref="O32:P32"/>
    <mergeCell ref="N32:N33"/>
    <mergeCell ref="B62:Z62"/>
    <mergeCell ref="S32:T32"/>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s>
  <dataValidations count="1">
    <dataValidation type="list" allowBlank="1" showInputMessage="1" showErrorMessage="1" sqref="O30" xr:uid="{24828781-BBCC-4224-9093-F9D4D66D3F56}">
      <formula1>$AD$2:$AD$3</formula1>
    </dataValidation>
  </dataValidations>
  <hyperlinks>
    <hyperlink ref="C44" r:id="rId1" xr:uid="{13AC0715-F374-445E-A314-83D1C782352C}"/>
    <hyperlink ref="B1" r:id="rId2" xr:uid="{0E2D53BC-B9E7-4F6C-AC07-1D7B09D3D37F}"/>
    <hyperlink ref="B2" r:id="rId3" xr:uid="{FB1C85F9-4D1B-4A63-9753-083F016C21E8}"/>
  </hyperlinks>
  <pageMargins left="0.7" right="0.7" top="0.78740157499999996" bottom="0.78740157499999996" header="0.3" footer="0.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7F080-70CC-42BA-AE63-9C808AAEA095}">
  <sheetPr codeName="Tabelle20">
    <pageSetUpPr fitToPage="1"/>
  </sheetPr>
  <dimension ref="A1:V193"/>
  <sheetViews>
    <sheetView view="pageBreakPreview" zoomScaleNormal="70" zoomScaleSheetLayoutView="100" workbookViewId="0">
      <selection activeCell="A2" sqref="A2:K47"/>
    </sheetView>
  </sheetViews>
  <sheetFormatPr baseColWidth="10" defaultRowHeight="14.4" x14ac:dyDescent="0.3"/>
  <cols>
    <col min="1" max="1" width="11.44140625" style="18"/>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80.25" customHeight="1" x14ac:dyDescent="0.3">
      <c r="A1" s="111" t="s">
        <v>101</v>
      </c>
      <c r="B1" s="112"/>
      <c r="C1" s="112"/>
      <c r="D1" s="112"/>
      <c r="E1" s="112"/>
      <c r="F1" s="112"/>
      <c r="G1" s="113">
        <f>Ueberhaenge!G1</f>
        <v>45222</v>
      </c>
      <c r="H1" s="113"/>
      <c r="I1" s="55"/>
      <c r="J1" s="59"/>
      <c r="K1" s="59"/>
    </row>
    <row r="2" spans="1:22" ht="21" customHeight="1" x14ac:dyDescent="0.3">
      <c r="A2" s="61"/>
      <c r="B2" s="62"/>
      <c r="C2" s="62"/>
      <c r="D2" s="62"/>
      <c r="E2" s="62"/>
      <c r="F2" s="62"/>
      <c r="G2" s="62"/>
      <c r="H2" s="62"/>
      <c r="I2" s="62"/>
      <c r="J2" s="62"/>
      <c r="K2" s="62"/>
    </row>
    <row r="3" spans="1:22" ht="18" x14ac:dyDescent="0.35">
      <c r="A3" s="63" t="s">
        <v>27</v>
      </c>
      <c r="B3" s="62"/>
      <c r="C3" s="65">
        <f>Ueberhaenge!G2</f>
        <v>25</v>
      </c>
      <c r="D3" s="62"/>
      <c r="E3" s="64" t="s">
        <v>31</v>
      </c>
      <c r="F3" s="64">
        <v>0.5</v>
      </c>
      <c r="G3" s="62"/>
      <c r="H3" s="67"/>
      <c r="I3" s="67"/>
      <c r="J3" s="62"/>
      <c r="K3" s="62"/>
    </row>
    <row r="4" spans="1:22" x14ac:dyDescent="0.3">
      <c r="A4" s="61"/>
      <c r="B4" s="62"/>
      <c r="C4" s="62"/>
      <c r="D4" s="62"/>
      <c r="E4" s="62"/>
      <c r="F4" s="62"/>
      <c r="G4" s="62"/>
      <c r="H4" s="62"/>
      <c r="I4" s="62"/>
      <c r="J4" s="62"/>
      <c r="K4" s="62"/>
      <c r="L4" s="1"/>
      <c r="M4" s="1"/>
      <c r="N4" s="1"/>
      <c r="O4" s="1"/>
      <c r="P4" s="1"/>
      <c r="Q4" s="1"/>
      <c r="R4" s="1"/>
      <c r="S4" s="1"/>
    </row>
    <row r="5" spans="1:22" ht="5.25" customHeight="1" x14ac:dyDescent="0.3">
      <c r="A5" s="61"/>
      <c r="B5" s="62"/>
      <c r="C5" s="62"/>
      <c r="D5" s="62"/>
      <c r="E5" s="62"/>
      <c r="F5" s="62"/>
      <c r="G5" s="62"/>
      <c r="H5" s="62"/>
      <c r="I5" s="62"/>
      <c r="J5" s="62"/>
      <c r="K5" s="62"/>
      <c r="L5" s="1"/>
      <c r="M5" s="1"/>
      <c r="N5" s="1"/>
      <c r="O5" s="1"/>
      <c r="P5" s="1"/>
      <c r="Q5" s="1"/>
      <c r="R5" s="1"/>
      <c r="S5" s="1"/>
    </row>
    <row r="6" spans="1:22" ht="63.75" customHeight="1" thickBot="1" x14ac:dyDescent="0.35">
      <c r="A6" s="114" t="s">
        <v>104</v>
      </c>
      <c r="B6" s="115"/>
      <c r="C6" s="115"/>
      <c r="D6" s="115"/>
      <c r="E6" s="115"/>
      <c r="F6" s="115"/>
      <c r="G6" s="115"/>
      <c r="H6" s="115"/>
      <c r="I6" s="115"/>
      <c r="J6" s="59"/>
      <c r="K6" s="59"/>
      <c r="L6" s="1"/>
      <c r="M6" s="1"/>
      <c r="N6" s="116" t="s">
        <v>32</v>
      </c>
      <c r="O6" s="116"/>
      <c r="P6" s="116"/>
      <c r="Q6" s="116"/>
      <c r="R6" s="1"/>
      <c r="S6" s="1"/>
    </row>
    <row r="7" spans="1:22" ht="32.25" customHeight="1" thickBot="1" x14ac:dyDescent="0.65">
      <c r="A7" s="117" t="s">
        <v>1</v>
      </c>
      <c r="B7" s="120" t="str">
        <f xml:space="preserve"> "Front: " &amp; Ueberhaenge!D8</f>
        <v>Front: 2023-11</v>
      </c>
      <c r="C7" s="121"/>
      <c r="D7" s="122"/>
      <c r="E7" s="58"/>
      <c r="F7" s="58"/>
      <c r="G7" s="58"/>
      <c r="H7" s="59"/>
      <c r="I7" s="59"/>
      <c r="J7" s="59"/>
      <c r="K7" s="59"/>
      <c r="L7" s="1"/>
      <c r="M7" s="1"/>
      <c r="N7" s="116"/>
      <c r="O7" s="116"/>
      <c r="P7" s="116"/>
      <c r="Q7" s="116"/>
      <c r="R7" s="38"/>
      <c r="S7" s="38"/>
      <c r="T7" s="37"/>
      <c r="U7" s="37"/>
      <c r="V7" s="37"/>
    </row>
    <row r="8" spans="1:22" ht="21.6" thickBot="1" x14ac:dyDescent="0.45">
      <c r="A8" s="118"/>
      <c r="B8" s="123"/>
      <c r="C8" s="124"/>
      <c r="D8" s="125"/>
      <c r="E8" s="60"/>
      <c r="F8" s="59"/>
      <c r="G8" s="59"/>
      <c r="H8" s="59"/>
      <c r="I8" s="59"/>
      <c r="J8" s="59"/>
      <c r="K8" s="59"/>
      <c r="L8" s="1"/>
      <c r="M8" s="1"/>
      <c r="N8" s="35"/>
      <c r="O8" s="126" t="str">
        <f xml:space="preserve"> "Summe: " &amp; Ueberhaenge!D8 &amp; " bis " &amp; Ueberhaenge!I8</f>
        <v>Summe: 2023-11 bis -</v>
      </c>
      <c r="P8" s="127"/>
      <c r="Q8" s="128"/>
      <c r="R8" s="1"/>
      <c r="S8" s="1"/>
    </row>
    <row r="9" spans="1:22" ht="18.600000000000001" thickBot="1" x14ac:dyDescent="0.4">
      <c r="A9" s="119"/>
      <c r="B9" s="56" t="s">
        <v>26</v>
      </c>
      <c r="C9" s="57">
        <f>Ueberhaenge!G5</f>
        <v>45222</v>
      </c>
      <c r="D9" s="57">
        <f>IF(WEEKDAY(C9,2)=1,C9-3,C9-1)</f>
        <v>45219</v>
      </c>
      <c r="E9" s="60"/>
      <c r="F9" s="59"/>
      <c r="G9" s="59"/>
      <c r="H9" s="59"/>
      <c r="I9" s="59"/>
      <c r="J9" s="59"/>
      <c r="K9" s="59"/>
      <c r="L9" s="1"/>
      <c r="M9" s="1"/>
      <c r="N9" s="36" t="s">
        <v>1</v>
      </c>
      <c r="O9" s="22" t="s">
        <v>26</v>
      </c>
      <c r="P9" s="21">
        <f>C9</f>
        <v>45222</v>
      </c>
      <c r="Q9" s="21">
        <f>D9</f>
        <v>45219</v>
      </c>
      <c r="R9" s="1"/>
      <c r="S9" s="1"/>
    </row>
    <row r="10" spans="1:22" ht="23.1" customHeight="1" x14ac:dyDescent="0.35">
      <c r="A10" s="26">
        <v>4500</v>
      </c>
      <c r="B10" s="27">
        <f>STOXX_Summery!B10</f>
        <v>0</v>
      </c>
      <c r="C10" s="28">
        <v>-19654</v>
      </c>
      <c r="D10" s="28">
        <v>-19654</v>
      </c>
      <c r="E10" s="1"/>
      <c r="F10" s="1"/>
      <c r="G10" s="1"/>
      <c r="H10" s="1"/>
      <c r="I10" s="1"/>
      <c r="J10" s="1"/>
      <c r="K10" s="1"/>
      <c r="L10" s="1"/>
      <c r="M10" s="1"/>
      <c r="N10" s="26">
        <v>4500</v>
      </c>
      <c r="O10" s="29">
        <v>12777</v>
      </c>
      <c r="P10" s="30">
        <v>-33985</v>
      </c>
      <c r="Q10" s="31">
        <v>-46762</v>
      </c>
      <c r="R10" s="1"/>
      <c r="S10" s="1"/>
      <c r="T10" s="23">
        <v>-46762</v>
      </c>
    </row>
    <row r="11" spans="1:22" ht="23.1" customHeight="1" x14ac:dyDescent="0.35">
      <c r="A11" s="26">
        <v>4475</v>
      </c>
      <c r="B11" s="29">
        <v>-195</v>
      </c>
      <c r="C11" s="30">
        <v>-4219.5</v>
      </c>
      <c r="D11" s="30">
        <v>-4024.5</v>
      </c>
      <c r="E11" s="1"/>
      <c r="F11" s="1"/>
      <c r="G11" s="1"/>
      <c r="H11" s="1"/>
      <c r="I11" s="1"/>
      <c r="J11" s="1"/>
      <c r="K11" s="1"/>
      <c r="L11" s="1"/>
      <c r="M11" s="1"/>
      <c r="N11" s="26">
        <v>4475</v>
      </c>
      <c r="O11" s="29">
        <v>419</v>
      </c>
      <c r="P11" s="30">
        <v>-4931</v>
      </c>
      <c r="Q11" s="31">
        <v>-5350</v>
      </c>
      <c r="R11" s="1"/>
      <c r="S11" s="1"/>
      <c r="T11" s="23">
        <v>-5350</v>
      </c>
    </row>
    <row r="12" spans="1:22" ht="23.1" customHeight="1" x14ac:dyDescent="0.35">
      <c r="A12" s="26">
        <v>4450</v>
      </c>
      <c r="B12" s="29">
        <v>-1.5</v>
      </c>
      <c r="C12" s="30">
        <v>-6306</v>
      </c>
      <c r="D12" s="30">
        <v>-6304.5</v>
      </c>
      <c r="E12" s="1"/>
      <c r="F12" s="1"/>
      <c r="G12" s="1"/>
      <c r="H12" s="1"/>
      <c r="I12" s="1"/>
      <c r="J12" s="1"/>
      <c r="K12" s="1"/>
      <c r="L12" s="1"/>
      <c r="M12" s="1"/>
      <c r="N12" s="26">
        <v>4450</v>
      </c>
      <c r="O12" s="29">
        <v>36031.5</v>
      </c>
      <c r="P12" s="30">
        <v>-21315</v>
      </c>
      <c r="Q12" s="31">
        <v>-57346.5</v>
      </c>
      <c r="R12" s="1"/>
      <c r="S12" s="1"/>
      <c r="T12" s="23">
        <v>-57346.5</v>
      </c>
    </row>
    <row r="13" spans="1:22" ht="23.1" customHeight="1" x14ac:dyDescent="0.35">
      <c r="A13" s="26">
        <v>4425</v>
      </c>
      <c r="B13" s="29">
        <v>0</v>
      </c>
      <c r="C13" s="30">
        <v>-3982.5</v>
      </c>
      <c r="D13" s="30">
        <v>-3982.5</v>
      </c>
      <c r="E13" s="1"/>
      <c r="F13" s="1"/>
      <c r="G13" s="1"/>
      <c r="H13" s="1"/>
      <c r="I13" s="1"/>
      <c r="J13" s="1"/>
      <c r="K13" s="1"/>
      <c r="L13" s="1"/>
      <c r="M13" s="1"/>
      <c r="N13" s="26">
        <v>4425</v>
      </c>
      <c r="O13" s="29">
        <v>29932</v>
      </c>
      <c r="P13" s="30">
        <v>-6835.5</v>
      </c>
      <c r="Q13" s="31">
        <v>-36767.5</v>
      </c>
      <c r="R13" s="1"/>
      <c r="S13" s="1"/>
      <c r="T13" s="23">
        <v>-36767.5</v>
      </c>
    </row>
    <row r="14" spans="1:22" ht="23.1" customHeight="1" x14ac:dyDescent="0.35">
      <c r="A14" s="26">
        <v>4400</v>
      </c>
      <c r="B14" s="29">
        <v>437.5</v>
      </c>
      <c r="C14" s="30">
        <v>-24460.5</v>
      </c>
      <c r="D14" s="30">
        <v>-24898</v>
      </c>
      <c r="E14" s="1"/>
      <c r="F14" s="1"/>
      <c r="G14" s="1"/>
      <c r="H14" s="1"/>
      <c r="I14" s="1"/>
      <c r="J14" s="1"/>
      <c r="K14" s="1"/>
      <c r="L14" s="1"/>
      <c r="M14" s="1"/>
      <c r="N14" s="26">
        <v>4400</v>
      </c>
      <c r="O14" s="29">
        <v>46206.5</v>
      </c>
      <c r="P14" s="30">
        <v>-45740.5</v>
      </c>
      <c r="Q14" s="31">
        <v>-91947</v>
      </c>
      <c r="R14" s="1"/>
      <c r="S14" s="1"/>
      <c r="T14" s="23">
        <v>-91947</v>
      </c>
    </row>
    <row r="15" spans="1:22" ht="23.1" customHeight="1" x14ac:dyDescent="0.35">
      <c r="A15" s="26">
        <v>4375</v>
      </c>
      <c r="B15" s="29">
        <v>127</v>
      </c>
      <c r="C15" s="30">
        <v>-17958</v>
      </c>
      <c r="D15" s="30">
        <v>-18085</v>
      </c>
      <c r="E15" s="1"/>
      <c r="F15" s="1"/>
      <c r="G15" s="1"/>
      <c r="H15" s="1"/>
      <c r="I15" s="1"/>
      <c r="J15" s="1"/>
      <c r="K15" s="1"/>
      <c r="L15" s="1"/>
      <c r="M15" s="1"/>
      <c r="N15" s="26">
        <v>4375</v>
      </c>
      <c r="O15" s="29">
        <v>8017</v>
      </c>
      <c r="P15" s="30">
        <v>-25381</v>
      </c>
      <c r="Q15" s="31">
        <v>-33398</v>
      </c>
      <c r="R15" s="1"/>
      <c r="S15" s="1"/>
      <c r="T15" s="23">
        <v>-33398</v>
      </c>
    </row>
    <row r="16" spans="1:22" ht="23.1" customHeight="1" x14ac:dyDescent="0.35">
      <c r="A16" s="26">
        <v>4350</v>
      </c>
      <c r="B16" s="29">
        <v>944.5</v>
      </c>
      <c r="C16" s="30">
        <v>-47051</v>
      </c>
      <c r="D16" s="30">
        <v>-47995.5</v>
      </c>
      <c r="E16" s="1"/>
      <c r="F16" s="1"/>
      <c r="G16" s="1"/>
      <c r="H16" s="1"/>
      <c r="I16" s="1"/>
      <c r="J16" s="1"/>
      <c r="K16" s="1"/>
      <c r="L16" s="1"/>
      <c r="M16" s="1"/>
      <c r="N16" s="26">
        <v>4350</v>
      </c>
      <c r="O16" s="29">
        <v>-11789.601999999999</v>
      </c>
      <c r="P16" s="30">
        <v>-86232.5</v>
      </c>
      <c r="Q16" s="31">
        <v>-74442.898000000001</v>
      </c>
      <c r="R16" s="1"/>
      <c r="S16" s="1"/>
      <c r="T16" s="23">
        <v>-74442.898000000001</v>
      </c>
    </row>
    <row r="17" spans="1:20" ht="23.1" customHeight="1" x14ac:dyDescent="0.35">
      <c r="A17" s="26">
        <v>4325</v>
      </c>
      <c r="B17" s="29">
        <v>859.5</v>
      </c>
      <c r="C17" s="30">
        <v>-20984</v>
      </c>
      <c r="D17" s="30">
        <v>-21843.5</v>
      </c>
      <c r="E17" s="1"/>
      <c r="F17" s="1"/>
      <c r="G17" s="1"/>
      <c r="H17" s="1"/>
      <c r="I17" s="1"/>
      <c r="J17" s="1"/>
      <c r="K17" s="1"/>
      <c r="L17" s="1"/>
      <c r="M17" s="1"/>
      <c r="N17" s="26">
        <v>4325</v>
      </c>
      <c r="O17" s="29">
        <v>-8107.8439999999973</v>
      </c>
      <c r="P17" s="30">
        <v>-31454</v>
      </c>
      <c r="Q17" s="31">
        <v>-23346.156000000003</v>
      </c>
      <c r="R17" s="1"/>
      <c r="S17" s="1"/>
      <c r="T17" s="23">
        <v>-23346.156000000003</v>
      </c>
    </row>
    <row r="18" spans="1:20" ht="23.1" customHeight="1" x14ac:dyDescent="0.35">
      <c r="A18" s="26">
        <v>4300</v>
      </c>
      <c r="B18" s="29">
        <v>2175</v>
      </c>
      <c r="C18" s="30">
        <v>-46155.5</v>
      </c>
      <c r="D18" s="30">
        <v>-48330.5</v>
      </c>
      <c r="E18" s="1"/>
      <c r="F18" s="1"/>
      <c r="G18" s="1"/>
      <c r="H18" s="1"/>
      <c r="I18" s="1"/>
      <c r="J18" s="1"/>
      <c r="K18" s="1"/>
      <c r="L18" s="1"/>
      <c r="M18" s="1"/>
      <c r="N18" s="26">
        <v>4300</v>
      </c>
      <c r="O18" s="29">
        <v>-21065.434999999998</v>
      </c>
      <c r="P18" s="30">
        <v>-84479.454499999993</v>
      </c>
      <c r="Q18" s="31">
        <v>-63414.019499999995</v>
      </c>
      <c r="R18" s="1"/>
      <c r="S18" s="1"/>
      <c r="T18" s="23">
        <v>-63414.019499999995</v>
      </c>
    </row>
    <row r="19" spans="1:20" ht="23.1" customHeight="1" x14ac:dyDescent="0.35">
      <c r="A19" s="26">
        <v>4275</v>
      </c>
      <c r="B19" s="29">
        <v>1355.5</v>
      </c>
      <c r="C19" s="30">
        <v>-23114.5</v>
      </c>
      <c r="D19" s="30">
        <v>-24470</v>
      </c>
      <c r="E19" s="1"/>
      <c r="F19" s="1"/>
      <c r="G19" s="1"/>
      <c r="H19" s="1"/>
      <c r="I19" s="1"/>
      <c r="J19" s="1"/>
      <c r="K19" s="1"/>
      <c r="L19" s="1"/>
      <c r="M19" s="1"/>
      <c r="N19" s="26">
        <v>4275</v>
      </c>
      <c r="O19" s="29">
        <v>-23201.556499999999</v>
      </c>
      <c r="P19" s="30">
        <v>-31271.5</v>
      </c>
      <c r="Q19" s="31">
        <v>-8069.9435000000003</v>
      </c>
      <c r="R19" s="1"/>
      <c r="S19" s="1"/>
      <c r="T19" s="23">
        <v>-8069.9435000000003</v>
      </c>
    </row>
    <row r="20" spans="1:20" ht="23.1" customHeight="1" x14ac:dyDescent="0.35">
      <c r="A20" s="26">
        <v>4250</v>
      </c>
      <c r="B20" s="29">
        <v>307</v>
      </c>
      <c r="C20" s="30">
        <v>-19845</v>
      </c>
      <c r="D20" s="30">
        <v>-20152</v>
      </c>
      <c r="E20" s="1"/>
      <c r="F20" s="1"/>
      <c r="G20" s="1"/>
      <c r="H20" s="1"/>
      <c r="I20" s="1"/>
      <c r="J20" s="1"/>
      <c r="K20" s="1"/>
      <c r="L20" s="1"/>
      <c r="M20" s="1"/>
      <c r="N20" s="26">
        <v>4250</v>
      </c>
      <c r="O20" s="29">
        <v>-6307.320000000007</v>
      </c>
      <c r="P20" s="30">
        <v>-49813.317500000005</v>
      </c>
      <c r="Q20" s="31">
        <v>-43505.997499999998</v>
      </c>
      <c r="R20" s="1"/>
      <c r="S20" s="1"/>
      <c r="T20" s="23">
        <v>-43505.997499999998</v>
      </c>
    </row>
    <row r="21" spans="1:20" ht="23.1" customHeight="1" x14ac:dyDescent="0.35">
      <c r="A21" s="26">
        <v>4225</v>
      </c>
      <c r="B21" s="29">
        <v>-328</v>
      </c>
      <c r="C21" s="30">
        <v>-15341</v>
      </c>
      <c r="D21" s="30">
        <v>-15013</v>
      </c>
      <c r="E21" s="1"/>
      <c r="F21" s="1"/>
      <c r="G21" s="1"/>
      <c r="H21" s="1"/>
      <c r="I21" s="1"/>
      <c r="J21" s="1"/>
      <c r="K21" s="1"/>
      <c r="L21" s="1"/>
      <c r="M21" s="1"/>
      <c r="N21" s="26">
        <v>4225</v>
      </c>
      <c r="O21" s="29">
        <v>-16048.421000000002</v>
      </c>
      <c r="P21" s="30">
        <v>-18631.435000000001</v>
      </c>
      <c r="Q21" s="31">
        <v>-2583.0140000000001</v>
      </c>
      <c r="R21" s="1"/>
      <c r="S21" s="1"/>
      <c r="T21" s="23">
        <v>-2583.0140000000001</v>
      </c>
    </row>
    <row r="22" spans="1:20" ht="23.1" customHeight="1" x14ac:dyDescent="0.35">
      <c r="A22" s="26">
        <v>4200</v>
      </c>
      <c r="B22" s="29">
        <v>1831</v>
      </c>
      <c r="C22" s="30">
        <v>-13410.5</v>
      </c>
      <c r="D22" s="30">
        <v>-15241.5</v>
      </c>
      <c r="E22" s="1"/>
      <c r="F22" s="1"/>
      <c r="G22" s="1"/>
      <c r="H22" s="1"/>
      <c r="I22" s="1"/>
      <c r="J22" s="1"/>
      <c r="K22" s="1"/>
      <c r="L22" s="1"/>
      <c r="M22" s="1"/>
      <c r="N22" s="26">
        <v>4200</v>
      </c>
      <c r="O22" s="29">
        <v>327.80900000000111</v>
      </c>
      <c r="P22" s="30">
        <v>-33765.199000000001</v>
      </c>
      <c r="Q22" s="31">
        <v>-34093.008000000002</v>
      </c>
      <c r="R22" s="1"/>
      <c r="S22" s="1"/>
      <c r="T22" s="23">
        <v>-34093.008000000002</v>
      </c>
    </row>
    <row r="23" spans="1:20" ht="23.1" customHeight="1" x14ac:dyDescent="0.35">
      <c r="A23" s="26">
        <v>4175</v>
      </c>
      <c r="B23" s="29">
        <v>-1594.5</v>
      </c>
      <c r="C23" s="30">
        <v>3353.5</v>
      </c>
      <c r="D23" s="30">
        <v>4948</v>
      </c>
      <c r="E23" s="1"/>
      <c r="F23" s="1"/>
      <c r="G23" s="1"/>
      <c r="H23" s="1"/>
      <c r="I23" s="1"/>
      <c r="J23" s="1"/>
      <c r="K23" s="1"/>
      <c r="L23" s="1"/>
      <c r="M23" s="1"/>
      <c r="N23" s="26">
        <v>4175</v>
      </c>
      <c r="O23" s="29">
        <v>24579.261499999997</v>
      </c>
      <c r="P23" s="30">
        <v>-551.98050000000012</v>
      </c>
      <c r="Q23" s="31">
        <v>-25131.241999999998</v>
      </c>
      <c r="R23" s="1"/>
      <c r="S23" s="1"/>
      <c r="T23" s="23">
        <v>-25131.241999999998</v>
      </c>
    </row>
    <row r="24" spans="1:20" ht="23.1" customHeight="1" x14ac:dyDescent="0.35">
      <c r="A24" s="26">
        <v>4150</v>
      </c>
      <c r="B24" s="29">
        <v>354.5</v>
      </c>
      <c r="C24" s="30">
        <v>6343.5</v>
      </c>
      <c r="D24" s="30">
        <v>5989</v>
      </c>
      <c r="E24" s="1"/>
      <c r="F24" s="1"/>
      <c r="G24" s="1"/>
      <c r="H24" s="1"/>
      <c r="I24" s="1"/>
      <c r="J24" s="1"/>
      <c r="K24" s="1"/>
      <c r="L24" s="1"/>
      <c r="M24" s="1"/>
      <c r="N24" s="26">
        <v>4150</v>
      </c>
      <c r="O24" s="29">
        <v>19158.531999999999</v>
      </c>
      <c r="P24" s="30">
        <v>-4575.6650000000009</v>
      </c>
      <c r="Q24" s="31">
        <v>-23734.197</v>
      </c>
      <c r="R24" s="1"/>
      <c r="S24" s="1"/>
      <c r="T24" s="23">
        <v>-23734.197</v>
      </c>
    </row>
    <row r="25" spans="1:20" ht="23.1" customHeight="1" x14ac:dyDescent="0.35">
      <c r="A25" s="26">
        <v>4125</v>
      </c>
      <c r="B25" s="29">
        <v>375</v>
      </c>
      <c r="C25" s="30">
        <v>2909.5</v>
      </c>
      <c r="D25" s="30">
        <v>2534.5</v>
      </c>
      <c r="E25" s="1"/>
      <c r="F25" s="1"/>
      <c r="G25" s="1"/>
      <c r="H25" s="1"/>
      <c r="I25" s="1"/>
      <c r="J25" s="1"/>
      <c r="K25" s="1"/>
      <c r="L25" s="1"/>
      <c r="M25" s="1"/>
      <c r="N25" s="26">
        <v>4125</v>
      </c>
      <c r="O25" s="29">
        <v>-1118.7754999999997</v>
      </c>
      <c r="P25" s="30">
        <v>1291.8420000000001</v>
      </c>
      <c r="Q25" s="31">
        <v>2410.6174999999998</v>
      </c>
      <c r="R25" s="1"/>
      <c r="S25" s="1"/>
      <c r="T25" s="23">
        <v>2410.6174999999998</v>
      </c>
    </row>
    <row r="26" spans="1:20" ht="23.1" customHeight="1" x14ac:dyDescent="0.35">
      <c r="A26" s="26">
        <v>4100</v>
      </c>
      <c r="B26" s="29">
        <v>-5958.5</v>
      </c>
      <c r="C26" s="30">
        <v>12529</v>
      </c>
      <c r="D26" s="30">
        <v>18487.5</v>
      </c>
      <c r="E26" s="1"/>
      <c r="F26" s="1"/>
      <c r="G26" s="1"/>
      <c r="H26" s="1"/>
      <c r="I26" s="1"/>
      <c r="J26" s="1"/>
      <c r="K26" s="1"/>
      <c r="L26" s="1"/>
      <c r="M26" s="1"/>
      <c r="N26" s="26">
        <v>4100</v>
      </c>
      <c r="O26" s="29">
        <v>-7630.0349999999999</v>
      </c>
      <c r="P26" s="30">
        <v>680.26649999999972</v>
      </c>
      <c r="Q26" s="31">
        <v>8310.3014999999996</v>
      </c>
      <c r="R26" s="1"/>
      <c r="S26" s="1"/>
      <c r="T26" s="23">
        <v>8310.3014999999996</v>
      </c>
    </row>
    <row r="27" spans="1:20" ht="23.1" customHeight="1" x14ac:dyDescent="0.35">
      <c r="A27" s="26">
        <v>4075</v>
      </c>
      <c r="B27" s="29">
        <v>353.5</v>
      </c>
      <c r="C27" s="30">
        <v>11004.5</v>
      </c>
      <c r="D27" s="30">
        <v>10651</v>
      </c>
      <c r="E27" s="1"/>
      <c r="F27" s="1"/>
      <c r="G27" s="1"/>
      <c r="H27" s="1"/>
      <c r="I27" s="1"/>
      <c r="J27" s="1"/>
      <c r="K27" s="1"/>
      <c r="L27" s="1"/>
      <c r="M27" s="1"/>
      <c r="N27" s="26">
        <v>4075</v>
      </c>
      <c r="O27" s="29">
        <v>-24953.145500000006</v>
      </c>
      <c r="P27" s="30">
        <v>10311.139499999999</v>
      </c>
      <c r="Q27" s="31">
        <v>35264.285000000003</v>
      </c>
      <c r="R27" s="1"/>
      <c r="S27" s="1"/>
      <c r="T27" s="23">
        <v>35264.285000000003</v>
      </c>
    </row>
    <row r="28" spans="1:20" ht="23.1" customHeight="1" x14ac:dyDescent="0.35">
      <c r="A28" s="26">
        <v>4050</v>
      </c>
      <c r="B28" s="29">
        <v>4420.5</v>
      </c>
      <c r="C28" s="30">
        <v>3930</v>
      </c>
      <c r="D28" s="30">
        <v>-490.5</v>
      </c>
      <c r="E28" s="1"/>
      <c r="F28" s="1"/>
      <c r="G28" s="1"/>
      <c r="H28" s="1"/>
      <c r="I28" s="1"/>
      <c r="J28" s="1"/>
      <c r="K28" s="1"/>
      <c r="L28" s="1"/>
      <c r="M28" s="1"/>
      <c r="N28" s="26">
        <v>4050</v>
      </c>
      <c r="O28" s="29">
        <v>-3392.3254999999999</v>
      </c>
      <c r="P28" s="30">
        <v>187.47749999999996</v>
      </c>
      <c r="Q28" s="31">
        <v>3579.8029999999999</v>
      </c>
      <c r="R28" s="1"/>
      <c r="S28" s="1"/>
      <c r="T28" s="23">
        <v>3579.8029999999999</v>
      </c>
    </row>
    <row r="29" spans="1:20" ht="23.1" customHeight="1" x14ac:dyDescent="0.35">
      <c r="A29" s="26">
        <v>4025</v>
      </c>
      <c r="B29" s="29">
        <v>305.5</v>
      </c>
      <c r="C29" s="30">
        <v>4650</v>
      </c>
      <c r="D29" s="30">
        <v>4344.5</v>
      </c>
      <c r="E29" s="1"/>
      <c r="F29" s="1"/>
      <c r="G29" s="1"/>
      <c r="H29" s="1"/>
      <c r="I29" s="1"/>
      <c r="J29" s="1"/>
      <c r="K29" s="1"/>
      <c r="L29" s="1"/>
      <c r="M29" s="1"/>
      <c r="N29" s="26">
        <v>4025</v>
      </c>
      <c r="O29" s="29">
        <v>6908.5304999999998</v>
      </c>
      <c r="P29" s="30">
        <v>3007.1594999999998</v>
      </c>
      <c r="Q29" s="31">
        <v>-3901.3710000000001</v>
      </c>
      <c r="R29" s="1"/>
      <c r="S29" s="1"/>
      <c r="T29" s="23">
        <v>-3901.3710000000001</v>
      </c>
    </row>
    <row r="30" spans="1:20" ht="23.1" customHeight="1" x14ac:dyDescent="0.35">
      <c r="A30" s="26">
        <v>4000</v>
      </c>
      <c r="B30" s="29">
        <v>2593</v>
      </c>
      <c r="C30" s="30">
        <v>37111</v>
      </c>
      <c r="D30" s="30">
        <v>34518</v>
      </c>
      <c r="E30" s="1"/>
      <c r="F30" s="1"/>
      <c r="G30" s="1"/>
      <c r="H30" s="1"/>
      <c r="I30" s="1"/>
      <c r="J30" s="1"/>
      <c r="K30" s="1"/>
      <c r="L30" s="1"/>
      <c r="M30" s="1"/>
      <c r="N30" s="26">
        <v>4000</v>
      </c>
      <c r="O30" s="29">
        <v>-4582.2805000000008</v>
      </c>
      <c r="P30" s="30">
        <v>32922.656999999999</v>
      </c>
      <c r="Q30" s="31">
        <v>37504.9375</v>
      </c>
      <c r="R30" s="1"/>
      <c r="S30" s="1"/>
      <c r="T30" s="23">
        <v>37504.9375</v>
      </c>
    </row>
    <row r="31" spans="1:20" ht="23.1" customHeight="1" x14ac:dyDescent="0.35">
      <c r="A31" s="26">
        <v>3975</v>
      </c>
      <c r="B31" s="29">
        <v>-205</v>
      </c>
      <c r="C31" s="30">
        <v>14409</v>
      </c>
      <c r="D31" s="30">
        <v>14614</v>
      </c>
      <c r="E31" s="1"/>
      <c r="F31" s="1"/>
      <c r="G31" s="1"/>
      <c r="H31" s="1"/>
      <c r="I31" s="1"/>
      <c r="J31" s="1"/>
      <c r="K31" s="1"/>
      <c r="L31" s="1"/>
      <c r="M31" s="1"/>
      <c r="N31" s="26">
        <v>3975</v>
      </c>
      <c r="O31" s="29">
        <v>9521.9294999999984</v>
      </c>
      <c r="P31" s="30">
        <v>14036.2215</v>
      </c>
      <c r="Q31" s="31">
        <v>4514.2920000000004</v>
      </c>
      <c r="R31" s="1"/>
      <c r="S31" s="1"/>
      <c r="T31" s="23">
        <v>4514.2920000000004</v>
      </c>
    </row>
    <row r="32" spans="1:20" ht="23.1" customHeight="1" x14ac:dyDescent="0.35">
      <c r="A32" s="26">
        <v>3950</v>
      </c>
      <c r="B32" s="29">
        <v>-2838</v>
      </c>
      <c r="C32" s="30">
        <v>30750</v>
      </c>
      <c r="D32" s="30">
        <v>33588</v>
      </c>
      <c r="E32" s="1"/>
      <c r="F32" s="1"/>
      <c r="G32" s="1"/>
      <c r="H32" s="1"/>
      <c r="I32" s="1"/>
      <c r="J32" s="1"/>
      <c r="K32" s="1"/>
      <c r="L32" s="1"/>
      <c r="M32" s="1"/>
      <c r="N32" s="26">
        <v>3950</v>
      </c>
      <c r="O32" s="29">
        <v>20109.335500000001</v>
      </c>
      <c r="P32" s="30">
        <v>25390.210999999999</v>
      </c>
      <c r="Q32" s="31">
        <v>5280.8755000000001</v>
      </c>
      <c r="R32" s="1"/>
      <c r="S32" s="1"/>
      <c r="T32" s="23">
        <v>5280.8755000000001</v>
      </c>
    </row>
    <row r="33" spans="1:20" ht="23.1" customHeight="1" x14ac:dyDescent="0.35">
      <c r="A33" s="26">
        <v>3925</v>
      </c>
      <c r="B33" s="29">
        <v>99.5</v>
      </c>
      <c r="C33" s="30">
        <v>7718.5</v>
      </c>
      <c r="D33" s="30">
        <v>7619</v>
      </c>
      <c r="E33" s="1"/>
      <c r="F33" s="1"/>
      <c r="G33" s="1"/>
      <c r="H33" s="1"/>
      <c r="I33" s="1"/>
      <c r="J33" s="1"/>
      <c r="K33" s="1"/>
      <c r="L33" s="1"/>
      <c r="M33" s="1"/>
      <c r="N33" s="26">
        <v>3925</v>
      </c>
      <c r="O33" s="29">
        <v>-1055.3644999999997</v>
      </c>
      <c r="P33" s="30">
        <v>7443.6175000000003</v>
      </c>
      <c r="Q33" s="31">
        <v>8498.982</v>
      </c>
      <c r="R33" s="1"/>
      <c r="S33" s="1"/>
      <c r="T33" s="23">
        <v>8498.982</v>
      </c>
    </row>
    <row r="34" spans="1:20" ht="23.1" customHeight="1" x14ac:dyDescent="0.35">
      <c r="A34" s="26">
        <v>3900</v>
      </c>
      <c r="B34" s="29">
        <v>-2117</v>
      </c>
      <c r="C34" s="30">
        <v>88423</v>
      </c>
      <c r="D34" s="30">
        <v>90540</v>
      </c>
      <c r="E34" s="1"/>
      <c r="F34" s="1"/>
      <c r="G34" s="1"/>
      <c r="H34" s="1"/>
      <c r="I34" s="1"/>
      <c r="J34" s="1"/>
      <c r="K34" s="1"/>
      <c r="L34" s="1"/>
      <c r="M34" s="1"/>
      <c r="N34" s="26">
        <v>3900</v>
      </c>
      <c r="O34" s="29">
        <v>76252.282000000007</v>
      </c>
      <c r="P34" s="30">
        <v>88132.131500000003</v>
      </c>
      <c r="Q34" s="31">
        <v>11879.8495</v>
      </c>
      <c r="R34" s="1"/>
      <c r="S34" s="1"/>
      <c r="T34" s="23">
        <v>11879.8495</v>
      </c>
    </row>
    <row r="35" spans="1:20" ht="23.1" customHeight="1" x14ac:dyDescent="0.35">
      <c r="A35" s="26">
        <v>3875</v>
      </c>
      <c r="B35" s="29">
        <v>-22</v>
      </c>
      <c r="C35" s="30">
        <v>9722.5</v>
      </c>
      <c r="D35" s="30">
        <v>9744.5</v>
      </c>
      <c r="E35" s="1"/>
      <c r="F35" s="1"/>
      <c r="G35" s="1"/>
      <c r="H35" s="1"/>
      <c r="I35" s="1"/>
      <c r="J35" s="1"/>
      <c r="K35" s="1"/>
      <c r="L35" s="1"/>
      <c r="M35" s="1"/>
      <c r="N35" s="26">
        <v>3875</v>
      </c>
      <c r="O35" s="29">
        <v>5489.4985000000006</v>
      </c>
      <c r="P35" s="30">
        <v>9723.1370000000006</v>
      </c>
      <c r="Q35" s="31">
        <v>4233.6385</v>
      </c>
      <c r="R35" s="1"/>
      <c r="S35" s="1"/>
      <c r="T35" s="23">
        <v>4233.6385</v>
      </c>
    </row>
    <row r="36" spans="1:20" ht="23.1" customHeight="1" x14ac:dyDescent="0.35">
      <c r="A36" s="26">
        <v>3850</v>
      </c>
      <c r="B36" s="29">
        <v>-1112</v>
      </c>
      <c r="C36" s="30">
        <v>61165.5</v>
      </c>
      <c r="D36" s="30">
        <v>62277.5</v>
      </c>
      <c r="E36" s="1"/>
      <c r="F36" s="1"/>
      <c r="G36" s="1"/>
      <c r="H36" s="1"/>
      <c r="I36" s="1"/>
      <c r="J36" s="1"/>
      <c r="K36" s="1"/>
      <c r="L36" s="1"/>
      <c r="M36" s="1"/>
      <c r="N36" s="26">
        <v>3850</v>
      </c>
      <c r="O36" s="29">
        <v>45431.172999999995</v>
      </c>
      <c r="P36" s="30">
        <v>61149.875999999997</v>
      </c>
      <c r="Q36" s="31">
        <v>15718.703</v>
      </c>
      <c r="R36" s="1"/>
      <c r="S36" s="1"/>
      <c r="T36" s="23">
        <v>15718.703</v>
      </c>
    </row>
    <row r="37" spans="1:20" ht="23.1" customHeight="1" x14ac:dyDescent="0.35">
      <c r="A37" s="26">
        <v>3825</v>
      </c>
      <c r="B37" s="29">
        <v>507</v>
      </c>
      <c r="C37" s="30">
        <v>11707.5</v>
      </c>
      <c r="D37" s="30">
        <v>11200.5</v>
      </c>
      <c r="E37" s="1"/>
      <c r="F37" s="1"/>
      <c r="G37" s="1"/>
      <c r="H37" s="1"/>
      <c r="I37" s="1"/>
      <c r="J37" s="1"/>
      <c r="K37" s="1"/>
      <c r="L37" s="1"/>
      <c r="M37" s="1"/>
      <c r="N37" s="26">
        <v>3825</v>
      </c>
      <c r="O37" s="29">
        <v>5517.4219999999996</v>
      </c>
      <c r="P37" s="30">
        <v>11508.906499999999</v>
      </c>
      <c r="Q37" s="31">
        <v>5991.4844999999996</v>
      </c>
      <c r="R37" s="1"/>
      <c r="S37" s="1"/>
      <c r="T37" s="23">
        <v>5991.4844999999996</v>
      </c>
    </row>
    <row r="38" spans="1:20" ht="23.1" customHeight="1" thickBot="1" x14ac:dyDescent="0.4">
      <c r="A38" s="32">
        <v>3800</v>
      </c>
      <c r="B38" s="29">
        <v>-4099</v>
      </c>
      <c r="C38" s="30">
        <v>50505.5</v>
      </c>
      <c r="D38" s="30">
        <v>54604.5</v>
      </c>
      <c r="E38" s="1"/>
      <c r="F38" s="1"/>
      <c r="G38" s="1"/>
      <c r="H38" s="1"/>
      <c r="I38" s="1"/>
      <c r="J38" s="1"/>
      <c r="K38" s="1"/>
      <c r="L38" s="1"/>
      <c r="M38" s="1"/>
      <c r="N38" s="26">
        <v>3800</v>
      </c>
      <c r="O38" s="29">
        <v>11765.2785</v>
      </c>
      <c r="P38" s="30">
        <v>50189.614999999998</v>
      </c>
      <c r="Q38" s="31">
        <v>38424.336499999998</v>
      </c>
      <c r="R38" s="1"/>
      <c r="S38" s="1"/>
      <c r="T38" s="23">
        <v>38424.336499999998</v>
      </c>
    </row>
    <row r="39" spans="1:20" ht="18" x14ac:dyDescent="0.35">
      <c r="A39" s="71"/>
      <c r="B39" s="30"/>
      <c r="C39" s="30"/>
      <c r="D39" s="30"/>
      <c r="E39" s="1"/>
      <c r="F39" s="1"/>
      <c r="G39" s="1"/>
      <c r="H39" s="1"/>
      <c r="I39" s="1"/>
      <c r="J39" s="1"/>
      <c r="K39" s="1"/>
      <c r="L39" s="1"/>
      <c r="M39" s="1"/>
      <c r="N39" s="26"/>
      <c r="O39" s="29"/>
      <c r="P39" s="30"/>
      <c r="Q39" s="31"/>
      <c r="R39" s="1"/>
      <c r="S39" s="1"/>
      <c r="T39" s="23">
        <v>17666.5</v>
      </c>
    </row>
    <row r="40" spans="1:20" ht="18" x14ac:dyDescent="0.35">
      <c r="A40" s="69"/>
      <c r="B40" s="30"/>
      <c r="C40" s="30"/>
      <c r="D40" s="30"/>
      <c r="E40" s="1"/>
      <c r="F40" s="1"/>
      <c r="G40" s="1"/>
      <c r="H40" s="1"/>
      <c r="I40" s="1"/>
      <c r="J40" s="1"/>
      <c r="K40" s="1"/>
      <c r="L40" s="1"/>
      <c r="M40" s="1"/>
      <c r="N40" s="26"/>
      <c r="O40" s="29"/>
      <c r="P40" s="30"/>
      <c r="Q40" s="31"/>
      <c r="R40" s="1"/>
      <c r="S40" s="1"/>
      <c r="T40" s="23">
        <v>38576</v>
      </c>
    </row>
    <row r="41" spans="1:20" ht="18.600000000000001" thickBot="1" x14ac:dyDescent="0.4">
      <c r="A41" s="69"/>
      <c r="B41" s="30"/>
      <c r="C41" s="30"/>
      <c r="D41" s="30"/>
      <c r="E41" s="1"/>
      <c r="F41" s="1"/>
      <c r="G41" s="1"/>
      <c r="H41" s="1"/>
      <c r="I41" s="1"/>
      <c r="J41" s="1"/>
      <c r="K41" s="1"/>
      <c r="L41" s="1"/>
      <c r="M41" s="1"/>
      <c r="N41" s="26"/>
      <c r="O41" s="29"/>
      <c r="P41" s="30"/>
      <c r="Q41" s="31"/>
      <c r="R41" s="1"/>
      <c r="S41" s="1"/>
      <c r="T41" s="23"/>
    </row>
    <row r="42" spans="1:20" ht="49.5" customHeight="1" thickBot="1" x14ac:dyDescent="0.4">
      <c r="A42" s="69"/>
      <c r="B42" s="131" t="s">
        <v>30</v>
      </c>
      <c r="C42" s="132"/>
      <c r="D42" s="133"/>
      <c r="E42" s="1"/>
      <c r="F42" s="1"/>
      <c r="G42" s="1"/>
      <c r="H42" s="1"/>
      <c r="I42" s="1"/>
      <c r="J42" s="1"/>
      <c r="K42" s="1"/>
      <c r="L42" s="1"/>
      <c r="M42" s="1"/>
      <c r="N42" s="26"/>
      <c r="O42" s="29"/>
      <c r="P42" s="30"/>
      <c r="Q42" s="31"/>
      <c r="R42" s="1"/>
      <c r="S42" s="1"/>
      <c r="T42" s="23"/>
    </row>
    <row r="43" spans="1:20" ht="49.5" customHeight="1" x14ac:dyDescent="0.35">
      <c r="A43" s="69"/>
      <c r="B43" s="72"/>
      <c r="C43" s="72"/>
      <c r="D43" s="72"/>
      <c r="E43" s="1"/>
      <c r="F43" s="1"/>
      <c r="G43" s="1"/>
      <c r="H43" s="1"/>
      <c r="I43" s="1"/>
      <c r="J43" s="1"/>
      <c r="K43" s="1"/>
      <c r="L43" s="1"/>
      <c r="M43" s="1"/>
      <c r="N43" s="26"/>
      <c r="O43" s="29"/>
      <c r="P43" s="30"/>
      <c r="Q43" s="31"/>
      <c r="R43" s="1"/>
      <c r="S43" s="1"/>
      <c r="T43" s="23"/>
    </row>
    <row r="44" spans="1:20" ht="18" x14ac:dyDescent="0.35">
      <c r="A44" s="69"/>
      <c r="B44" s="30"/>
      <c r="C44" s="30"/>
      <c r="D44" s="30"/>
      <c r="E44" s="1"/>
      <c r="F44" s="1"/>
      <c r="G44" s="1"/>
      <c r="H44" s="1"/>
      <c r="I44" s="1"/>
      <c r="J44" s="1"/>
      <c r="K44" s="1"/>
      <c r="L44" s="1"/>
      <c r="M44" s="1"/>
      <c r="N44" s="26"/>
      <c r="O44" s="29"/>
      <c r="P44" s="30"/>
      <c r="Q44" s="31"/>
      <c r="R44" s="1"/>
      <c r="S44" s="1"/>
      <c r="T44" s="23"/>
    </row>
    <row r="45" spans="1:20" ht="18" x14ac:dyDescent="0.35">
      <c r="A45" s="33" t="s">
        <v>28</v>
      </c>
      <c r="B45" s="33"/>
      <c r="C45" s="33"/>
      <c r="D45" s="33"/>
      <c r="E45" s="1"/>
      <c r="F45" s="1"/>
      <c r="G45" s="1" t="str">
        <f>STOXX_Infos!B33</f>
        <v>2023-11+2023-12</v>
      </c>
      <c r="H45" s="1"/>
      <c r="I45" s="1"/>
      <c r="J45" s="1"/>
      <c r="K45" s="1"/>
      <c r="L45" s="1"/>
      <c r="M45" s="1"/>
      <c r="N45" s="26"/>
      <c r="O45" s="29"/>
      <c r="P45" s="30"/>
      <c r="Q45" s="31"/>
      <c r="R45" s="1"/>
      <c r="S45" s="1"/>
      <c r="T45" s="23"/>
    </row>
    <row r="46" spans="1:20" ht="18" x14ac:dyDescent="0.35">
      <c r="A46" s="34" t="s">
        <v>29</v>
      </c>
      <c r="B46" s="34"/>
      <c r="C46" s="34"/>
      <c r="D46" s="34"/>
      <c r="E46" s="1"/>
      <c r="F46" s="1"/>
      <c r="G46" s="1" t="str">
        <f>STOXX_Infos!B32</f>
        <v>2023-12</v>
      </c>
      <c r="H46" s="1"/>
      <c r="I46" s="1"/>
      <c r="J46" s="1"/>
      <c r="K46" s="1"/>
      <c r="L46" s="1"/>
      <c r="M46" s="1"/>
      <c r="N46" s="26"/>
      <c r="O46" s="29"/>
      <c r="P46" s="30"/>
      <c r="Q46" s="31"/>
      <c r="R46" s="1"/>
      <c r="S46" s="1"/>
      <c r="T46" s="23"/>
    </row>
    <row r="47" spans="1:20" ht="18" x14ac:dyDescent="0.35">
      <c r="A47" s="69"/>
      <c r="B47" s="30"/>
      <c r="C47" s="30"/>
      <c r="D47" s="30"/>
      <c r="E47" s="1"/>
      <c r="F47" s="1"/>
      <c r="G47" s="1"/>
      <c r="H47" s="1"/>
      <c r="I47" s="1"/>
      <c r="J47" s="1"/>
      <c r="K47" s="1"/>
      <c r="L47" s="1"/>
      <c r="M47" s="1"/>
      <c r="N47" s="26"/>
      <c r="O47" s="29"/>
      <c r="P47" s="30"/>
      <c r="Q47" s="31"/>
      <c r="R47" s="1"/>
      <c r="S47" s="1"/>
      <c r="T47" s="23"/>
    </row>
    <row r="48" spans="1:20" ht="18" x14ac:dyDescent="0.35">
      <c r="A48" s="69"/>
      <c r="B48" s="30"/>
      <c r="C48" s="30"/>
      <c r="D48" s="30"/>
      <c r="E48" s="1"/>
      <c r="F48" s="1"/>
      <c r="G48" s="1"/>
      <c r="H48" s="1"/>
      <c r="I48" s="1"/>
      <c r="J48" s="1"/>
      <c r="K48" s="1"/>
      <c r="L48" s="1"/>
      <c r="M48" s="1"/>
      <c r="N48" s="26"/>
      <c r="O48" s="29"/>
      <c r="P48" s="30"/>
      <c r="Q48" s="31"/>
      <c r="R48" s="1"/>
      <c r="S48" s="1"/>
      <c r="T48" s="23"/>
    </row>
    <row r="49" spans="1:19" x14ac:dyDescent="0.3">
      <c r="A49" s="24"/>
      <c r="B49" s="24"/>
      <c r="C49" s="24"/>
      <c r="D49" s="24"/>
      <c r="E49" s="24"/>
      <c r="F49" s="24"/>
      <c r="G49" s="24"/>
      <c r="H49" s="24"/>
      <c r="I49" s="1"/>
      <c r="J49" s="1"/>
      <c r="K49" s="1"/>
      <c r="L49" s="1"/>
      <c r="M49" s="1"/>
      <c r="N49" s="1"/>
      <c r="O49" s="1"/>
      <c r="P49" s="1"/>
      <c r="Q49" s="1"/>
      <c r="R49" s="1"/>
      <c r="S49" s="1"/>
    </row>
    <row r="50" spans="1:19" ht="200.25" customHeight="1" x14ac:dyDescent="0.3">
      <c r="A50" s="134" t="str">
        <f>Disclaimer!A2</f>
        <v>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v>
      </c>
      <c r="B50" s="134"/>
      <c r="C50" s="134"/>
      <c r="D50" s="134"/>
      <c r="E50" s="134"/>
      <c r="F50" s="134"/>
      <c r="G50" s="134"/>
      <c r="H50" s="134"/>
      <c r="I50" s="134"/>
      <c r="J50" s="134"/>
      <c r="K50" s="1"/>
      <c r="L50" s="1"/>
      <c r="M50" s="1"/>
      <c r="N50" s="135"/>
      <c r="O50" s="135"/>
      <c r="P50" s="135"/>
      <c r="Q50" s="135"/>
      <c r="R50" s="1"/>
      <c r="S50" s="1"/>
    </row>
    <row r="51" spans="1:19" x14ac:dyDescent="0.3">
      <c r="A51" s="129"/>
      <c r="B51" s="130"/>
      <c r="C51" s="130"/>
      <c r="D51" s="130"/>
      <c r="E51" s="130"/>
      <c r="F51" s="130"/>
      <c r="G51" s="130"/>
      <c r="H51" s="130"/>
      <c r="I51" s="130"/>
      <c r="J51" s="1"/>
      <c r="K51" s="1"/>
      <c r="L51" s="1"/>
      <c r="M51" s="1"/>
      <c r="N51" s="1"/>
      <c r="O51" s="1"/>
      <c r="P51" s="1"/>
      <c r="Q51" s="1"/>
      <c r="R51" s="1"/>
      <c r="S51" s="1"/>
    </row>
    <row r="52" spans="1:19" x14ac:dyDescent="0.3">
      <c r="A52" s="129"/>
      <c r="B52" s="130"/>
      <c r="C52" s="130"/>
      <c r="D52" s="130"/>
      <c r="E52" s="130"/>
      <c r="F52" s="130"/>
      <c r="G52" s="130"/>
      <c r="H52" s="130"/>
      <c r="I52" s="130"/>
      <c r="J52" s="1"/>
      <c r="K52" s="1"/>
      <c r="L52" s="1"/>
      <c r="M52" s="1"/>
      <c r="N52" s="1"/>
      <c r="O52" s="1"/>
      <c r="P52" s="1"/>
      <c r="Q52" s="1"/>
      <c r="R52" s="1"/>
      <c r="S52" s="1"/>
    </row>
    <row r="53" spans="1:19" x14ac:dyDescent="0.3">
      <c r="A53" s="129"/>
      <c r="B53" s="130"/>
      <c r="C53" s="130"/>
      <c r="D53" s="130"/>
      <c r="E53" s="130"/>
      <c r="F53" s="130"/>
      <c r="G53" s="130"/>
      <c r="H53" s="130"/>
      <c r="I53" s="130"/>
      <c r="J53" s="1"/>
      <c r="K53" s="1"/>
      <c r="L53" s="1"/>
      <c r="M53" s="1"/>
      <c r="N53" s="1"/>
      <c r="O53" s="1"/>
      <c r="P53" s="1"/>
      <c r="Q53" s="1"/>
      <c r="R53" s="1"/>
      <c r="S53" s="1"/>
    </row>
    <row r="54" spans="1:19" x14ac:dyDescent="0.3">
      <c r="A54" s="129"/>
      <c r="B54" s="130"/>
      <c r="C54" s="130"/>
      <c r="D54" s="130"/>
      <c r="E54" s="130"/>
      <c r="F54" s="130"/>
      <c r="G54" s="130"/>
      <c r="H54" s="130"/>
      <c r="I54" s="130"/>
      <c r="J54" s="1"/>
      <c r="K54" s="1"/>
      <c r="L54" s="1"/>
      <c r="M54" s="1"/>
      <c r="N54" s="1"/>
      <c r="O54" s="1"/>
      <c r="P54" s="1"/>
      <c r="Q54" s="1"/>
      <c r="R54" s="1"/>
      <c r="S54" s="1"/>
    </row>
    <row r="55" spans="1:19" x14ac:dyDescent="0.3">
      <c r="A55" s="24"/>
      <c r="B55" s="24"/>
      <c r="C55" s="24"/>
      <c r="D55" s="24"/>
      <c r="E55" s="24"/>
      <c r="F55" s="24"/>
      <c r="G55" s="24"/>
      <c r="H55" s="24"/>
      <c r="I55" s="1"/>
      <c r="J55" s="1"/>
      <c r="K55" s="1"/>
      <c r="L55" s="1"/>
      <c r="M55" s="1"/>
      <c r="N55" s="1"/>
      <c r="O55" s="1"/>
      <c r="P55" s="1"/>
      <c r="Q55" s="1"/>
      <c r="R55" s="1"/>
      <c r="S55" s="1"/>
    </row>
    <row r="56" spans="1:19" x14ac:dyDescent="0.3">
      <c r="A56" s="24"/>
      <c r="B56" s="24"/>
      <c r="C56" s="24"/>
      <c r="D56" s="24"/>
      <c r="E56" s="24"/>
      <c r="F56" s="24"/>
      <c r="G56" s="24"/>
      <c r="H56" s="24"/>
      <c r="I56" s="1"/>
      <c r="J56" s="1"/>
      <c r="K56" s="1"/>
      <c r="L56" s="1"/>
      <c r="M56" s="1"/>
      <c r="N56" s="1"/>
      <c r="O56" s="1"/>
      <c r="P56" s="1"/>
      <c r="Q56" s="1"/>
      <c r="R56" s="1"/>
      <c r="S56" s="1"/>
    </row>
    <row r="57" spans="1:19" x14ac:dyDescent="0.3">
      <c r="A57" s="24"/>
      <c r="B57" s="24"/>
      <c r="C57" s="24"/>
      <c r="D57" s="24"/>
      <c r="E57" s="24"/>
      <c r="F57" s="24"/>
      <c r="G57" s="24"/>
      <c r="H57" s="24"/>
      <c r="I57" s="1"/>
      <c r="J57" s="1"/>
      <c r="K57" s="1"/>
      <c r="L57" s="1"/>
      <c r="M57" s="1"/>
      <c r="N57" s="1"/>
      <c r="O57" s="1"/>
      <c r="P57" s="1"/>
      <c r="Q57" s="1"/>
      <c r="R57" s="1"/>
      <c r="S57" s="1"/>
    </row>
    <row r="58" spans="1:19" x14ac:dyDescent="0.3">
      <c r="A58" s="20"/>
      <c r="B58" s="1"/>
      <c r="C58" s="1"/>
      <c r="D58" s="1"/>
      <c r="E58" s="1"/>
      <c r="F58" s="1"/>
      <c r="G58" s="1"/>
      <c r="H58" s="1"/>
      <c r="I58" s="1"/>
      <c r="J58" s="1"/>
      <c r="K58" s="1"/>
      <c r="L58" s="1"/>
      <c r="M58" s="1"/>
      <c r="N58" s="1"/>
      <c r="O58" s="1"/>
      <c r="P58" s="1"/>
      <c r="Q58" s="1"/>
      <c r="R58" s="1"/>
      <c r="S58" s="1"/>
    </row>
    <row r="59" spans="1:19" x14ac:dyDescent="0.3">
      <c r="A59" s="20"/>
      <c r="B59" s="1"/>
      <c r="C59" s="1"/>
      <c r="D59" s="1"/>
      <c r="E59" s="1"/>
      <c r="F59" s="1"/>
      <c r="G59" s="1"/>
      <c r="H59" s="1"/>
      <c r="I59" s="1"/>
      <c r="J59" s="1"/>
      <c r="K59" s="1"/>
      <c r="L59" s="1"/>
      <c r="M59" s="1"/>
      <c r="N59" s="1"/>
      <c r="O59" s="1"/>
      <c r="P59" s="1"/>
      <c r="Q59" s="1"/>
      <c r="R59" s="1"/>
      <c r="S59" s="1"/>
    </row>
    <row r="60" spans="1:19" x14ac:dyDescent="0.3">
      <c r="A60" s="20"/>
      <c r="B60" s="1"/>
      <c r="C60" s="1"/>
      <c r="D60" s="1"/>
      <c r="E60" s="1"/>
      <c r="F60" s="1"/>
      <c r="G60" s="1"/>
      <c r="H60" s="1"/>
      <c r="I60" s="1"/>
      <c r="J60" s="1"/>
      <c r="K60" s="1"/>
      <c r="L60" s="1"/>
      <c r="M60" s="1"/>
      <c r="N60" s="1"/>
      <c r="O60" s="1"/>
      <c r="P60" s="1"/>
      <c r="Q60" s="1"/>
      <c r="R60" s="1"/>
      <c r="S60" s="1"/>
    </row>
    <row r="61" spans="1:19" x14ac:dyDescent="0.3">
      <c r="A61" s="20"/>
      <c r="B61" s="1"/>
      <c r="C61" s="1"/>
      <c r="D61" s="1"/>
      <c r="E61" s="1"/>
      <c r="F61" s="1"/>
      <c r="G61" s="1"/>
      <c r="H61" s="1"/>
      <c r="I61" s="1"/>
      <c r="J61" s="1"/>
      <c r="K61" s="1"/>
      <c r="L61" s="1"/>
      <c r="M61" s="1"/>
      <c r="N61" s="1"/>
      <c r="O61" s="1"/>
      <c r="P61" s="1"/>
      <c r="Q61" s="1"/>
      <c r="R61" s="1"/>
      <c r="S61" s="1"/>
    </row>
    <row r="62" spans="1:19" x14ac:dyDescent="0.3">
      <c r="A62" s="20"/>
      <c r="B62" s="1"/>
      <c r="C62" s="1"/>
      <c r="D62" s="1"/>
      <c r="E62" s="1"/>
      <c r="F62" s="1"/>
      <c r="G62" s="1"/>
      <c r="H62" s="1"/>
      <c r="I62" s="1"/>
      <c r="J62" s="1"/>
      <c r="K62" s="1"/>
      <c r="L62" s="1"/>
      <c r="M62" s="1"/>
      <c r="N62" s="1"/>
      <c r="O62" s="1"/>
      <c r="P62" s="1"/>
      <c r="Q62" s="1"/>
      <c r="R62" s="1"/>
      <c r="S62" s="1"/>
    </row>
    <row r="63" spans="1:19" x14ac:dyDescent="0.3">
      <c r="A63" s="20"/>
      <c r="B63" s="1"/>
      <c r="C63" s="1"/>
      <c r="D63" s="1"/>
      <c r="E63" s="1"/>
      <c r="F63" s="1"/>
      <c r="G63" s="1"/>
      <c r="H63" s="1"/>
      <c r="I63" s="1"/>
      <c r="J63" s="1"/>
      <c r="K63" s="1"/>
      <c r="L63" s="1"/>
      <c r="M63" s="1"/>
      <c r="N63" s="1"/>
      <c r="O63" s="1"/>
      <c r="P63" s="1"/>
      <c r="Q63" s="1"/>
      <c r="R63" s="1"/>
      <c r="S63" s="1"/>
    </row>
    <row r="64" spans="1:19" x14ac:dyDescent="0.3">
      <c r="A64" s="20"/>
      <c r="B64" s="1"/>
      <c r="C64" s="1"/>
      <c r="D64" s="1"/>
      <c r="E64" s="1"/>
      <c r="F64" s="1"/>
      <c r="G64" s="1"/>
      <c r="H64" s="1"/>
      <c r="I64" s="1"/>
      <c r="J64" s="1"/>
      <c r="K64" s="1"/>
      <c r="L64" s="1"/>
      <c r="M64" s="1"/>
      <c r="N64" s="1"/>
      <c r="O64" s="1"/>
      <c r="P64" s="1"/>
      <c r="Q64" s="1"/>
      <c r="R64" s="1"/>
      <c r="S64" s="1"/>
    </row>
    <row r="65" spans="1:19" x14ac:dyDescent="0.3">
      <c r="A65" s="20"/>
      <c r="B65" s="1"/>
      <c r="C65" s="1"/>
      <c r="D65" s="1"/>
      <c r="E65" s="1"/>
      <c r="F65" s="1"/>
      <c r="G65" s="1"/>
      <c r="H65" s="1"/>
      <c r="I65" s="1"/>
      <c r="J65" s="1"/>
      <c r="K65" s="1"/>
      <c r="L65" s="1"/>
      <c r="M65" s="1"/>
      <c r="N65" s="1"/>
      <c r="O65" s="1"/>
      <c r="P65" s="1"/>
      <c r="Q65" s="1"/>
      <c r="R65" s="1"/>
      <c r="S65" s="1"/>
    </row>
    <row r="66" spans="1:19" x14ac:dyDescent="0.3">
      <c r="A66" s="20"/>
      <c r="B66" s="1"/>
      <c r="C66" s="1"/>
      <c r="D66" s="1"/>
      <c r="E66" s="1"/>
      <c r="F66" s="1"/>
      <c r="G66" s="1"/>
      <c r="H66" s="1"/>
      <c r="I66" s="1"/>
      <c r="J66" s="1"/>
      <c r="K66" s="1"/>
      <c r="L66" s="1"/>
      <c r="M66" s="1"/>
      <c r="N66" s="1"/>
      <c r="O66" s="1"/>
      <c r="P66" s="1"/>
      <c r="Q66" s="1"/>
      <c r="R66" s="1"/>
      <c r="S66" s="1"/>
    </row>
    <row r="67" spans="1:19" x14ac:dyDescent="0.3">
      <c r="A67" s="20"/>
      <c r="B67" s="1"/>
      <c r="C67" s="1"/>
      <c r="D67" s="1"/>
      <c r="E67" s="1"/>
      <c r="F67" s="1"/>
      <c r="G67" s="1"/>
      <c r="H67" s="1"/>
      <c r="I67" s="1"/>
      <c r="J67" s="1"/>
      <c r="K67" s="1"/>
      <c r="L67" s="1"/>
      <c r="M67" s="1"/>
      <c r="N67" s="1"/>
      <c r="O67" s="1"/>
      <c r="P67" s="1"/>
      <c r="Q67" s="1"/>
      <c r="R67" s="1"/>
      <c r="S67" s="1"/>
    </row>
    <row r="68" spans="1:19" x14ac:dyDescent="0.3">
      <c r="A68" s="20"/>
      <c r="B68" s="1"/>
      <c r="C68" s="1"/>
      <c r="D68" s="1"/>
      <c r="E68" s="1"/>
      <c r="F68" s="1"/>
      <c r="G68" s="1"/>
      <c r="H68" s="1"/>
      <c r="I68" s="1"/>
      <c r="J68" s="1"/>
      <c r="K68" s="1"/>
      <c r="L68" s="1"/>
      <c r="M68" s="1"/>
      <c r="N68" s="1"/>
      <c r="O68" s="1"/>
      <c r="P68" s="1"/>
      <c r="Q68" s="1"/>
      <c r="R68" s="1"/>
      <c r="S68" s="1"/>
    </row>
    <row r="69" spans="1:19" x14ac:dyDescent="0.3">
      <c r="A69" s="20"/>
      <c r="B69" s="1"/>
      <c r="C69" s="1"/>
      <c r="D69" s="1"/>
      <c r="E69" s="1"/>
      <c r="F69" s="1"/>
      <c r="G69" s="1"/>
      <c r="H69" s="1"/>
      <c r="I69" s="1"/>
      <c r="J69" s="1"/>
      <c r="K69" s="1"/>
      <c r="L69" s="1"/>
      <c r="M69" s="1"/>
      <c r="N69" s="1"/>
      <c r="O69" s="1"/>
      <c r="P69" s="1"/>
      <c r="Q69" s="1"/>
      <c r="R69" s="1"/>
      <c r="S69" s="1"/>
    </row>
    <row r="70" spans="1:19" x14ac:dyDescent="0.3">
      <c r="A70" s="20"/>
      <c r="B70" s="1"/>
      <c r="C70" s="1"/>
      <c r="D70" s="1"/>
      <c r="E70" s="1"/>
      <c r="F70" s="1"/>
      <c r="G70" s="1"/>
      <c r="H70" s="1"/>
      <c r="I70" s="1"/>
      <c r="J70" s="1"/>
      <c r="K70" s="1"/>
      <c r="L70" s="1"/>
      <c r="M70" s="1"/>
      <c r="N70" s="1"/>
      <c r="O70" s="1"/>
      <c r="P70" s="1"/>
      <c r="Q70" s="1"/>
      <c r="R70" s="1"/>
      <c r="S70" s="1"/>
    </row>
    <row r="71" spans="1:19" x14ac:dyDescent="0.3">
      <c r="A71" s="20"/>
      <c r="B71" s="1"/>
      <c r="C71" s="1"/>
      <c r="D71" s="1"/>
      <c r="E71" s="1"/>
      <c r="F71" s="1"/>
      <c r="G71" s="1"/>
      <c r="H71" s="1"/>
      <c r="I71" s="1"/>
      <c r="J71" s="1"/>
      <c r="K71" s="1"/>
      <c r="L71" s="1"/>
      <c r="M71" s="1"/>
      <c r="N71" s="1"/>
      <c r="O71" s="1"/>
      <c r="P71" s="1"/>
      <c r="Q71" s="1"/>
      <c r="R71" s="1"/>
      <c r="S71" s="1"/>
    </row>
    <row r="72" spans="1:19" x14ac:dyDescent="0.3">
      <c r="A72" s="20"/>
      <c r="B72" s="1"/>
      <c r="C72" s="1"/>
      <c r="D72" s="1"/>
      <c r="E72" s="1"/>
      <c r="F72" s="1"/>
      <c r="G72" s="1"/>
      <c r="H72" s="1"/>
      <c r="I72" s="1"/>
      <c r="J72" s="1"/>
      <c r="K72" s="1"/>
      <c r="L72" s="1"/>
      <c r="M72" s="1"/>
      <c r="N72" s="1"/>
      <c r="O72" s="1"/>
      <c r="P72" s="1"/>
      <c r="Q72" s="1"/>
      <c r="R72" s="1"/>
      <c r="S72" s="1"/>
    </row>
    <row r="73" spans="1:19" x14ac:dyDescent="0.3">
      <c r="A73" s="20"/>
      <c r="B73" s="1"/>
      <c r="C73" s="1"/>
      <c r="D73" s="1"/>
      <c r="E73" s="1"/>
      <c r="F73" s="1"/>
      <c r="G73" s="1"/>
      <c r="H73" s="1"/>
      <c r="I73" s="1"/>
      <c r="J73" s="1"/>
      <c r="K73" s="1"/>
      <c r="L73" s="1"/>
      <c r="M73" s="1"/>
      <c r="N73" s="1"/>
      <c r="O73" s="1"/>
      <c r="P73" s="1"/>
      <c r="Q73" s="1"/>
      <c r="R73" s="1"/>
      <c r="S73" s="1"/>
    </row>
    <row r="74" spans="1:19" x14ac:dyDescent="0.3">
      <c r="A74" s="20"/>
      <c r="B74" s="1"/>
      <c r="C74" s="1"/>
      <c r="D74" s="1"/>
      <c r="E74" s="1"/>
      <c r="F74" s="1"/>
      <c r="G74" s="1"/>
      <c r="H74" s="1"/>
      <c r="I74" s="1"/>
      <c r="J74" s="1"/>
      <c r="K74" s="1"/>
      <c r="L74" s="1"/>
      <c r="M74" s="1"/>
      <c r="N74" s="1"/>
      <c r="O74" s="1"/>
      <c r="P74" s="1"/>
      <c r="Q74" s="1"/>
      <c r="R74" s="1"/>
      <c r="S74" s="1"/>
    </row>
    <row r="75" spans="1:19" x14ac:dyDescent="0.3">
      <c r="A75" s="20"/>
      <c r="B75" s="1"/>
      <c r="C75" s="1"/>
      <c r="D75" s="1"/>
      <c r="E75" s="1"/>
      <c r="F75" s="1"/>
      <c r="G75" s="1"/>
      <c r="H75" s="1"/>
      <c r="I75" s="1"/>
      <c r="J75" s="1"/>
      <c r="K75" s="1"/>
      <c r="L75" s="1"/>
      <c r="M75" s="1"/>
      <c r="N75" s="1"/>
      <c r="O75" s="1"/>
      <c r="P75" s="1"/>
      <c r="Q75" s="1"/>
      <c r="R75" s="1"/>
      <c r="S75" s="1"/>
    </row>
    <row r="76" spans="1:19" x14ac:dyDescent="0.3">
      <c r="A76" s="20"/>
      <c r="B76" s="1"/>
      <c r="C76" s="1"/>
      <c r="D76" s="1"/>
      <c r="E76" s="1"/>
      <c r="F76" s="1"/>
      <c r="G76" s="1"/>
      <c r="H76" s="1"/>
      <c r="I76" s="1"/>
      <c r="J76" s="1"/>
      <c r="K76" s="1"/>
      <c r="L76" s="1"/>
      <c r="M76" s="1"/>
      <c r="N76" s="1"/>
      <c r="O76" s="1"/>
      <c r="P76" s="1"/>
      <c r="Q76" s="1"/>
      <c r="R76" s="1"/>
      <c r="S76" s="1"/>
    </row>
    <row r="77" spans="1:19" x14ac:dyDescent="0.3">
      <c r="A77" s="20"/>
      <c r="B77" s="1"/>
      <c r="C77" s="1"/>
      <c r="D77" s="1"/>
      <c r="E77" s="1"/>
      <c r="F77" s="1"/>
      <c r="G77" s="1"/>
      <c r="H77" s="1"/>
      <c r="I77" s="1"/>
      <c r="J77" s="1"/>
      <c r="K77" s="1"/>
      <c r="L77" s="1"/>
      <c r="M77" s="1"/>
      <c r="N77" s="1"/>
      <c r="O77" s="1"/>
      <c r="P77" s="1"/>
      <c r="Q77" s="1"/>
      <c r="R77" s="1"/>
      <c r="S77" s="1"/>
    </row>
    <row r="78" spans="1:19" x14ac:dyDescent="0.3">
      <c r="A78" s="20"/>
      <c r="B78" s="1"/>
      <c r="C78" s="1"/>
      <c r="D78" s="1"/>
      <c r="E78" s="1"/>
      <c r="F78" s="1"/>
      <c r="G78" s="1"/>
      <c r="H78" s="1"/>
      <c r="I78" s="1"/>
      <c r="J78" s="1"/>
      <c r="K78" s="1"/>
      <c r="L78" s="1"/>
      <c r="M78" s="1"/>
      <c r="N78" s="1"/>
      <c r="O78" s="1"/>
      <c r="P78" s="1"/>
      <c r="Q78" s="1"/>
      <c r="R78" s="1"/>
      <c r="S78" s="1"/>
    </row>
    <row r="79" spans="1:19" x14ac:dyDescent="0.3">
      <c r="A79" s="20"/>
      <c r="B79" s="1"/>
      <c r="C79" s="1"/>
      <c r="D79" s="1"/>
      <c r="E79" s="1"/>
      <c r="F79" s="1"/>
      <c r="G79" s="1"/>
      <c r="H79" s="1"/>
      <c r="I79" s="1"/>
      <c r="J79" s="1"/>
      <c r="K79" s="1"/>
      <c r="L79" s="1"/>
      <c r="M79" s="1"/>
      <c r="N79" s="1"/>
      <c r="O79" s="1"/>
      <c r="P79" s="1"/>
      <c r="Q79" s="1"/>
      <c r="R79" s="1"/>
      <c r="S79" s="1"/>
    </row>
    <row r="80" spans="1:19" x14ac:dyDescent="0.3">
      <c r="A80" s="20"/>
      <c r="B80" s="1"/>
      <c r="C80" s="1"/>
      <c r="D80" s="1"/>
      <c r="E80" s="1"/>
      <c r="F80" s="1"/>
      <c r="G80" s="1"/>
      <c r="H80" s="1"/>
      <c r="I80" s="1"/>
      <c r="J80" s="1"/>
      <c r="K80" s="1"/>
      <c r="L80" s="1"/>
      <c r="M80" s="1"/>
      <c r="N80" s="1"/>
      <c r="O80" s="1"/>
      <c r="P80" s="1"/>
      <c r="Q80" s="1"/>
      <c r="R80" s="1"/>
      <c r="S80" s="1"/>
    </row>
    <row r="81" spans="1:19" x14ac:dyDescent="0.3">
      <c r="A81" s="20"/>
      <c r="B81" s="1"/>
      <c r="C81" s="1"/>
      <c r="D81" s="1"/>
      <c r="E81" s="1"/>
      <c r="F81" s="1"/>
      <c r="G81" s="1"/>
      <c r="H81" s="1"/>
      <c r="I81" s="1"/>
      <c r="J81" s="1"/>
      <c r="K81" s="1"/>
      <c r="L81" s="1"/>
      <c r="M81" s="1"/>
      <c r="N81" s="1"/>
      <c r="O81" s="1"/>
      <c r="P81" s="1"/>
      <c r="Q81" s="1"/>
      <c r="R81" s="1"/>
      <c r="S81" s="1"/>
    </row>
    <row r="82" spans="1:19" x14ac:dyDescent="0.3">
      <c r="A82" s="20"/>
      <c r="B82" s="1"/>
      <c r="C82" s="1"/>
      <c r="D82" s="1"/>
      <c r="E82" s="1"/>
      <c r="F82" s="1"/>
      <c r="G82" s="1"/>
      <c r="H82" s="1"/>
      <c r="I82" s="1"/>
      <c r="J82" s="1"/>
      <c r="K82" s="1"/>
      <c r="L82" s="1"/>
      <c r="M82" s="1"/>
      <c r="N82" s="1"/>
      <c r="O82" s="1"/>
      <c r="P82" s="1"/>
      <c r="Q82" s="1"/>
      <c r="R82" s="1"/>
      <c r="S82" s="1"/>
    </row>
    <row r="83" spans="1:19" x14ac:dyDescent="0.3">
      <c r="A83" s="20"/>
      <c r="B83" s="1"/>
      <c r="C83" s="1"/>
      <c r="D83" s="1"/>
      <c r="E83" s="1"/>
      <c r="F83" s="1"/>
      <c r="G83" s="1"/>
      <c r="H83" s="1"/>
      <c r="I83" s="1"/>
      <c r="J83" s="1"/>
      <c r="K83" s="1"/>
      <c r="L83" s="1"/>
      <c r="M83" s="1"/>
      <c r="N83" s="1"/>
      <c r="O83" s="1"/>
      <c r="P83" s="1"/>
      <c r="Q83" s="1"/>
      <c r="R83" s="1"/>
      <c r="S83" s="1"/>
    </row>
    <row r="84" spans="1:19" x14ac:dyDescent="0.3">
      <c r="A84" s="20"/>
      <c r="B84" s="1"/>
      <c r="C84" s="1"/>
      <c r="D84" s="1"/>
      <c r="E84" s="1"/>
      <c r="F84" s="1"/>
      <c r="G84" s="1"/>
      <c r="H84" s="1"/>
      <c r="I84" s="1"/>
      <c r="J84" s="1"/>
      <c r="K84" s="1"/>
      <c r="L84" s="1"/>
      <c r="M84" s="1"/>
      <c r="N84" s="1"/>
      <c r="O84" s="1"/>
      <c r="P84" s="1"/>
      <c r="Q84" s="1"/>
      <c r="R84" s="1"/>
      <c r="S84" s="1"/>
    </row>
    <row r="85" spans="1:19" x14ac:dyDescent="0.3">
      <c r="A85" s="20"/>
      <c r="B85" s="1"/>
      <c r="C85" s="1"/>
      <c r="D85" s="1"/>
      <c r="E85" s="1"/>
      <c r="F85" s="1"/>
      <c r="G85" s="1"/>
      <c r="H85" s="1"/>
      <c r="I85" s="1"/>
      <c r="J85" s="1"/>
      <c r="K85" s="1"/>
      <c r="L85" s="1"/>
      <c r="M85" s="1"/>
      <c r="N85" s="1"/>
      <c r="O85" s="1"/>
      <c r="P85" s="1"/>
      <c r="Q85" s="1"/>
      <c r="R85" s="1"/>
      <c r="S85" s="1"/>
    </row>
    <row r="86" spans="1:19" x14ac:dyDescent="0.3">
      <c r="A86" s="20"/>
      <c r="B86" s="1"/>
      <c r="C86" s="1"/>
      <c r="D86" s="1"/>
      <c r="E86" s="1"/>
      <c r="F86" s="1"/>
      <c r="G86" s="1"/>
      <c r="H86" s="1"/>
      <c r="I86" s="1"/>
      <c r="J86" s="1"/>
      <c r="K86" s="1"/>
      <c r="L86" s="1"/>
      <c r="M86" s="1"/>
      <c r="N86" s="1"/>
      <c r="O86" s="1"/>
      <c r="P86" s="1"/>
      <c r="Q86" s="1"/>
      <c r="R86" s="1"/>
      <c r="S86" s="1"/>
    </row>
    <row r="87" spans="1:19" x14ac:dyDescent="0.3">
      <c r="A87" s="20"/>
      <c r="B87" s="1"/>
      <c r="C87" s="1"/>
      <c r="D87" s="1"/>
      <c r="E87" s="1"/>
      <c r="F87" s="1"/>
      <c r="G87" s="1"/>
      <c r="H87" s="1"/>
      <c r="I87" s="1"/>
      <c r="J87" s="1"/>
      <c r="K87" s="1"/>
      <c r="L87" s="1"/>
      <c r="M87" s="1"/>
      <c r="N87" s="1"/>
      <c r="O87" s="1"/>
      <c r="P87" s="1"/>
      <c r="Q87" s="1"/>
      <c r="R87" s="1"/>
      <c r="S87" s="1"/>
    </row>
    <row r="88" spans="1:19" x14ac:dyDescent="0.3">
      <c r="A88" s="20"/>
      <c r="B88" s="1"/>
      <c r="C88" s="1"/>
      <c r="D88" s="1"/>
      <c r="E88" s="1"/>
      <c r="F88" s="1"/>
      <c r="G88" s="1"/>
      <c r="H88" s="1"/>
      <c r="I88" s="1"/>
      <c r="J88" s="1"/>
      <c r="K88" s="1"/>
      <c r="L88" s="1"/>
      <c r="M88" s="1"/>
      <c r="N88" s="1"/>
      <c r="O88" s="1"/>
      <c r="P88" s="1"/>
      <c r="Q88" s="1"/>
      <c r="R88" s="1"/>
      <c r="S88" s="1"/>
    </row>
    <row r="89" spans="1:19" x14ac:dyDescent="0.3">
      <c r="A89" s="20"/>
      <c r="B89" s="1"/>
      <c r="C89" s="1"/>
      <c r="D89" s="1"/>
      <c r="E89" s="1"/>
      <c r="F89" s="1"/>
      <c r="G89" s="1"/>
      <c r="H89" s="1"/>
      <c r="I89" s="1"/>
      <c r="J89" s="1"/>
      <c r="K89" s="1"/>
      <c r="L89" s="1"/>
      <c r="M89" s="1"/>
      <c r="N89" s="1"/>
      <c r="O89" s="1"/>
      <c r="P89" s="1"/>
      <c r="Q89" s="1"/>
      <c r="R89" s="1"/>
      <c r="S89" s="1"/>
    </row>
    <row r="90" spans="1:19" x14ac:dyDescent="0.3">
      <c r="A90" s="20"/>
      <c r="B90" s="1"/>
      <c r="C90" s="1"/>
      <c r="D90" s="1"/>
      <c r="E90" s="1"/>
      <c r="F90" s="1"/>
      <c r="G90" s="1"/>
      <c r="H90" s="1"/>
      <c r="I90" s="1"/>
      <c r="J90" s="1"/>
      <c r="K90" s="1"/>
      <c r="L90" s="1"/>
      <c r="M90" s="1"/>
      <c r="N90" s="1"/>
      <c r="O90" s="1"/>
      <c r="P90" s="1"/>
      <c r="Q90" s="1"/>
      <c r="R90" s="1"/>
      <c r="S90" s="1"/>
    </row>
    <row r="91" spans="1:19" x14ac:dyDescent="0.3">
      <c r="A91" s="20"/>
      <c r="B91" s="1"/>
      <c r="C91" s="1"/>
      <c r="D91" s="1"/>
      <c r="E91" s="1"/>
      <c r="F91" s="1"/>
      <c r="G91" s="1"/>
      <c r="H91" s="1"/>
      <c r="I91" s="1"/>
      <c r="J91" s="1"/>
      <c r="K91" s="1"/>
      <c r="L91" s="1"/>
      <c r="M91" s="1"/>
      <c r="N91" s="1"/>
      <c r="O91" s="1"/>
      <c r="P91" s="1"/>
      <c r="Q91" s="1"/>
      <c r="R91" s="1"/>
      <c r="S91" s="1"/>
    </row>
    <row r="92" spans="1:19" x14ac:dyDescent="0.3">
      <c r="A92" s="20"/>
      <c r="B92" s="1"/>
      <c r="C92" s="1"/>
      <c r="D92" s="1"/>
      <c r="E92" s="1"/>
      <c r="F92" s="1"/>
      <c r="G92" s="1"/>
      <c r="H92" s="1"/>
      <c r="I92" s="1"/>
      <c r="J92" s="1"/>
      <c r="K92" s="1"/>
      <c r="L92" s="1"/>
      <c r="M92" s="1"/>
      <c r="N92" s="1"/>
      <c r="O92" s="1"/>
      <c r="P92" s="1"/>
      <c r="Q92" s="1"/>
      <c r="R92" s="1"/>
      <c r="S92" s="1"/>
    </row>
    <row r="93" spans="1:19" x14ac:dyDescent="0.3">
      <c r="A93" s="20"/>
      <c r="B93" s="1"/>
      <c r="C93" s="1"/>
      <c r="D93" s="1"/>
      <c r="E93" s="1"/>
      <c r="F93" s="1"/>
      <c r="G93" s="1"/>
      <c r="H93" s="1"/>
      <c r="I93" s="1"/>
      <c r="J93" s="1"/>
      <c r="K93" s="1"/>
      <c r="L93" s="1"/>
      <c r="M93" s="1"/>
      <c r="N93" s="1"/>
      <c r="O93" s="1"/>
      <c r="P93" s="1"/>
      <c r="Q93" s="1"/>
      <c r="R93" s="1"/>
      <c r="S93" s="1"/>
    </row>
    <row r="94" spans="1:19" x14ac:dyDescent="0.3">
      <c r="A94" s="20"/>
      <c r="B94" s="1"/>
      <c r="C94" s="1"/>
      <c r="D94" s="1"/>
      <c r="E94" s="1"/>
      <c r="F94" s="1"/>
      <c r="G94" s="1"/>
      <c r="H94" s="1"/>
      <c r="I94" s="1"/>
      <c r="J94" s="1"/>
      <c r="K94" s="1"/>
      <c r="L94" s="1"/>
      <c r="M94" s="1"/>
      <c r="N94" s="1"/>
      <c r="O94" s="1"/>
      <c r="P94" s="1"/>
      <c r="Q94" s="1"/>
      <c r="R94" s="1"/>
      <c r="S94" s="1"/>
    </row>
    <row r="95" spans="1:19" x14ac:dyDescent="0.3">
      <c r="A95" s="20"/>
      <c r="B95" s="1"/>
      <c r="C95" s="1"/>
      <c r="D95" s="1"/>
      <c r="E95" s="1"/>
      <c r="F95" s="1"/>
      <c r="G95" s="1"/>
      <c r="H95" s="1"/>
      <c r="I95" s="1"/>
      <c r="J95" s="1"/>
      <c r="K95" s="1"/>
      <c r="L95" s="1"/>
      <c r="M95" s="1"/>
      <c r="N95" s="1"/>
      <c r="O95" s="1"/>
      <c r="P95" s="1"/>
      <c r="Q95" s="1"/>
      <c r="R95" s="1"/>
      <c r="S95" s="1"/>
    </row>
    <row r="96" spans="1:19" x14ac:dyDescent="0.3">
      <c r="A96" s="20"/>
      <c r="B96" s="1"/>
      <c r="C96" s="1"/>
      <c r="D96" s="1"/>
      <c r="E96" s="1"/>
      <c r="F96" s="1"/>
      <c r="G96" s="1"/>
      <c r="H96" s="1"/>
      <c r="I96" s="1"/>
      <c r="J96" s="1"/>
      <c r="K96" s="1"/>
      <c r="L96" s="1"/>
      <c r="M96" s="1"/>
      <c r="N96" s="1"/>
      <c r="O96" s="1"/>
      <c r="P96" s="1"/>
      <c r="Q96" s="1"/>
      <c r="R96" s="1"/>
      <c r="S96" s="1"/>
    </row>
    <row r="97" spans="1:19" x14ac:dyDescent="0.3">
      <c r="A97" s="20"/>
      <c r="B97" s="1"/>
      <c r="C97" s="1"/>
      <c r="D97" s="1"/>
      <c r="E97" s="1"/>
      <c r="F97" s="1"/>
      <c r="G97" s="1"/>
      <c r="H97" s="1"/>
      <c r="I97" s="1"/>
      <c r="J97" s="1"/>
      <c r="K97" s="1"/>
      <c r="L97" s="1"/>
      <c r="M97" s="1"/>
      <c r="N97" s="1"/>
      <c r="O97" s="1"/>
      <c r="P97" s="1"/>
      <c r="Q97" s="1"/>
      <c r="R97" s="1"/>
      <c r="S97" s="1"/>
    </row>
    <row r="98" spans="1:19" x14ac:dyDescent="0.3">
      <c r="A98" s="20"/>
      <c r="B98" s="1"/>
      <c r="C98" s="1"/>
      <c r="D98" s="1"/>
      <c r="E98" s="1"/>
      <c r="F98" s="1"/>
      <c r="G98" s="1"/>
      <c r="H98" s="1"/>
      <c r="I98" s="1"/>
      <c r="J98" s="1"/>
      <c r="K98" s="1"/>
      <c r="L98" s="1"/>
      <c r="M98" s="1"/>
      <c r="N98" s="1"/>
      <c r="O98" s="1"/>
      <c r="P98" s="1"/>
      <c r="Q98" s="1"/>
      <c r="R98" s="1"/>
      <c r="S98" s="1"/>
    </row>
    <row r="99" spans="1:19" x14ac:dyDescent="0.3">
      <c r="A99" s="20"/>
      <c r="B99" s="1"/>
      <c r="C99" s="1"/>
      <c r="D99" s="1"/>
      <c r="E99" s="1"/>
      <c r="F99" s="1"/>
      <c r="G99" s="1"/>
      <c r="H99" s="1"/>
      <c r="I99" s="1"/>
      <c r="J99" s="1"/>
      <c r="K99" s="1"/>
      <c r="L99" s="1"/>
      <c r="M99" s="1"/>
      <c r="N99" s="1"/>
      <c r="O99" s="1"/>
      <c r="P99" s="1"/>
      <c r="Q99" s="1"/>
      <c r="R99" s="1"/>
      <c r="S99" s="1"/>
    </row>
    <row r="100" spans="1:19" x14ac:dyDescent="0.3">
      <c r="A100" s="20"/>
      <c r="B100" s="1"/>
      <c r="C100" s="1"/>
      <c r="D100" s="1"/>
      <c r="E100" s="1"/>
      <c r="F100" s="1"/>
      <c r="G100" s="1"/>
      <c r="H100" s="1"/>
      <c r="I100" s="1"/>
      <c r="J100" s="1"/>
      <c r="K100" s="1"/>
      <c r="L100" s="1"/>
      <c r="M100" s="1"/>
      <c r="N100" s="1"/>
      <c r="O100" s="1"/>
      <c r="P100" s="1"/>
      <c r="Q100" s="1"/>
      <c r="R100" s="1"/>
      <c r="S100" s="1"/>
    </row>
    <row r="101" spans="1:19" x14ac:dyDescent="0.3">
      <c r="A101" s="20"/>
      <c r="B101" s="1"/>
      <c r="C101" s="1"/>
      <c r="D101" s="1"/>
      <c r="E101" s="1"/>
      <c r="F101" s="1"/>
      <c r="G101" s="1"/>
      <c r="H101" s="1"/>
      <c r="I101" s="1"/>
      <c r="J101" s="1"/>
      <c r="K101" s="1"/>
      <c r="L101" s="1"/>
      <c r="M101" s="1"/>
      <c r="N101" s="1"/>
      <c r="O101" s="1"/>
      <c r="P101" s="1"/>
      <c r="Q101" s="1"/>
      <c r="R101" s="1"/>
      <c r="S101" s="1"/>
    </row>
    <row r="102" spans="1:19" x14ac:dyDescent="0.3">
      <c r="A102" s="20"/>
      <c r="B102" s="1"/>
      <c r="C102" s="1"/>
      <c r="D102" s="1"/>
      <c r="E102" s="1"/>
      <c r="F102" s="1"/>
      <c r="G102" s="1"/>
      <c r="H102" s="1"/>
      <c r="I102" s="1"/>
      <c r="J102" s="1"/>
      <c r="K102" s="1"/>
      <c r="L102" s="1"/>
      <c r="M102" s="1"/>
      <c r="N102" s="1"/>
      <c r="O102" s="1"/>
      <c r="P102" s="1"/>
      <c r="Q102" s="1"/>
      <c r="R102" s="1"/>
      <c r="S102" s="1"/>
    </row>
    <row r="103" spans="1:19" x14ac:dyDescent="0.3">
      <c r="A103" s="20"/>
      <c r="B103" s="1"/>
      <c r="C103" s="1"/>
      <c r="D103" s="1"/>
      <c r="E103" s="1"/>
      <c r="F103" s="1"/>
      <c r="G103" s="1"/>
      <c r="H103" s="1"/>
      <c r="I103" s="1"/>
      <c r="J103" s="1"/>
      <c r="K103" s="1"/>
      <c r="L103" s="1"/>
      <c r="M103" s="1"/>
      <c r="N103" s="1"/>
      <c r="O103" s="1"/>
      <c r="P103" s="1"/>
      <c r="Q103" s="1"/>
      <c r="R103" s="1"/>
      <c r="S103" s="1"/>
    </row>
    <row r="104" spans="1:19" x14ac:dyDescent="0.3">
      <c r="A104" s="20"/>
      <c r="B104" s="1"/>
      <c r="C104" s="1"/>
      <c r="D104" s="1"/>
      <c r="E104" s="1"/>
      <c r="F104" s="1"/>
      <c r="G104" s="1"/>
      <c r="H104" s="1"/>
      <c r="I104" s="1"/>
      <c r="J104" s="1"/>
      <c r="K104" s="1"/>
      <c r="L104" s="1"/>
      <c r="M104" s="1"/>
      <c r="N104" s="1"/>
      <c r="O104" s="1"/>
      <c r="P104" s="1"/>
      <c r="Q104" s="1"/>
      <c r="R104" s="1"/>
      <c r="S104" s="1"/>
    </row>
    <row r="105" spans="1:19" x14ac:dyDescent="0.3">
      <c r="A105" s="20"/>
      <c r="B105" s="1"/>
      <c r="C105" s="1"/>
      <c r="D105" s="1"/>
      <c r="E105" s="1"/>
      <c r="F105" s="1"/>
      <c r="G105" s="1"/>
      <c r="H105" s="1"/>
      <c r="I105" s="1"/>
      <c r="J105" s="1"/>
      <c r="K105" s="1"/>
      <c r="L105" s="1"/>
      <c r="M105" s="1"/>
      <c r="N105" s="1"/>
      <c r="O105" s="1"/>
      <c r="P105" s="1"/>
      <c r="Q105" s="1"/>
      <c r="R105" s="1"/>
      <c r="S105" s="1"/>
    </row>
    <row r="106" spans="1:19" x14ac:dyDescent="0.3">
      <c r="A106" s="20"/>
      <c r="B106" s="1"/>
      <c r="C106" s="1"/>
      <c r="D106" s="1"/>
      <c r="E106" s="1"/>
      <c r="F106" s="1"/>
      <c r="G106" s="1"/>
      <c r="H106" s="1"/>
      <c r="I106" s="1"/>
      <c r="J106" s="1"/>
      <c r="K106" s="1"/>
      <c r="L106" s="1"/>
      <c r="M106" s="1"/>
      <c r="N106" s="1"/>
      <c r="O106" s="1"/>
      <c r="P106" s="1"/>
      <c r="Q106" s="1"/>
      <c r="R106" s="1"/>
      <c r="S106" s="1"/>
    </row>
    <row r="107" spans="1:19" x14ac:dyDescent="0.3">
      <c r="A107" s="20"/>
      <c r="B107" s="1"/>
      <c r="C107" s="1"/>
      <c r="D107" s="1"/>
      <c r="E107" s="1"/>
      <c r="F107" s="1"/>
      <c r="G107" s="1"/>
      <c r="H107" s="1"/>
      <c r="I107" s="1"/>
      <c r="J107" s="1"/>
      <c r="K107" s="1"/>
      <c r="L107" s="1"/>
      <c r="M107" s="1"/>
      <c r="N107" s="1"/>
      <c r="O107" s="1"/>
      <c r="P107" s="1"/>
      <c r="Q107" s="1"/>
      <c r="R107" s="1"/>
      <c r="S107" s="1"/>
    </row>
    <row r="108" spans="1:19" x14ac:dyDescent="0.3">
      <c r="A108" s="20"/>
      <c r="B108" s="1"/>
      <c r="C108" s="1"/>
      <c r="D108" s="1"/>
      <c r="E108" s="1"/>
      <c r="F108" s="1"/>
      <c r="G108" s="1"/>
      <c r="H108" s="1"/>
      <c r="I108" s="1"/>
      <c r="J108" s="1"/>
      <c r="K108" s="1"/>
      <c r="L108" s="1"/>
      <c r="M108" s="1"/>
      <c r="N108" s="1"/>
      <c r="O108" s="1"/>
      <c r="P108" s="1"/>
      <c r="Q108" s="1"/>
      <c r="R108" s="1"/>
      <c r="S108" s="1"/>
    </row>
    <row r="109" spans="1:19" x14ac:dyDescent="0.3">
      <c r="A109" s="20"/>
      <c r="B109" s="1"/>
      <c r="C109" s="1"/>
      <c r="D109" s="1"/>
      <c r="E109" s="1"/>
      <c r="F109" s="1"/>
      <c r="G109" s="1"/>
      <c r="H109" s="1"/>
      <c r="I109" s="1"/>
      <c r="J109" s="1"/>
      <c r="K109" s="1"/>
      <c r="L109" s="1"/>
      <c r="M109" s="1"/>
      <c r="N109" s="1"/>
      <c r="O109" s="1"/>
      <c r="P109" s="1"/>
      <c r="Q109" s="1"/>
      <c r="R109" s="1"/>
      <c r="S109" s="1"/>
    </row>
    <row r="110" spans="1:19" x14ac:dyDescent="0.3">
      <c r="A110" s="20"/>
      <c r="B110" s="1"/>
      <c r="C110" s="1"/>
      <c r="D110" s="1"/>
      <c r="E110" s="1"/>
      <c r="F110" s="1"/>
      <c r="G110" s="1"/>
      <c r="H110" s="1"/>
      <c r="I110" s="1"/>
      <c r="J110" s="1"/>
      <c r="K110" s="1"/>
      <c r="L110" s="1"/>
      <c r="M110" s="1"/>
      <c r="N110" s="1"/>
      <c r="O110" s="1"/>
      <c r="P110" s="1"/>
      <c r="Q110" s="1"/>
      <c r="R110" s="1"/>
      <c r="S110" s="1"/>
    </row>
    <row r="111" spans="1:19" x14ac:dyDescent="0.3">
      <c r="A111" s="20"/>
      <c r="B111" s="1"/>
      <c r="C111" s="1"/>
      <c r="D111" s="1"/>
      <c r="E111" s="1"/>
      <c r="F111" s="1"/>
      <c r="G111" s="1"/>
      <c r="H111" s="1"/>
      <c r="I111" s="1"/>
      <c r="J111" s="1"/>
      <c r="K111" s="1"/>
      <c r="L111" s="1"/>
      <c r="M111" s="1"/>
      <c r="N111" s="1"/>
      <c r="O111" s="1"/>
      <c r="P111" s="1"/>
      <c r="Q111" s="1"/>
      <c r="R111" s="1"/>
      <c r="S111" s="1"/>
    </row>
    <row r="112" spans="1:19" x14ac:dyDescent="0.3">
      <c r="A112" s="20"/>
      <c r="B112" s="1"/>
      <c r="C112" s="1"/>
      <c r="D112" s="1"/>
      <c r="E112" s="1"/>
      <c r="F112" s="1"/>
      <c r="G112" s="1"/>
      <c r="H112" s="1"/>
      <c r="I112" s="1"/>
      <c r="J112" s="1"/>
      <c r="K112" s="1"/>
      <c r="L112" s="1"/>
      <c r="M112" s="1"/>
      <c r="N112" s="1"/>
      <c r="O112" s="1"/>
      <c r="P112" s="1"/>
      <c r="Q112" s="1"/>
      <c r="R112" s="1"/>
      <c r="S112" s="1"/>
    </row>
    <row r="113" spans="1:19" x14ac:dyDescent="0.3">
      <c r="A113" s="20"/>
      <c r="B113" s="1"/>
      <c r="C113" s="1"/>
      <c r="D113" s="1"/>
      <c r="E113" s="1"/>
      <c r="F113" s="1"/>
      <c r="G113" s="1"/>
      <c r="H113" s="1"/>
      <c r="I113" s="1"/>
      <c r="J113" s="1"/>
      <c r="K113" s="1"/>
      <c r="L113" s="1"/>
      <c r="M113" s="1"/>
      <c r="N113" s="1"/>
      <c r="O113" s="1"/>
      <c r="P113" s="1"/>
      <c r="Q113" s="1"/>
      <c r="R113" s="1"/>
      <c r="S113" s="1"/>
    </row>
    <row r="114" spans="1:19" x14ac:dyDescent="0.3">
      <c r="A114" s="20"/>
      <c r="B114" s="1"/>
      <c r="C114" s="1"/>
      <c r="D114" s="1"/>
      <c r="E114" s="1"/>
      <c r="F114" s="1"/>
      <c r="G114" s="1"/>
      <c r="H114" s="1"/>
      <c r="I114" s="1"/>
      <c r="J114" s="1"/>
      <c r="K114" s="1"/>
      <c r="L114" s="1"/>
      <c r="M114" s="1"/>
      <c r="N114" s="1"/>
      <c r="O114" s="1"/>
      <c r="P114" s="1"/>
      <c r="Q114" s="1"/>
      <c r="R114" s="1"/>
      <c r="S114" s="1"/>
    </row>
    <row r="115" spans="1:19" x14ac:dyDescent="0.3">
      <c r="A115" s="20"/>
      <c r="B115" s="1"/>
      <c r="C115" s="1"/>
      <c r="D115" s="1"/>
      <c r="E115" s="1"/>
      <c r="F115" s="1"/>
      <c r="G115" s="1"/>
      <c r="H115" s="1"/>
      <c r="I115" s="1"/>
      <c r="J115" s="1"/>
      <c r="K115" s="1"/>
      <c r="L115" s="1"/>
      <c r="M115" s="1"/>
      <c r="N115" s="1"/>
      <c r="O115" s="1"/>
      <c r="P115" s="1"/>
      <c r="Q115" s="1"/>
      <c r="R115" s="1"/>
      <c r="S115" s="1"/>
    </row>
    <row r="116" spans="1:19" x14ac:dyDescent="0.3">
      <c r="A116" s="20"/>
      <c r="B116" s="1"/>
      <c r="C116" s="1"/>
      <c r="D116" s="1"/>
      <c r="E116" s="1"/>
      <c r="F116" s="1"/>
      <c r="G116" s="1"/>
      <c r="H116" s="1"/>
      <c r="I116" s="1"/>
      <c r="J116" s="1"/>
      <c r="K116" s="1"/>
      <c r="L116" s="1"/>
      <c r="M116" s="1"/>
      <c r="N116" s="1"/>
      <c r="O116" s="1"/>
      <c r="P116" s="1"/>
      <c r="Q116" s="1"/>
      <c r="R116" s="1"/>
      <c r="S116" s="1"/>
    </row>
    <row r="117" spans="1:19" x14ac:dyDescent="0.3">
      <c r="A117" s="20"/>
      <c r="B117" s="1"/>
      <c r="C117" s="1"/>
      <c r="D117" s="1"/>
      <c r="E117" s="1"/>
      <c r="F117" s="1"/>
      <c r="G117" s="1"/>
      <c r="H117" s="1"/>
      <c r="I117" s="1"/>
      <c r="J117" s="1"/>
      <c r="K117" s="1"/>
      <c r="L117" s="1"/>
      <c r="M117" s="1"/>
      <c r="N117" s="1"/>
      <c r="O117" s="1"/>
      <c r="P117" s="1"/>
      <c r="Q117" s="1"/>
      <c r="R117" s="1"/>
      <c r="S117" s="1"/>
    </row>
    <row r="118" spans="1:19" x14ac:dyDescent="0.3">
      <c r="A118" s="20"/>
      <c r="B118" s="1"/>
      <c r="C118" s="1"/>
      <c r="D118" s="1"/>
      <c r="E118" s="1"/>
      <c r="F118" s="1"/>
      <c r="G118" s="1"/>
      <c r="H118" s="1"/>
      <c r="I118" s="1"/>
      <c r="J118" s="1"/>
      <c r="K118" s="1"/>
      <c r="L118" s="1"/>
      <c r="M118" s="1"/>
      <c r="N118" s="1"/>
      <c r="O118" s="1"/>
      <c r="P118" s="1"/>
      <c r="Q118" s="1"/>
      <c r="R118" s="1"/>
      <c r="S118" s="1"/>
    </row>
    <row r="119" spans="1:19" x14ac:dyDescent="0.3">
      <c r="A119" s="20"/>
      <c r="B119" s="1"/>
      <c r="C119" s="1"/>
      <c r="D119" s="1"/>
      <c r="E119" s="1"/>
      <c r="F119" s="1"/>
      <c r="G119" s="1"/>
      <c r="H119" s="1"/>
      <c r="I119" s="1"/>
      <c r="J119" s="1"/>
      <c r="K119" s="1"/>
      <c r="L119" s="1"/>
      <c r="M119" s="1"/>
      <c r="N119" s="1"/>
      <c r="O119" s="1"/>
      <c r="P119" s="1"/>
      <c r="Q119" s="1"/>
      <c r="R119" s="1"/>
      <c r="S119" s="1"/>
    </row>
    <row r="120" spans="1:19" x14ac:dyDescent="0.3">
      <c r="A120" s="20"/>
      <c r="B120" s="1"/>
      <c r="C120" s="1"/>
      <c r="D120" s="1"/>
      <c r="E120" s="1"/>
      <c r="F120" s="1"/>
      <c r="G120" s="1"/>
      <c r="H120" s="1"/>
      <c r="I120" s="1"/>
      <c r="J120" s="1"/>
      <c r="K120" s="1"/>
      <c r="L120" s="1"/>
      <c r="M120" s="1"/>
      <c r="N120" s="1"/>
      <c r="O120" s="1"/>
      <c r="P120" s="1"/>
      <c r="Q120" s="1"/>
      <c r="R120" s="1"/>
      <c r="S120" s="1"/>
    </row>
    <row r="121" spans="1:19" x14ac:dyDescent="0.3">
      <c r="A121" s="20"/>
      <c r="B121" s="1"/>
      <c r="C121" s="1"/>
      <c r="D121" s="1"/>
      <c r="E121" s="1"/>
      <c r="F121" s="1"/>
      <c r="G121" s="1"/>
      <c r="H121" s="1"/>
      <c r="I121" s="1"/>
      <c r="J121" s="1"/>
      <c r="K121" s="1"/>
      <c r="L121" s="1"/>
      <c r="M121" s="1"/>
      <c r="N121" s="1"/>
      <c r="O121" s="1"/>
      <c r="P121" s="1"/>
      <c r="Q121" s="1"/>
      <c r="R121" s="1"/>
      <c r="S121" s="1"/>
    </row>
    <row r="122" spans="1:19" x14ac:dyDescent="0.3">
      <c r="A122" s="20"/>
      <c r="B122" s="1"/>
      <c r="C122" s="1"/>
      <c r="D122" s="1"/>
      <c r="E122" s="1"/>
      <c r="F122" s="1"/>
      <c r="G122" s="1"/>
      <c r="H122" s="1"/>
      <c r="I122" s="1"/>
      <c r="J122" s="1"/>
      <c r="K122" s="1"/>
      <c r="L122" s="1"/>
      <c r="M122" s="1"/>
      <c r="N122" s="1"/>
      <c r="O122" s="1"/>
      <c r="P122" s="1"/>
      <c r="Q122" s="1"/>
      <c r="R122" s="1"/>
      <c r="S122" s="1"/>
    </row>
    <row r="123" spans="1:19" x14ac:dyDescent="0.3">
      <c r="A123" s="20"/>
      <c r="B123" s="1"/>
      <c r="C123" s="1"/>
      <c r="D123" s="1"/>
      <c r="E123" s="1"/>
      <c r="F123" s="1"/>
      <c r="G123" s="1"/>
      <c r="H123" s="1"/>
      <c r="I123" s="1"/>
      <c r="J123" s="1"/>
      <c r="K123" s="1"/>
      <c r="L123" s="1"/>
      <c r="M123" s="1"/>
      <c r="N123" s="1"/>
      <c r="O123" s="1"/>
      <c r="P123" s="1"/>
      <c r="Q123" s="1"/>
      <c r="R123" s="1"/>
      <c r="S123" s="1"/>
    </row>
    <row r="124" spans="1:19" x14ac:dyDescent="0.3">
      <c r="A124" s="20"/>
      <c r="B124" s="1"/>
      <c r="C124" s="1"/>
      <c r="D124" s="1"/>
      <c r="E124" s="1"/>
      <c r="F124" s="1"/>
      <c r="G124" s="1"/>
      <c r="H124" s="1"/>
      <c r="I124" s="1"/>
      <c r="J124" s="1"/>
      <c r="K124" s="1"/>
      <c r="L124" s="1"/>
      <c r="M124" s="1"/>
      <c r="N124" s="1"/>
      <c r="O124" s="1"/>
      <c r="P124" s="1"/>
      <c r="Q124" s="1"/>
      <c r="R124" s="1"/>
      <c r="S124" s="1"/>
    </row>
    <row r="125" spans="1:19" x14ac:dyDescent="0.3">
      <c r="A125" s="20"/>
      <c r="B125" s="1"/>
      <c r="C125" s="1"/>
      <c r="D125" s="1"/>
      <c r="E125" s="1"/>
      <c r="F125" s="1"/>
      <c r="G125" s="1"/>
      <c r="H125" s="1"/>
      <c r="I125" s="1"/>
      <c r="J125" s="1"/>
      <c r="K125" s="1"/>
      <c r="L125" s="1"/>
      <c r="M125" s="1"/>
      <c r="N125" s="1"/>
      <c r="O125" s="1"/>
      <c r="P125" s="1"/>
      <c r="Q125" s="1"/>
      <c r="R125" s="1"/>
      <c r="S125" s="1"/>
    </row>
    <row r="126" spans="1:19" x14ac:dyDescent="0.3">
      <c r="A126" s="20"/>
      <c r="B126" s="1"/>
      <c r="C126" s="1"/>
      <c r="D126" s="1"/>
      <c r="E126" s="1"/>
      <c r="F126" s="1"/>
      <c r="G126" s="1"/>
      <c r="H126" s="1"/>
      <c r="I126" s="1"/>
      <c r="J126" s="1"/>
      <c r="K126" s="1"/>
      <c r="L126" s="1"/>
      <c r="M126" s="1"/>
      <c r="N126" s="1"/>
      <c r="O126" s="1"/>
      <c r="P126" s="1"/>
      <c r="Q126" s="1"/>
      <c r="R126" s="1"/>
      <c r="S126" s="1"/>
    </row>
    <row r="127" spans="1:19" x14ac:dyDescent="0.3">
      <c r="A127" s="20"/>
      <c r="B127" s="1"/>
      <c r="C127" s="1"/>
      <c r="D127" s="1"/>
      <c r="E127" s="1"/>
      <c r="F127" s="1"/>
      <c r="G127" s="1"/>
      <c r="H127" s="1"/>
      <c r="I127" s="1"/>
      <c r="J127" s="1"/>
      <c r="K127" s="1"/>
      <c r="L127" s="1"/>
      <c r="M127" s="1"/>
      <c r="N127" s="1"/>
      <c r="O127" s="1"/>
      <c r="P127" s="1"/>
      <c r="Q127" s="1"/>
      <c r="R127" s="1"/>
      <c r="S127" s="1"/>
    </row>
    <row r="128" spans="1:19" x14ac:dyDescent="0.3">
      <c r="A128" s="20"/>
      <c r="B128" s="1"/>
      <c r="C128" s="1"/>
      <c r="D128" s="1"/>
      <c r="E128" s="1"/>
      <c r="F128" s="1"/>
      <c r="G128" s="1"/>
      <c r="H128" s="1"/>
      <c r="I128" s="1"/>
      <c r="J128" s="1"/>
      <c r="K128" s="1"/>
      <c r="L128" s="1"/>
      <c r="M128" s="1"/>
      <c r="N128" s="1"/>
      <c r="O128" s="1"/>
      <c r="P128" s="1"/>
      <c r="Q128" s="1"/>
      <c r="R128" s="1"/>
      <c r="S128" s="1"/>
    </row>
    <row r="129" spans="1:19" x14ac:dyDescent="0.3">
      <c r="A129" s="20"/>
      <c r="B129" s="1"/>
      <c r="C129" s="1"/>
      <c r="D129" s="1"/>
      <c r="E129" s="1"/>
      <c r="F129" s="1"/>
      <c r="G129" s="1"/>
      <c r="H129" s="1"/>
      <c r="I129" s="1"/>
      <c r="J129" s="1"/>
      <c r="K129" s="1"/>
      <c r="L129" s="1"/>
      <c r="M129" s="1"/>
      <c r="N129" s="1"/>
      <c r="O129" s="1"/>
      <c r="P129" s="1"/>
      <c r="Q129" s="1"/>
      <c r="R129" s="1"/>
      <c r="S129" s="1"/>
    </row>
    <row r="130" spans="1:19" x14ac:dyDescent="0.3">
      <c r="A130" s="20"/>
      <c r="B130" s="1"/>
      <c r="C130" s="1"/>
      <c r="D130" s="1"/>
      <c r="E130" s="1"/>
      <c r="F130" s="1"/>
      <c r="G130" s="1"/>
      <c r="H130" s="1"/>
      <c r="I130" s="1"/>
      <c r="J130" s="1"/>
      <c r="K130" s="1"/>
      <c r="L130" s="1"/>
      <c r="M130" s="1"/>
      <c r="N130" s="1"/>
      <c r="O130" s="1"/>
      <c r="P130" s="1"/>
      <c r="Q130" s="1"/>
      <c r="R130" s="1"/>
      <c r="S130" s="1"/>
    </row>
    <row r="131" spans="1:19" x14ac:dyDescent="0.3">
      <c r="A131" s="20"/>
      <c r="B131" s="1"/>
      <c r="C131" s="1"/>
      <c r="D131" s="1"/>
      <c r="E131" s="1"/>
      <c r="F131" s="1"/>
      <c r="G131" s="1"/>
      <c r="H131" s="1"/>
      <c r="I131" s="1"/>
      <c r="J131" s="1"/>
      <c r="K131" s="1"/>
      <c r="L131" s="1"/>
      <c r="M131" s="1"/>
      <c r="N131" s="1"/>
      <c r="O131" s="1"/>
      <c r="P131" s="1"/>
      <c r="Q131" s="1"/>
      <c r="R131" s="1"/>
      <c r="S131" s="1"/>
    </row>
    <row r="132" spans="1:19" x14ac:dyDescent="0.3">
      <c r="A132" s="20"/>
      <c r="B132" s="1"/>
      <c r="C132" s="1"/>
      <c r="D132" s="1"/>
      <c r="E132" s="1"/>
      <c r="F132" s="1"/>
      <c r="G132" s="1"/>
      <c r="H132" s="1"/>
      <c r="I132" s="1"/>
      <c r="J132" s="1"/>
      <c r="K132" s="1"/>
      <c r="L132" s="1"/>
      <c r="M132" s="1"/>
      <c r="N132" s="1"/>
      <c r="O132" s="1"/>
      <c r="P132" s="1"/>
      <c r="Q132" s="1"/>
      <c r="R132" s="1"/>
      <c r="S132" s="1"/>
    </row>
    <row r="133" spans="1:19" x14ac:dyDescent="0.3">
      <c r="A133" s="20"/>
      <c r="B133" s="1"/>
      <c r="C133" s="1"/>
      <c r="D133" s="1"/>
      <c r="E133" s="1"/>
      <c r="F133" s="1"/>
      <c r="G133" s="1"/>
      <c r="H133" s="1"/>
      <c r="I133" s="1"/>
      <c r="J133" s="1"/>
      <c r="K133" s="1"/>
      <c r="L133" s="1"/>
      <c r="M133" s="1"/>
      <c r="N133" s="1"/>
      <c r="O133" s="1"/>
      <c r="P133" s="1"/>
      <c r="Q133" s="1"/>
      <c r="R133" s="1"/>
      <c r="S133" s="1"/>
    </row>
    <row r="134" spans="1:19" x14ac:dyDescent="0.3">
      <c r="A134" s="20"/>
      <c r="B134" s="1"/>
      <c r="C134" s="1"/>
      <c r="D134" s="1"/>
      <c r="E134" s="1"/>
      <c r="F134" s="1"/>
      <c r="G134" s="1"/>
      <c r="H134" s="1"/>
      <c r="I134" s="1"/>
      <c r="J134" s="1"/>
      <c r="K134" s="1"/>
      <c r="L134" s="1"/>
      <c r="M134" s="1"/>
      <c r="N134" s="1"/>
      <c r="O134" s="1"/>
      <c r="P134" s="1"/>
      <c r="Q134" s="1"/>
      <c r="R134" s="1"/>
      <c r="S134" s="1"/>
    </row>
    <row r="135" spans="1:19" x14ac:dyDescent="0.3">
      <c r="A135" s="20"/>
      <c r="B135" s="1"/>
      <c r="C135" s="1"/>
      <c r="D135" s="1"/>
      <c r="E135" s="1"/>
      <c r="F135" s="1"/>
      <c r="G135" s="1"/>
      <c r="H135" s="1"/>
      <c r="I135" s="1"/>
      <c r="J135" s="1"/>
      <c r="K135" s="1"/>
      <c r="L135" s="1"/>
      <c r="M135" s="1"/>
      <c r="N135" s="1"/>
      <c r="O135" s="1"/>
      <c r="P135" s="1"/>
      <c r="Q135" s="1"/>
      <c r="R135" s="1"/>
      <c r="S135" s="1"/>
    </row>
    <row r="136" spans="1:19" x14ac:dyDescent="0.3">
      <c r="A136" s="20"/>
      <c r="B136" s="1"/>
      <c r="C136" s="1"/>
      <c r="D136" s="1"/>
      <c r="E136" s="1"/>
      <c r="F136" s="1"/>
      <c r="G136" s="1"/>
      <c r="H136" s="1"/>
      <c r="I136" s="1"/>
      <c r="J136" s="1"/>
      <c r="K136" s="1"/>
      <c r="L136" s="1"/>
      <c r="M136" s="1"/>
      <c r="N136" s="1"/>
      <c r="O136" s="1"/>
      <c r="P136" s="1"/>
      <c r="Q136" s="1"/>
      <c r="R136" s="1"/>
      <c r="S136" s="1"/>
    </row>
    <row r="137" spans="1:19" x14ac:dyDescent="0.3">
      <c r="A137" s="20"/>
      <c r="B137" s="1"/>
      <c r="C137" s="1"/>
      <c r="D137" s="1"/>
      <c r="E137" s="1"/>
      <c r="F137" s="1"/>
      <c r="G137" s="1"/>
      <c r="H137" s="1"/>
      <c r="I137" s="1"/>
      <c r="J137" s="1"/>
      <c r="K137" s="1"/>
      <c r="L137" s="1"/>
      <c r="M137" s="1"/>
      <c r="N137" s="1"/>
      <c r="O137" s="1"/>
      <c r="P137" s="1"/>
      <c r="Q137" s="1"/>
      <c r="R137" s="1"/>
      <c r="S137" s="1"/>
    </row>
    <row r="138" spans="1:19" x14ac:dyDescent="0.3">
      <c r="A138" s="20"/>
      <c r="B138" s="1"/>
      <c r="C138" s="1"/>
      <c r="D138" s="1"/>
      <c r="E138" s="1"/>
      <c r="F138" s="1"/>
      <c r="G138" s="1"/>
      <c r="H138" s="1"/>
      <c r="I138" s="1"/>
      <c r="J138" s="1"/>
      <c r="K138" s="1"/>
      <c r="L138" s="1"/>
      <c r="M138" s="1"/>
      <c r="N138" s="1"/>
      <c r="O138" s="1"/>
      <c r="P138" s="1"/>
      <c r="Q138" s="1"/>
      <c r="R138" s="1"/>
      <c r="S138" s="1"/>
    </row>
    <row r="139" spans="1:19" x14ac:dyDescent="0.3">
      <c r="A139" s="20"/>
      <c r="B139" s="1"/>
      <c r="C139" s="1"/>
      <c r="D139" s="1"/>
      <c r="E139" s="1"/>
      <c r="F139" s="1"/>
      <c r="G139" s="1"/>
      <c r="H139" s="1"/>
      <c r="I139" s="1"/>
      <c r="J139" s="1"/>
      <c r="K139" s="1"/>
      <c r="L139" s="1"/>
      <c r="M139" s="1"/>
      <c r="N139" s="1"/>
      <c r="O139" s="1"/>
      <c r="P139" s="1"/>
      <c r="Q139" s="1"/>
      <c r="R139" s="1"/>
      <c r="S139" s="1"/>
    </row>
    <row r="140" spans="1:19" x14ac:dyDescent="0.3">
      <c r="A140" s="20"/>
      <c r="B140" s="1"/>
      <c r="C140" s="1"/>
      <c r="D140" s="1"/>
      <c r="E140" s="1"/>
      <c r="F140" s="1"/>
      <c r="G140" s="1"/>
      <c r="H140" s="1"/>
      <c r="I140" s="1"/>
      <c r="J140" s="1"/>
      <c r="K140" s="1"/>
      <c r="L140" s="1"/>
      <c r="M140" s="1"/>
      <c r="N140" s="1"/>
      <c r="O140" s="1"/>
      <c r="P140" s="1"/>
      <c r="Q140" s="1"/>
      <c r="R140" s="1"/>
      <c r="S140" s="1"/>
    </row>
    <row r="141" spans="1:19" x14ac:dyDescent="0.3">
      <c r="A141" s="20"/>
      <c r="B141" s="1"/>
      <c r="C141" s="1"/>
      <c r="D141" s="1"/>
      <c r="E141" s="1"/>
      <c r="F141" s="1"/>
      <c r="G141" s="1"/>
      <c r="H141" s="1"/>
      <c r="I141" s="1"/>
      <c r="J141" s="1"/>
      <c r="K141" s="1"/>
      <c r="L141" s="1"/>
      <c r="M141" s="1"/>
      <c r="N141" s="1"/>
      <c r="O141" s="1"/>
      <c r="P141" s="1"/>
      <c r="Q141" s="1"/>
      <c r="R141" s="1"/>
      <c r="S141" s="1"/>
    </row>
    <row r="142" spans="1:19" x14ac:dyDescent="0.3">
      <c r="A142" s="20"/>
      <c r="B142" s="1"/>
      <c r="C142" s="1"/>
      <c r="D142" s="1"/>
      <c r="E142" s="1"/>
      <c r="F142" s="1"/>
      <c r="G142" s="1"/>
      <c r="H142" s="1"/>
      <c r="I142" s="1"/>
      <c r="J142" s="1"/>
      <c r="K142" s="1"/>
      <c r="L142" s="1"/>
      <c r="M142" s="1"/>
      <c r="N142" s="1"/>
      <c r="O142" s="1"/>
      <c r="P142" s="1"/>
      <c r="Q142" s="1"/>
      <c r="R142" s="1"/>
      <c r="S142" s="1"/>
    </row>
    <row r="143" spans="1:19" x14ac:dyDescent="0.3">
      <c r="A143" s="20"/>
      <c r="B143" s="1"/>
      <c r="C143" s="1"/>
      <c r="D143" s="1"/>
      <c r="E143" s="1"/>
      <c r="F143" s="1"/>
      <c r="G143" s="1"/>
      <c r="H143" s="1"/>
      <c r="I143" s="1"/>
      <c r="J143" s="1"/>
      <c r="K143" s="1"/>
      <c r="L143" s="1"/>
      <c r="M143" s="1"/>
      <c r="N143" s="1"/>
      <c r="O143" s="1"/>
      <c r="P143" s="1"/>
      <c r="Q143" s="1"/>
      <c r="R143" s="1"/>
      <c r="S143" s="1"/>
    </row>
    <row r="144" spans="1:19" x14ac:dyDescent="0.3">
      <c r="A144" s="20"/>
      <c r="B144" s="1"/>
      <c r="C144" s="1"/>
      <c r="D144" s="1"/>
      <c r="E144" s="1"/>
      <c r="F144" s="1"/>
      <c r="G144" s="1"/>
      <c r="H144" s="1"/>
      <c r="I144" s="1"/>
      <c r="J144" s="1"/>
      <c r="K144" s="1"/>
      <c r="L144" s="1"/>
      <c r="M144" s="1"/>
      <c r="N144" s="1"/>
      <c r="O144" s="1"/>
      <c r="P144" s="1"/>
      <c r="Q144" s="1"/>
      <c r="R144" s="1"/>
      <c r="S144" s="1"/>
    </row>
    <row r="145" spans="1:19" x14ac:dyDescent="0.3">
      <c r="A145" s="20"/>
      <c r="B145" s="1"/>
      <c r="C145" s="1"/>
      <c r="D145" s="1"/>
      <c r="E145" s="1"/>
      <c r="F145" s="1"/>
      <c r="G145" s="1"/>
      <c r="H145" s="1"/>
      <c r="I145" s="1"/>
      <c r="J145" s="1"/>
      <c r="K145" s="1"/>
      <c r="L145" s="1"/>
      <c r="M145" s="1"/>
      <c r="N145" s="1"/>
      <c r="O145" s="1"/>
      <c r="P145" s="1"/>
      <c r="Q145" s="1"/>
      <c r="R145" s="1"/>
      <c r="S145" s="1"/>
    </row>
    <row r="146" spans="1:19" x14ac:dyDescent="0.3">
      <c r="A146" s="20"/>
      <c r="B146" s="1"/>
      <c r="C146" s="1"/>
      <c r="D146" s="1"/>
      <c r="E146" s="1"/>
      <c r="F146" s="1"/>
      <c r="G146" s="1"/>
      <c r="H146" s="1"/>
      <c r="I146" s="1"/>
      <c r="J146" s="1"/>
      <c r="K146" s="1"/>
      <c r="L146" s="1"/>
      <c r="M146" s="1"/>
      <c r="N146" s="1"/>
      <c r="O146" s="1"/>
      <c r="P146" s="1"/>
      <c r="Q146" s="1"/>
      <c r="R146" s="1"/>
      <c r="S146" s="1"/>
    </row>
    <row r="147" spans="1:19" x14ac:dyDescent="0.3">
      <c r="A147" s="20"/>
      <c r="B147" s="1"/>
      <c r="C147" s="1"/>
      <c r="D147" s="1"/>
      <c r="E147" s="1"/>
      <c r="F147" s="1"/>
      <c r="G147" s="1"/>
      <c r="H147" s="1"/>
      <c r="I147" s="1"/>
      <c r="J147" s="1"/>
      <c r="K147" s="1"/>
      <c r="L147" s="1"/>
      <c r="M147" s="1"/>
      <c r="N147" s="1"/>
      <c r="O147" s="1"/>
      <c r="P147" s="1"/>
      <c r="Q147" s="1"/>
      <c r="R147" s="1"/>
      <c r="S147" s="1"/>
    </row>
    <row r="148" spans="1:19" x14ac:dyDescent="0.3">
      <c r="A148" s="20"/>
      <c r="B148" s="1"/>
      <c r="C148" s="1"/>
      <c r="D148" s="1"/>
      <c r="E148" s="1"/>
      <c r="F148" s="1"/>
      <c r="G148" s="1"/>
      <c r="H148" s="1"/>
      <c r="I148" s="1"/>
      <c r="J148" s="1"/>
      <c r="K148" s="1"/>
      <c r="L148" s="1"/>
      <c r="M148" s="1"/>
      <c r="N148" s="1"/>
      <c r="O148" s="1"/>
      <c r="P148" s="1"/>
      <c r="Q148" s="1"/>
      <c r="R148" s="1"/>
      <c r="S148" s="1"/>
    </row>
    <row r="149" spans="1:19" x14ac:dyDescent="0.3">
      <c r="A149" s="20"/>
      <c r="B149" s="1"/>
      <c r="C149" s="1"/>
      <c r="D149" s="1"/>
      <c r="E149" s="1"/>
      <c r="F149" s="1"/>
      <c r="G149" s="1"/>
      <c r="H149" s="1"/>
      <c r="I149" s="1"/>
      <c r="J149" s="1"/>
      <c r="K149" s="1"/>
      <c r="L149" s="1"/>
      <c r="M149" s="1"/>
      <c r="N149" s="1"/>
      <c r="O149" s="1"/>
      <c r="P149" s="1"/>
      <c r="Q149" s="1"/>
      <c r="R149" s="1"/>
      <c r="S149" s="1"/>
    </row>
    <row r="150" spans="1:19" x14ac:dyDescent="0.3">
      <c r="A150" s="20"/>
      <c r="B150" s="1"/>
      <c r="C150" s="1"/>
      <c r="D150" s="1"/>
      <c r="E150" s="1"/>
      <c r="F150" s="1"/>
      <c r="G150" s="1"/>
      <c r="H150" s="1"/>
      <c r="I150" s="1"/>
      <c r="J150" s="1"/>
      <c r="K150" s="1"/>
      <c r="L150" s="1"/>
      <c r="M150" s="1"/>
      <c r="N150" s="1"/>
      <c r="O150" s="1"/>
      <c r="P150" s="1"/>
      <c r="Q150" s="1"/>
      <c r="R150" s="1"/>
      <c r="S150" s="1"/>
    </row>
    <row r="151" spans="1:19" x14ac:dyDescent="0.3">
      <c r="A151" s="20"/>
      <c r="B151" s="1"/>
      <c r="C151" s="1"/>
      <c r="D151" s="1"/>
      <c r="E151" s="1"/>
      <c r="F151" s="1"/>
      <c r="G151" s="1"/>
      <c r="H151" s="1"/>
      <c r="I151" s="1"/>
      <c r="J151" s="1"/>
      <c r="K151" s="1"/>
      <c r="L151" s="1"/>
      <c r="M151" s="1"/>
      <c r="N151" s="1"/>
      <c r="O151" s="1"/>
      <c r="P151" s="1"/>
      <c r="Q151" s="1"/>
      <c r="R151" s="1"/>
      <c r="S151" s="1"/>
    </row>
    <row r="152" spans="1:19" x14ac:dyDescent="0.3">
      <c r="A152" s="20"/>
      <c r="B152" s="1"/>
      <c r="C152" s="1"/>
      <c r="D152" s="1"/>
      <c r="E152" s="1"/>
      <c r="F152" s="1"/>
      <c r="G152" s="1"/>
      <c r="H152" s="1"/>
      <c r="I152" s="1"/>
      <c r="J152" s="1"/>
      <c r="K152" s="1"/>
      <c r="L152" s="1"/>
      <c r="M152" s="1"/>
      <c r="N152" s="1"/>
      <c r="O152" s="1"/>
      <c r="P152" s="1"/>
      <c r="Q152" s="1"/>
      <c r="R152" s="1"/>
      <c r="S152" s="1"/>
    </row>
    <row r="153" spans="1:19" x14ac:dyDescent="0.3">
      <c r="A153" s="20"/>
      <c r="B153" s="1"/>
      <c r="C153" s="1"/>
      <c r="D153" s="1"/>
      <c r="E153" s="1"/>
      <c r="F153" s="1"/>
      <c r="G153" s="1"/>
      <c r="H153" s="1"/>
      <c r="I153" s="1"/>
      <c r="J153" s="1"/>
      <c r="K153" s="1"/>
      <c r="L153" s="1"/>
      <c r="M153" s="1"/>
      <c r="N153" s="1"/>
      <c r="O153" s="1"/>
      <c r="P153" s="1"/>
      <c r="Q153" s="1"/>
      <c r="R153" s="1"/>
      <c r="S153" s="1"/>
    </row>
    <row r="154" spans="1:19" x14ac:dyDescent="0.3">
      <c r="A154" s="20"/>
      <c r="B154" s="1"/>
      <c r="C154" s="1"/>
      <c r="D154" s="1"/>
      <c r="E154" s="1"/>
      <c r="F154" s="1"/>
      <c r="G154" s="1"/>
      <c r="H154" s="1"/>
      <c r="I154" s="1"/>
      <c r="J154" s="1"/>
      <c r="K154" s="1"/>
      <c r="L154" s="1"/>
      <c r="M154" s="1"/>
      <c r="N154" s="1"/>
      <c r="O154" s="1"/>
      <c r="P154" s="1"/>
      <c r="Q154" s="1"/>
      <c r="R154" s="1"/>
      <c r="S154" s="1"/>
    </row>
    <row r="155" spans="1:19" x14ac:dyDescent="0.3">
      <c r="A155" s="20"/>
      <c r="B155" s="1"/>
      <c r="C155" s="1"/>
      <c r="D155" s="1"/>
      <c r="E155" s="1"/>
      <c r="F155" s="1"/>
      <c r="G155" s="1"/>
      <c r="H155" s="1"/>
      <c r="I155" s="1"/>
      <c r="J155" s="1"/>
      <c r="K155" s="1"/>
      <c r="L155" s="1"/>
      <c r="M155" s="1"/>
      <c r="N155" s="1"/>
      <c r="O155" s="1"/>
      <c r="P155" s="1"/>
      <c r="Q155" s="1"/>
      <c r="R155" s="1"/>
      <c r="S155" s="1"/>
    </row>
    <row r="156" spans="1:19" x14ac:dyDescent="0.3">
      <c r="A156" s="20"/>
      <c r="B156" s="1"/>
      <c r="C156" s="1"/>
      <c r="D156" s="1"/>
      <c r="E156" s="1"/>
      <c r="F156" s="1"/>
      <c r="G156" s="1"/>
      <c r="H156" s="1"/>
      <c r="I156" s="1"/>
      <c r="J156" s="1"/>
      <c r="K156" s="1"/>
      <c r="L156" s="1"/>
      <c r="M156" s="1"/>
      <c r="N156" s="1"/>
      <c r="O156" s="1"/>
      <c r="P156" s="1"/>
      <c r="Q156" s="1"/>
      <c r="R156" s="1"/>
      <c r="S156" s="1"/>
    </row>
    <row r="157" spans="1:19" x14ac:dyDescent="0.3">
      <c r="A157" s="20"/>
      <c r="B157" s="1"/>
      <c r="C157" s="1"/>
      <c r="D157" s="1"/>
      <c r="E157" s="1"/>
      <c r="F157" s="1"/>
      <c r="G157" s="1"/>
      <c r="H157" s="1"/>
      <c r="I157" s="1"/>
      <c r="J157" s="1"/>
      <c r="K157" s="1"/>
      <c r="L157" s="1"/>
      <c r="M157" s="1"/>
      <c r="N157" s="1"/>
      <c r="O157" s="1"/>
      <c r="P157" s="1"/>
      <c r="Q157" s="1"/>
      <c r="R157" s="1"/>
      <c r="S157" s="1"/>
    </row>
    <row r="158" spans="1:19" x14ac:dyDescent="0.3">
      <c r="A158" s="20"/>
      <c r="B158" s="1"/>
      <c r="C158" s="1"/>
      <c r="D158" s="1"/>
      <c r="E158" s="1"/>
      <c r="F158" s="1"/>
      <c r="G158" s="1"/>
      <c r="H158" s="1"/>
      <c r="I158" s="1"/>
      <c r="J158" s="1"/>
      <c r="K158" s="1"/>
      <c r="L158" s="1"/>
      <c r="M158" s="1"/>
      <c r="N158" s="1"/>
      <c r="O158" s="1"/>
      <c r="P158" s="1"/>
      <c r="Q158" s="1"/>
      <c r="R158" s="1"/>
      <c r="S158" s="1"/>
    </row>
    <row r="159" spans="1:19" x14ac:dyDescent="0.3">
      <c r="A159" s="20"/>
      <c r="B159" s="1"/>
      <c r="C159" s="1"/>
      <c r="D159" s="1"/>
      <c r="E159" s="1"/>
      <c r="F159" s="1"/>
      <c r="G159" s="1"/>
      <c r="H159" s="1"/>
      <c r="I159" s="1"/>
      <c r="J159" s="1"/>
      <c r="K159" s="1"/>
      <c r="L159" s="1"/>
      <c r="M159" s="1"/>
      <c r="N159" s="1"/>
      <c r="O159" s="1"/>
      <c r="P159" s="1"/>
      <c r="Q159" s="1"/>
      <c r="R159" s="1"/>
      <c r="S159" s="1"/>
    </row>
    <row r="160" spans="1:19" x14ac:dyDescent="0.3">
      <c r="A160" s="20"/>
      <c r="B160" s="1"/>
      <c r="C160" s="1"/>
      <c r="D160" s="1"/>
      <c r="E160" s="1"/>
      <c r="F160" s="1"/>
      <c r="G160" s="1"/>
      <c r="H160" s="1"/>
      <c r="I160" s="1"/>
      <c r="J160" s="1"/>
      <c r="K160" s="1"/>
      <c r="L160" s="1"/>
      <c r="M160" s="1"/>
      <c r="N160" s="1"/>
      <c r="O160" s="1"/>
      <c r="P160" s="1"/>
      <c r="Q160" s="1"/>
      <c r="R160" s="1"/>
      <c r="S160" s="1"/>
    </row>
    <row r="161" spans="1:19" x14ac:dyDescent="0.3">
      <c r="A161" s="20"/>
      <c r="B161" s="1"/>
      <c r="C161" s="1"/>
      <c r="D161" s="1"/>
      <c r="E161" s="1"/>
      <c r="F161" s="1"/>
      <c r="G161" s="1"/>
      <c r="H161" s="1"/>
      <c r="I161" s="1"/>
      <c r="J161" s="1"/>
      <c r="K161" s="1"/>
      <c r="L161" s="1"/>
      <c r="M161" s="1"/>
      <c r="N161" s="1"/>
      <c r="O161" s="1"/>
      <c r="P161" s="1"/>
      <c r="Q161" s="1"/>
      <c r="R161" s="1"/>
      <c r="S161" s="1"/>
    </row>
    <row r="162" spans="1:19" x14ac:dyDescent="0.3">
      <c r="A162" s="20"/>
      <c r="B162" s="1"/>
      <c r="C162" s="1"/>
      <c r="D162" s="1"/>
      <c r="E162" s="1"/>
      <c r="F162" s="1"/>
      <c r="G162" s="1"/>
      <c r="H162" s="1"/>
      <c r="I162" s="1"/>
      <c r="J162" s="1"/>
      <c r="K162" s="1"/>
      <c r="L162" s="1"/>
      <c r="M162" s="1"/>
      <c r="N162" s="1"/>
      <c r="O162" s="1"/>
      <c r="P162" s="1"/>
      <c r="Q162" s="1"/>
      <c r="R162" s="1"/>
      <c r="S162" s="1"/>
    </row>
    <row r="163" spans="1:19" x14ac:dyDescent="0.3">
      <c r="A163" s="20"/>
      <c r="B163" s="1"/>
      <c r="C163" s="1"/>
      <c r="D163" s="1"/>
      <c r="E163" s="1"/>
      <c r="F163" s="1"/>
      <c r="G163" s="1"/>
      <c r="H163" s="1"/>
      <c r="I163" s="1"/>
      <c r="J163" s="1"/>
      <c r="K163" s="1"/>
      <c r="L163" s="1"/>
      <c r="M163" s="1"/>
      <c r="N163" s="1"/>
      <c r="O163" s="1"/>
      <c r="P163" s="1"/>
      <c r="Q163" s="1"/>
      <c r="R163" s="1"/>
      <c r="S163" s="1"/>
    </row>
    <row r="164" spans="1:19" x14ac:dyDescent="0.3">
      <c r="A164" s="20"/>
      <c r="B164" s="1"/>
      <c r="C164" s="1"/>
      <c r="D164" s="1"/>
      <c r="E164" s="1"/>
      <c r="F164" s="1"/>
      <c r="G164" s="1"/>
      <c r="H164" s="1"/>
      <c r="I164" s="1"/>
      <c r="J164" s="1"/>
      <c r="K164" s="1"/>
      <c r="L164" s="1"/>
      <c r="M164" s="1"/>
      <c r="N164" s="1"/>
      <c r="O164" s="1"/>
      <c r="P164" s="1"/>
      <c r="Q164" s="1"/>
      <c r="R164" s="1"/>
      <c r="S164" s="1"/>
    </row>
    <row r="165" spans="1:19" x14ac:dyDescent="0.3">
      <c r="A165" s="20"/>
      <c r="B165" s="1"/>
      <c r="C165" s="1"/>
      <c r="D165" s="1"/>
      <c r="E165" s="1"/>
      <c r="F165" s="1"/>
      <c r="G165" s="1"/>
      <c r="H165" s="1"/>
      <c r="I165" s="1"/>
      <c r="J165" s="1"/>
      <c r="K165" s="1"/>
      <c r="L165" s="1"/>
      <c r="M165" s="1"/>
      <c r="N165" s="1"/>
      <c r="O165" s="1"/>
      <c r="P165" s="1"/>
      <c r="Q165" s="1"/>
      <c r="R165" s="1"/>
      <c r="S165" s="1"/>
    </row>
    <row r="166" spans="1:19" x14ac:dyDescent="0.3">
      <c r="A166" s="20"/>
      <c r="B166" s="1"/>
      <c r="C166" s="1"/>
      <c r="D166" s="1"/>
      <c r="E166" s="1"/>
      <c r="F166" s="1"/>
      <c r="G166" s="1"/>
      <c r="H166" s="1"/>
      <c r="I166" s="1"/>
      <c r="J166" s="1"/>
      <c r="K166" s="1"/>
      <c r="L166" s="1"/>
      <c r="M166" s="1"/>
      <c r="N166" s="1"/>
      <c r="O166" s="1"/>
      <c r="P166" s="1"/>
      <c r="Q166" s="1"/>
      <c r="R166" s="1"/>
      <c r="S166" s="1"/>
    </row>
    <row r="167" spans="1:19" x14ac:dyDescent="0.3">
      <c r="A167" s="20"/>
      <c r="B167" s="1"/>
      <c r="C167" s="1"/>
      <c r="D167" s="1"/>
      <c r="E167" s="1"/>
      <c r="F167" s="1"/>
      <c r="G167" s="1"/>
      <c r="H167" s="1"/>
      <c r="I167" s="1"/>
      <c r="J167" s="1"/>
      <c r="K167" s="1"/>
      <c r="L167" s="1"/>
      <c r="M167" s="1"/>
      <c r="N167" s="1"/>
      <c r="O167" s="1"/>
      <c r="P167" s="1"/>
      <c r="Q167" s="1"/>
      <c r="R167" s="1"/>
      <c r="S167" s="1"/>
    </row>
    <row r="168" spans="1:19" x14ac:dyDescent="0.3">
      <c r="A168" s="20"/>
      <c r="B168" s="1"/>
      <c r="C168" s="1"/>
      <c r="D168" s="1"/>
      <c r="E168" s="1"/>
      <c r="F168" s="1"/>
      <c r="G168" s="1"/>
      <c r="H168" s="1"/>
      <c r="I168" s="1"/>
      <c r="J168" s="1"/>
      <c r="K168" s="1"/>
      <c r="L168" s="1"/>
      <c r="M168" s="1"/>
      <c r="N168" s="1"/>
      <c r="O168" s="1"/>
      <c r="P168" s="1"/>
      <c r="Q168" s="1"/>
      <c r="R168" s="1"/>
      <c r="S168" s="1"/>
    </row>
    <row r="169" spans="1:19" x14ac:dyDescent="0.3">
      <c r="A169" s="20"/>
      <c r="B169" s="1"/>
      <c r="C169" s="1"/>
      <c r="D169" s="1"/>
      <c r="E169" s="1"/>
      <c r="F169" s="1"/>
      <c r="G169" s="1"/>
      <c r="H169" s="1"/>
      <c r="I169" s="1"/>
      <c r="J169" s="1"/>
      <c r="K169" s="1"/>
      <c r="L169" s="1"/>
      <c r="M169" s="1"/>
      <c r="N169" s="1"/>
      <c r="O169" s="1"/>
      <c r="P169" s="1"/>
      <c r="Q169" s="1"/>
      <c r="R169" s="1"/>
      <c r="S169" s="1"/>
    </row>
    <row r="170" spans="1:19" x14ac:dyDescent="0.3">
      <c r="A170" s="20"/>
      <c r="B170" s="1"/>
      <c r="C170" s="1"/>
      <c r="D170" s="1"/>
      <c r="E170" s="1"/>
      <c r="F170" s="1"/>
      <c r="G170" s="1"/>
      <c r="H170" s="1"/>
      <c r="I170" s="1"/>
      <c r="J170" s="1"/>
      <c r="K170" s="1"/>
      <c r="L170" s="1"/>
      <c r="M170" s="1"/>
      <c r="N170" s="1"/>
      <c r="O170" s="1"/>
      <c r="P170" s="1"/>
      <c r="Q170" s="1"/>
      <c r="R170" s="1"/>
      <c r="S170" s="1"/>
    </row>
    <row r="171" spans="1:19" x14ac:dyDescent="0.3">
      <c r="A171" s="20"/>
      <c r="B171" s="1"/>
      <c r="C171" s="1"/>
      <c r="D171" s="1"/>
      <c r="E171" s="1"/>
      <c r="F171" s="1"/>
      <c r="G171" s="1"/>
      <c r="H171" s="1"/>
      <c r="I171" s="1"/>
      <c r="J171" s="1"/>
      <c r="K171" s="1"/>
      <c r="L171" s="1"/>
      <c r="M171" s="1"/>
      <c r="N171" s="1"/>
      <c r="O171" s="1"/>
      <c r="P171" s="1"/>
      <c r="Q171" s="1"/>
      <c r="R171" s="1"/>
      <c r="S171" s="1"/>
    </row>
    <row r="172" spans="1:19" x14ac:dyDescent="0.3">
      <c r="A172" s="20"/>
      <c r="B172" s="1"/>
      <c r="C172" s="1"/>
      <c r="D172" s="1"/>
      <c r="E172" s="1"/>
      <c r="F172" s="1"/>
      <c r="G172" s="1"/>
      <c r="H172" s="1"/>
      <c r="I172" s="1"/>
      <c r="J172" s="1"/>
      <c r="K172" s="1"/>
      <c r="L172" s="1"/>
      <c r="M172" s="1"/>
      <c r="N172" s="1"/>
      <c r="O172" s="1"/>
      <c r="P172" s="1"/>
      <c r="Q172" s="1"/>
      <c r="R172" s="1"/>
      <c r="S172" s="1"/>
    </row>
    <row r="173" spans="1:19" x14ac:dyDescent="0.3">
      <c r="A173" s="20"/>
      <c r="B173" s="1"/>
      <c r="C173" s="1"/>
      <c r="D173" s="1"/>
      <c r="E173" s="1"/>
      <c r="F173" s="1"/>
      <c r="G173" s="1"/>
      <c r="H173" s="1"/>
      <c r="I173" s="1"/>
      <c r="J173" s="1"/>
      <c r="K173" s="1"/>
      <c r="L173" s="1"/>
      <c r="M173" s="1"/>
      <c r="N173" s="1"/>
      <c r="O173" s="1"/>
      <c r="P173" s="1"/>
      <c r="Q173" s="1"/>
      <c r="R173" s="1"/>
      <c r="S173" s="1"/>
    </row>
    <row r="174" spans="1:19" x14ac:dyDescent="0.3">
      <c r="A174" s="20"/>
      <c r="B174" s="1"/>
      <c r="C174" s="1"/>
      <c r="D174" s="1"/>
      <c r="E174" s="1"/>
      <c r="F174" s="1"/>
      <c r="G174" s="1"/>
      <c r="H174" s="1"/>
      <c r="I174" s="1"/>
      <c r="J174" s="1"/>
      <c r="K174" s="1"/>
      <c r="L174" s="1"/>
      <c r="M174" s="1"/>
      <c r="N174" s="1"/>
      <c r="O174" s="1"/>
      <c r="P174" s="1"/>
      <c r="Q174" s="1"/>
      <c r="R174" s="1"/>
      <c r="S174" s="1"/>
    </row>
    <row r="175" spans="1:19" x14ac:dyDescent="0.3">
      <c r="A175" s="20"/>
      <c r="B175" s="1"/>
      <c r="C175" s="1"/>
      <c r="D175" s="1"/>
      <c r="E175" s="1"/>
      <c r="F175" s="1"/>
      <c r="G175" s="1"/>
      <c r="H175" s="1"/>
      <c r="I175" s="1"/>
      <c r="J175" s="1"/>
      <c r="K175" s="1"/>
      <c r="L175" s="1"/>
      <c r="M175" s="1"/>
      <c r="N175" s="1"/>
      <c r="O175" s="1"/>
      <c r="P175" s="1"/>
      <c r="Q175" s="1"/>
      <c r="R175" s="1"/>
      <c r="S175" s="1"/>
    </row>
    <row r="176" spans="1:19" x14ac:dyDescent="0.3">
      <c r="A176" s="20"/>
      <c r="B176" s="1"/>
      <c r="C176" s="1"/>
      <c r="D176" s="1"/>
      <c r="E176" s="1"/>
      <c r="F176" s="1"/>
      <c r="G176" s="1"/>
      <c r="H176" s="1"/>
      <c r="I176" s="1"/>
      <c r="J176" s="1"/>
      <c r="K176" s="1"/>
      <c r="L176" s="1"/>
      <c r="M176" s="1"/>
      <c r="N176" s="1"/>
      <c r="O176" s="1"/>
      <c r="P176" s="1"/>
      <c r="Q176" s="1"/>
      <c r="R176" s="1"/>
      <c r="S176" s="1"/>
    </row>
    <row r="177" spans="1:19" x14ac:dyDescent="0.3">
      <c r="A177" s="20"/>
      <c r="B177" s="1"/>
      <c r="C177" s="1"/>
      <c r="D177" s="1"/>
      <c r="E177" s="1"/>
      <c r="F177" s="1"/>
      <c r="G177" s="1"/>
      <c r="H177" s="1"/>
      <c r="I177" s="1"/>
      <c r="J177" s="1"/>
      <c r="K177" s="1"/>
      <c r="L177" s="1"/>
      <c r="M177" s="1"/>
      <c r="N177" s="1"/>
      <c r="O177" s="1"/>
      <c r="P177" s="1"/>
      <c r="Q177" s="1"/>
      <c r="R177" s="1"/>
      <c r="S177" s="1"/>
    </row>
    <row r="178" spans="1:19" x14ac:dyDescent="0.3">
      <c r="A178" s="20"/>
      <c r="B178" s="1"/>
      <c r="C178" s="1"/>
      <c r="D178" s="1"/>
      <c r="E178" s="1"/>
      <c r="F178" s="1"/>
      <c r="G178" s="1"/>
      <c r="H178" s="1"/>
      <c r="I178" s="1"/>
      <c r="J178" s="1"/>
      <c r="K178" s="1"/>
      <c r="L178" s="1"/>
      <c r="M178" s="1"/>
      <c r="N178" s="1"/>
      <c r="O178" s="1"/>
      <c r="P178" s="1"/>
      <c r="Q178" s="1"/>
      <c r="R178" s="1"/>
      <c r="S178" s="1"/>
    </row>
    <row r="179" spans="1:19" x14ac:dyDescent="0.3">
      <c r="A179" s="20"/>
      <c r="B179" s="1"/>
      <c r="C179" s="1"/>
      <c r="D179" s="1"/>
      <c r="E179" s="1"/>
      <c r="F179" s="1"/>
      <c r="G179" s="1"/>
      <c r="H179" s="1"/>
      <c r="I179" s="1"/>
      <c r="J179" s="1"/>
      <c r="K179" s="1"/>
      <c r="L179" s="1"/>
      <c r="M179" s="1"/>
      <c r="N179" s="1"/>
      <c r="O179" s="1"/>
      <c r="P179" s="1"/>
      <c r="Q179" s="1"/>
      <c r="R179" s="1"/>
      <c r="S179" s="1"/>
    </row>
    <row r="180" spans="1:19" x14ac:dyDescent="0.3">
      <c r="A180" s="20"/>
      <c r="B180" s="1"/>
      <c r="C180" s="1"/>
      <c r="D180" s="1"/>
      <c r="E180" s="1"/>
      <c r="F180" s="1"/>
      <c r="G180" s="1"/>
      <c r="H180" s="1"/>
      <c r="I180" s="1"/>
      <c r="J180" s="1"/>
      <c r="K180" s="1"/>
      <c r="L180" s="1"/>
      <c r="M180" s="1"/>
      <c r="N180" s="1"/>
      <c r="O180" s="1"/>
      <c r="P180" s="1"/>
      <c r="Q180" s="1"/>
      <c r="R180" s="1"/>
      <c r="S180" s="1"/>
    </row>
    <row r="181" spans="1:19" x14ac:dyDescent="0.3">
      <c r="A181" s="20"/>
      <c r="B181" s="1"/>
      <c r="C181" s="1"/>
      <c r="D181" s="1"/>
      <c r="E181" s="1"/>
      <c r="F181" s="1"/>
      <c r="G181" s="1"/>
      <c r="H181" s="1"/>
      <c r="I181" s="1"/>
      <c r="J181" s="1"/>
      <c r="K181" s="1"/>
      <c r="L181" s="1"/>
      <c r="M181" s="1"/>
      <c r="N181" s="1"/>
      <c r="O181" s="1"/>
      <c r="P181" s="1"/>
      <c r="Q181" s="1"/>
      <c r="R181" s="1"/>
      <c r="S181" s="1"/>
    </row>
    <row r="182" spans="1:19" x14ac:dyDescent="0.3">
      <c r="A182" s="20"/>
      <c r="B182" s="1"/>
      <c r="C182" s="1"/>
      <c r="D182" s="1"/>
      <c r="E182" s="1"/>
      <c r="F182" s="1"/>
      <c r="G182" s="1"/>
      <c r="H182" s="1"/>
      <c r="I182" s="1"/>
      <c r="J182" s="1"/>
      <c r="K182" s="1"/>
      <c r="L182" s="1"/>
      <c r="M182" s="1"/>
      <c r="N182" s="1"/>
      <c r="O182" s="1"/>
      <c r="P182" s="1"/>
      <c r="Q182" s="1"/>
      <c r="R182" s="1"/>
      <c r="S182" s="1"/>
    </row>
    <row r="183" spans="1:19" x14ac:dyDescent="0.3">
      <c r="A183" s="20"/>
      <c r="B183" s="1"/>
      <c r="C183" s="1"/>
      <c r="D183" s="1"/>
      <c r="E183" s="1"/>
      <c r="F183" s="1"/>
      <c r="G183" s="1"/>
      <c r="H183" s="1"/>
      <c r="I183" s="1"/>
      <c r="J183" s="1"/>
      <c r="K183" s="1"/>
      <c r="L183" s="1"/>
      <c r="M183" s="1"/>
      <c r="N183" s="1"/>
      <c r="O183" s="1"/>
      <c r="P183" s="1"/>
      <c r="Q183" s="1"/>
      <c r="R183" s="1"/>
      <c r="S183" s="1"/>
    </row>
    <row r="184" spans="1:19" x14ac:dyDescent="0.3">
      <c r="A184" s="20"/>
      <c r="B184" s="1"/>
      <c r="C184" s="1"/>
      <c r="D184" s="1"/>
      <c r="E184" s="1"/>
      <c r="F184" s="1"/>
      <c r="G184" s="1"/>
      <c r="H184" s="1"/>
      <c r="I184" s="1"/>
      <c r="J184" s="1"/>
      <c r="K184" s="1"/>
      <c r="L184" s="1"/>
      <c r="M184" s="1"/>
      <c r="N184" s="1"/>
      <c r="O184" s="1"/>
      <c r="P184" s="1"/>
      <c r="Q184" s="1"/>
      <c r="R184" s="1"/>
      <c r="S184" s="1"/>
    </row>
    <row r="185" spans="1:19" x14ac:dyDescent="0.3">
      <c r="A185" s="20"/>
      <c r="B185" s="1"/>
      <c r="C185" s="1"/>
      <c r="D185" s="1"/>
      <c r="E185" s="1"/>
      <c r="F185" s="1"/>
      <c r="G185" s="1"/>
      <c r="H185" s="1"/>
      <c r="I185" s="1"/>
      <c r="J185" s="1"/>
      <c r="K185" s="1"/>
      <c r="L185" s="1"/>
      <c r="M185" s="1"/>
      <c r="N185" s="1"/>
      <c r="O185" s="1"/>
      <c r="P185" s="1"/>
      <c r="Q185" s="1"/>
      <c r="R185" s="1"/>
      <c r="S185" s="1"/>
    </row>
    <row r="186" spans="1:19" x14ac:dyDescent="0.3">
      <c r="A186" s="20"/>
      <c r="B186" s="1"/>
      <c r="C186" s="1"/>
      <c r="D186" s="1"/>
      <c r="E186" s="1"/>
      <c r="F186" s="1"/>
      <c r="G186" s="1"/>
      <c r="H186" s="1"/>
      <c r="I186" s="1"/>
      <c r="J186" s="1"/>
      <c r="K186" s="1"/>
      <c r="L186" s="1"/>
      <c r="M186" s="1"/>
      <c r="N186" s="1"/>
      <c r="O186" s="1"/>
      <c r="P186" s="1"/>
      <c r="Q186" s="1"/>
      <c r="R186" s="1"/>
      <c r="S186" s="1"/>
    </row>
    <row r="187" spans="1:19" x14ac:dyDescent="0.3">
      <c r="A187" s="20"/>
      <c r="B187" s="1"/>
      <c r="C187" s="1"/>
      <c r="D187" s="1"/>
      <c r="E187" s="1"/>
      <c r="F187" s="1"/>
      <c r="G187" s="1"/>
      <c r="H187" s="1"/>
      <c r="I187" s="1"/>
      <c r="J187" s="1"/>
      <c r="K187" s="1"/>
      <c r="L187" s="1"/>
      <c r="M187" s="1"/>
      <c r="N187" s="1"/>
      <c r="O187" s="1"/>
      <c r="P187" s="1"/>
      <c r="Q187" s="1"/>
      <c r="R187" s="1"/>
      <c r="S187" s="1"/>
    </row>
    <row r="188" spans="1:19" x14ac:dyDescent="0.3">
      <c r="A188" s="20"/>
      <c r="B188" s="1"/>
      <c r="C188" s="1"/>
      <c r="D188" s="1"/>
      <c r="E188" s="1"/>
      <c r="F188" s="1"/>
      <c r="G188" s="1"/>
      <c r="H188" s="1"/>
      <c r="I188" s="1"/>
      <c r="J188" s="1"/>
      <c r="K188" s="1"/>
      <c r="L188" s="1"/>
      <c r="M188" s="1"/>
      <c r="N188" s="1"/>
      <c r="O188" s="1"/>
      <c r="P188" s="1"/>
      <c r="Q188" s="1"/>
      <c r="R188" s="1"/>
      <c r="S188" s="1"/>
    </row>
    <row r="189" spans="1:19" x14ac:dyDescent="0.3">
      <c r="A189" s="20"/>
      <c r="B189" s="1"/>
      <c r="C189" s="1"/>
      <c r="D189" s="1"/>
      <c r="E189" s="1"/>
      <c r="F189" s="1"/>
      <c r="G189" s="1"/>
      <c r="H189" s="1"/>
      <c r="I189" s="1"/>
      <c r="J189" s="1"/>
      <c r="K189" s="1"/>
      <c r="L189" s="1"/>
      <c r="M189" s="1"/>
      <c r="N189" s="1"/>
      <c r="O189" s="1"/>
      <c r="P189" s="1"/>
      <c r="Q189" s="1"/>
      <c r="R189" s="1"/>
      <c r="S189" s="1"/>
    </row>
    <row r="190" spans="1:19" x14ac:dyDescent="0.3">
      <c r="A190" s="20"/>
      <c r="B190" s="1"/>
      <c r="C190" s="1"/>
      <c r="D190" s="1"/>
      <c r="E190" s="1"/>
      <c r="F190" s="1"/>
      <c r="G190" s="1"/>
      <c r="H190" s="1"/>
      <c r="I190" s="1"/>
      <c r="J190" s="1"/>
      <c r="K190" s="1"/>
      <c r="L190" s="1"/>
      <c r="M190" s="1"/>
      <c r="N190" s="1"/>
      <c r="O190" s="1"/>
      <c r="P190" s="1"/>
      <c r="Q190" s="1"/>
      <c r="R190" s="1"/>
      <c r="S190" s="1"/>
    </row>
    <row r="191" spans="1:19" x14ac:dyDescent="0.3">
      <c r="A191" s="20"/>
      <c r="B191" s="1"/>
      <c r="C191" s="1"/>
      <c r="D191" s="1"/>
      <c r="E191" s="1"/>
      <c r="F191" s="1"/>
      <c r="G191" s="1"/>
      <c r="H191" s="1"/>
      <c r="I191" s="1"/>
      <c r="J191" s="1"/>
      <c r="K191" s="1"/>
      <c r="L191" s="1"/>
      <c r="M191" s="1"/>
      <c r="N191" s="1"/>
      <c r="O191" s="1"/>
      <c r="P191" s="1"/>
      <c r="Q191" s="1"/>
      <c r="R191" s="1"/>
      <c r="S191" s="1"/>
    </row>
    <row r="192" spans="1:19" x14ac:dyDescent="0.3">
      <c r="A192" s="20"/>
      <c r="B192" s="1"/>
      <c r="C192" s="1"/>
      <c r="D192" s="1"/>
      <c r="E192" s="1"/>
      <c r="F192" s="1"/>
      <c r="G192" s="1"/>
      <c r="H192" s="1"/>
      <c r="I192" s="1"/>
      <c r="J192" s="1"/>
      <c r="K192" s="1"/>
      <c r="L192" s="1"/>
      <c r="M192" s="1"/>
      <c r="N192" s="1"/>
      <c r="O192" s="1"/>
      <c r="P192" s="1"/>
      <c r="Q192" s="1"/>
      <c r="R192" s="1"/>
      <c r="S192" s="1"/>
    </row>
    <row r="193" spans="1:19" x14ac:dyDescent="0.3">
      <c r="A193" s="20"/>
      <c r="B193" s="1"/>
      <c r="C193" s="1"/>
      <c r="D193" s="1"/>
      <c r="E193" s="1"/>
      <c r="F193" s="1"/>
      <c r="G193" s="1"/>
      <c r="H193" s="1"/>
      <c r="I193" s="1"/>
      <c r="J193" s="1"/>
      <c r="K193" s="1"/>
      <c r="L193" s="1"/>
      <c r="M193" s="1"/>
      <c r="N193" s="1"/>
      <c r="O193" s="1"/>
      <c r="P193" s="1"/>
      <c r="Q193" s="1"/>
      <c r="R193" s="1"/>
      <c r="S193" s="1"/>
    </row>
  </sheetData>
  <mergeCells count="14">
    <mergeCell ref="A54:I54"/>
    <mergeCell ref="B42:D42"/>
    <mergeCell ref="A50:J50"/>
    <mergeCell ref="N50:Q50"/>
    <mergeCell ref="A51:I51"/>
    <mergeCell ref="A52:I52"/>
    <mergeCell ref="A53:I53"/>
    <mergeCell ref="A1:F1"/>
    <mergeCell ref="G1:H1"/>
    <mergeCell ref="A6:I6"/>
    <mergeCell ref="N6:Q7"/>
    <mergeCell ref="A7:A9"/>
    <mergeCell ref="B7:D8"/>
    <mergeCell ref="O8:Q8"/>
  </mergeCells>
  <conditionalFormatting sqref="C44 C47:C48 C10:D41 P10:Q48">
    <cfRule type="cellIs" dxfId="23" priority="7" operator="lessThan">
      <formula>0</formula>
    </cfRule>
    <cfRule type="cellIs" dxfId="22" priority="8" operator="greaterThan">
      <formula>0</formula>
    </cfRule>
  </conditionalFormatting>
  <conditionalFormatting sqref="B47:B48 B44 B10:B41">
    <cfRule type="colorScale" priority="6">
      <colorScale>
        <cfvo type="num" val="-40000"/>
        <cfvo type="num" val="0"/>
        <cfvo type="num" val="40000"/>
        <color rgb="FFF8696B"/>
        <color rgb="FFFCFCFF"/>
        <color rgb="FF5A8AC6"/>
      </colorScale>
    </cfRule>
  </conditionalFormatting>
  <conditionalFormatting sqref="O10:O48">
    <cfRule type="colorScale" priority="5">
      <colorScale>
        <cfvo type="num" val="-100"/>
        <cfvo type="num" val="0"/>
        <cfvo type="num" val="100"/>
        <color rgb="FFF8696B"/>
        <color rgb="FFFCFCFF"/>
        <color rgb="FF5A8AC6"/>
      </colorScale>
    </cfRule>
  </conditionalFormatting>
  <conditionalFormatting sqref="F3">
    <cfRule type="cellIs" dxfId="21" priority="3" operator="lessThan">
      <formula>0.55</formula>
    </cfRule>
    <cfRule type="cellIs" dxfId="20" priority="4" operator="greaterThan">
      <formula>0.6</formula>
    </cfRule>
  </conditionalFormatting>
  <conditionalFormatting sqref="D44 D47:D48">
    <cfRule type="cellIs" dxfId="19" priority="1" operator="lessThan">
      <formula>0</formula>
    </cfRule>
    <cfRule type="cellIs" dxfId="18" priority="2" operator="greaterThan">
      <formula>0</formula>
    </cfRule>
  </conditionalFormatting>
  <pageMargins left="0.70866141732283472" right="0.70866141732283472" top="0.59055118110236227" bottom="0.39370078740157483" header="0.31496062992125984" footer="0.31496062992125984"/>
  <pageSetup paperSize="9" scale="20" fitToHeight="0" orientation="portrait" r:id="rId1"/>
  <rowBreaks count="1" manualBreakCount="1">
    <brk id="47" max="10"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193"/>
  <sheetViews>
    <sheetView view="pageBreakPreview" topLeftCell="A11" zoomScale="80" zoomScaleNormal="70" zoomScaleSheetLayoutView="80" workbookViewId="0">
      <selection activeCell="C38" sqref="C14:C38"/>
    </sheetView>
  </sheetViews>
  <sheetFormatPr baseColWidth="10" defaultRowHeight="14.4" x14ac:dyDescent="0.3"/>
  <cols>
    <col min="1" max="1" width="11.44140625" style="18"/>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80.25" customHeight="1" x14ac:dyDescent="0.3">
      <c r="A1" s="111" t="s">
        <v>101</v>
      </c>
      <c r="B1" s="112"/>
      <c r="C1" s="112"/>
      <c r="D1" s="112"/>
      <c r="E1" s="112"/>
      <c r="F1" s="112"/>
      <c r="G1" s="113">
        <f>Ueberhaenge!G1</f>
        <v>45222</v>
      </c>
      <c r="H1" s="113"/>
      <c r="I1" s="55"/>
      <c r="J1" s="59"/>
      <c r="K1" s="59"/>
    </row>
    <row r="2" spans="1:22" ht="21" customHeight="1" x14ac:dyDescent="0.3">
      <c r="A2" s="61"/>
      <c r="B2" s="62"/>
      <c r="C2" s="62"/>
      <c r="D2" s="62"/>
      <c r="E2" s="62"/>
      <c r="F2" s="62"/>
      <c r="G2" s="62"/>
      <c r="H2" s="62"/>
      <c r="I2" s="62"/>
      <c r="J2" s="62"/>
      <c r="K2" s="62"/>
    </row>
    <row r="3" spans="1:22" ht="18" x14ac:dyDescent="0.35">
      <c r="A3" s="63" t="s">
        <v>27</v>
      </c>
      <c r="B3" s="62"/>
      <c r="C3" s="65">
        <f>Ueberhaenge!G2</f>
        <v>25</v>
      </c>
      <c r="D3" s="62"/>
      <c r="E3" s="64" t="s">
        <v>31</v>
      </c>
      <c r="F3" s="64">
        <v>1</v>
      </c>
      <c r="G3" s="62"/>
      <c r="H3" s="39" t="str">
        <f>IF(F3&lt;0.9,"",IF(STOXX_Infos!T34="klein","Heute kleiner Verfall","Heute großer Verfall"))</f>
        <v>Heute kleiner Verfall</v>
      </c>
      <c r="I3" s="67"/>
      <c r="J3" s="62"/>
      <c r="K3" s="62"/>
    </row>
    <row r="4" spans="1:22" x14ac:dyDescent="0.3">
      <c r="A4" s="61"/>
      <c r="B4" s="62"/>
      <c r="C4" s="62"/>
      <c r="D4" s="62"/>
      <c r="E4" s="62"/>
      <c r="F4" s="62"/>
      <c r="G4" s="62"/>
      <c r="H4" s="62"/>
      <c r="I4" s="62"/>
      <c r="J4" s="62"/>
      <c r="K4" s="62"/>
      <c r="L4" s="1"/>
      <c r="M4" s="1"/>
      <c r="N4" s="1"/>
      <c r="O4" s="1"/>
      <c r="P4" s="1"/>
      <c r="Q4" s="1"/>
      <c r="R4" s="1"/>
      <c r="S4" s="1"/>
    </row>
    <row r="5" spans="1:22" ht="5.25" customHeight="1" x14ac:dyDescent="0.3">
      <c r="A5" s="61"/>
      <c r="B5" s="62"/>
      <c r="C5" s="62"/>
      <c r="D5" s="62"/>
      <c r="E5" s="62"/>
      <c r="F5" s="62"/>
      <c r="G5" s="62"/>
      <c r="H5" s="62"/>
      <c r="I5" s="62"/>
      <c r="J5" s="62"/>
      <c r="K5" s="62"/>
      <c r="L5" s="1"/>
      <c r="M5" s="1"/>
      <c r="N5" s="1"/>
      <c r="O5" s="1"/>
      <c r="P5" s="1"/>
      <c r="Q5" s="1"/>
      <c r="R5" s="1"/>
      <c r="S5" s="1"/>
    </row>
    <row r="6" spans="1:22" ht="63.75" customHeight="1" thickBot="1" x14ac:dyDescent="0.35">
      <c r="A6" s="114" t="s">
        <v>104</v>
      </c>
      <c r="B6" s="115"/>
      <c r="C6" s="115"/>
      <c r="D6" s="115"/>
      <c r="E6" s="115"/>
      <c r="F6" s="115"/>
      <c r="G6" s="115"/>
      <c r="H6" s="115"/>
      <c r="I6" s="115"/>
      <c r="J6" s="59"/>
      <c r="K6" s="59"/>
      <c r="L6" s="1"/>
      <c r="M6" s="1"/>
      <c r="N6" s="116" t="s">
        <v>32</v>
      </c>
      <c r="O6" s="116"/>
      <c r="P6" s="116"/>
      <c r="Q6" s="116"/>
      <c r="R6" s="1"/>
      <c r="S6" s="1"/>
    </row>
    <row r="7" spans="1:22" ht="32.25" customHeight="1" thickBot="1" x14ac:dyDescent="0.65">
      <c r="A7" s="117" t="s">
        <v>1</v>
      </c>
      <c r="B7" s="120" t="str">
        <f xml:space="preserve"> "Front: " &amp; Ueberhaenge!D8</f>
        <v>Front: 2023-11</v>
      </c>
      <c r="C7" s="121"/>
      <c r="D7" s="122"/>
      <c r="E7" s="58"/>
      <c r="F7" s="58"/>
      <c r="G7" s="58"/>
      <c r="H7" s="59"/>
      <c r="I7" s="59"/>
      <c r="J7" s="59"/>
      <c r="K7" s="59"/>
      <c r="L7" s="1"/>
      <c r="M7" s="1"/>
      <c r="N7" s="116"/>
      <c r="O7" s="116"/>
      <c r="P7" s="116"/>
      <c r="Q7" s="116"/>
      <c r="R7" s="38"/>
      <c r="S7" s="38"/>
      <c r="T7" s="37"/>
      <c r="U7" s="37"/>
      <c r="V7" s="37"/>
    </row>
    <row r="8" spans="1:22" ht="21.6" thickBot="1" x14ac:dyDescent="0.45">
      <c r="A8" s="118"/>
      <c r="B8" s="123"/>
      <c r="C8" s="124"/>
      <c r="D8" s="125"/>
      <c r="E8" s="60"/>
      <c r="F8" s="59"/>
      <c r="G8" s="59"/>
      <c r="H8" s="59"/>
      <c r="I8" s="59"/>
      <c r="J8" s="59"/>
      <c r="K8" s="59"/>
      <c r="L8" s="1"/>
      <c r="M8" s="1"/>
      <c r="N8" s="35"/>
      <c r="O8" s="126" t="str">
        <f xml:space="preserve"> "Summe: " &amp; Ueberhaenge!D8 &amp; " bis " &amp; Ueberhaenge!I8</f>
        <v>Summe: 2023-11 bis -</v>
      </c>
      <c r="P8" s="127"/>
      <c r="Q8" s="128"/>
      <c r="R8" s="1"/>
      <c r="S8" s="1"/>
    </row>
    <row r="9" spans="1:22" ht="18.600000000000001" thickBot="1" x14ac:dyDescent="0.4">
      <c r="A9" s="119"/>
      <c r="B9" s="56" t="s">
        <v>26</v>
      </c>
      <c r="C9" s="57">
        <f>Ueberhaenge!G5</f>
        <v>45222</v>
      </c>
      <c r="D9" s="57">
        <f>IF(WEEKDAY(C9,2)=1,C9-3,C9-1)</f>
        <v>45219</v>
      </c>
      <c r="E9" s="60"/>
      <c r="F9" s="59"/>
      <c r="G9" s="59"/>
      <c r="H9" s="59"/>
      <c r="I9" s="59"/>
      <c r="J9" s="59"/>
      <c r="K9" s="59"/>
      <c r="L9" s="1"/>
      <c r="M9" s="1"/>
      <c r="N9" s="36" t="s">
        <v>1</v>
      </c>
      <c r="O9" s="22" t="s">
        <v>26</v>
      </c>
      <c r="P9" s="21">
        <f>C9</f>
        <v>45222</v>
      </c>
      <c r="Q9" s="21">
        <f>D9</f>
        <v>45219</v>
      </c>
      <c r="R9" s="1"/>
      <c r="S9" s="1"/>
    </row>
    <row r="10" spans="1:22" ht="23.1" customHeight="1" x14ac:dyDescent="0.35">
      <c r="A10" s="26">
        <v>4650</v>
      </c>
      <c r="B10" s="27">
        <v>0</v>
      </c>
      <c r="C10" s="28">
        <v>-24131</v>
      </c>
      <c r="D10" s="28">
        <v>-12065.5</v>
      </c>
      <c r="E10" s="1"/>
      <c r="F10" s="1"/>
      <c r="G10" s="1"/>
      <c r="H10" s="1"/>
      <c r="I10" s="1"/>
      <c r="J10" s="1"/>
      <c r="K10" s="1"/>
      <c r="L10" s="1"/>
      <c r="M10" s="1"/>
      <c r="N10" s="26">
        <v>4650</v>
      </c>
      <c r="O10" s="29">
        <v>-13479</v>
      </c>
      <c r="P10" s="30">
        <v>-26958</v>
      </c>
      <c r="Q10" s="31">
        <v>-13479</v>
      </c>
      <c r="R10" s="1"/>
      <c r="S10" s="1"/>
      <c r="T10" s="23">
        <v>-13479</v>
      </c>
    </row>
    <row r="11" spans="1:22" ht="23.1" customHeight="1" x14ac:dyDescent="0.35">
      <c r="A11" s="26">
        <v>4625</v>
      </c>
      <c r="B11" s="29">
        <v>0</v>
      </c>
      <c r="C11" s="30">
        <v>-4382</v>
      </c>
      <c r="D11" s="30">
        <v>-2191</v>
      </c>
      <c r="E11" s="1"/>
      <c r="F11" s="1"/>
      <c r="G11" s="1"/>
      <c r="H11" s="1"/>
      <c r="I11" s="1"/>
      <c r="J11" s="1"/>
      <c r="K11" s="1"/>
      <c r="L11" s="1"/>
      <c r="M11" s="1"/>
      <c r="N11" s="26">
        <v>4625</v>
      </c>
      <c r="O11" s="29">
        <v>-3027.5</v>
      </c>
      <c r="P11" s="30">
        <v>-6049</v>
      </c>
      <c r="Q11" s="31">
        <v>-3021.5</v>
      </c>
      <c r="R11" s="1"/>
      <c r="S11" s="1"/>
      <c r="T11" s="23">
        <v>-3021.5</v>
      </c>
    </row>
    <row r="12" spans="1:22" ht="23.1" customHeight="1" x14ac:dyDescent="0.35">
      <c r="A12" s="26">
        <v>4600</v>
      </c>
      <c r="B12" s="29">
        <v>0</v>
      </c>
      <c r="C12" s="30">
        <v>-58512</v>
      </c>
      <c r="D12" s="30">
        <v>-29256</v>
      </c>
      <c r="E12" s="1"/>
      <c r="F12" s="1"/>
      <c r="G12" s="1"/>
      <c r="H12" s="1"/>
      <c r="I12" s="1"/>
      <c r="J12" s="1"/>
      <c r="K12" s="1"/>
      <c r="L12" s="1"/>
      <c r="M12" s="1"/>
      <c r="N12" s="26">
        <v>4600</v>
      </c>
      <c r="O12" s="29">
        <v>-41263.5</v>
      </c>
      <c r="P12" s="30">
        <v>-81528</v>
      </c>
      <c r="Q12" s="31">
        <v>-40264.5</v>
      </c>
      <c r="R12" s="1"/>
      <c r="S12" s="1"/>
      <c r="T12" s="23">
        <v>-40264.5</v>
      </c>
    </row>
    <row r="13" spans="1:22" ht="23.1" customHeight="1" x14ac:dyDescent="0.35">
      <c r="A13" s="26">
        <v>4575</v>
      </c>
      <c r="B13" s="29">
        <v>0</v>
      </c>
      <c r="C13" s="30">
        <v>-17133</v>
      </c>
      <c r="D13" s="30">
        <v>-8566.5</v>
      </c>
      <c r="E13" s="1"/>
      <c r="F13" s="1"/>
      <c r="G13" s="1"/>
      <c r="H13" s="1"/>
      <c r="I13" s="1"/>
      <c r="J13" s="1"/>
      <c r="K13" s="1"/>
      <c r="L13" s="1"/>
      <c r="M13" s="1"/>
      <c r="N13" s="26">
        <v>4575</v>
      </c>
      <c r="O13" s="29">
        <v>-10234</v>
      </c>
      <c r="P13" s="30">
        <v>-20468</v>
      </c>
      <c r="Q13" s="31">
        <v>-10234</v>
      </c>
      <c r="R13" s="1"/>
      <c r="S13" s="1"/>
      <c r="T13" s="23">
        <v>-10234</v>
      </c>
    </row>
    <row r="14" spans="1:22" ht="23.1" customHeight="1" x14ac:dyDescent="0.35">
      <c r="A14" s="26">
        <v>4550</v>
      </c>
      <c r="B14" s="29">
        <v>0</v>
      </c>
      <c r="C14" s="30">
        <v>-33666</v>
      </c>
      <c r="D14" s="30">
        <v>-16833</v>
      </c>
      <c r="E14" s="1"/>
      <c r="F14" s="1"/>
      <c r="G14" s="1"/>
      <c r="H14" s="1"/>
      <c r="I14" s="1"/>
      <c r="J14" s="1"/>
      <c r="K14" s="1"/>
      <c r="L14" s="1"/>
      <c r="M14" s="1"/>
      <c r="N14" s="26">
        <v>4550</v>
      </c>
      <c r="O14" s="29">
        <v>-21496</v>
      </c>
      <c r="P14" s="30">
        <v>-42992</v>
      </c>
      <c r="Q14" s="31">
        <v>-21496</v>
      </c>
      <c r="R14" s="1"/>
      <c r="S14" s="1"/>
      <c r="T14" s="23">
        <v>-21496</v>
      </c>
    </row>
    <row r="15" spans="1:22" ht="23.1" customHeight="1" x14ac:dyDescent="0.35">
      <c r="A15" s="26">
        <v>4525</v>
      </c>
      <c r="B15" s="29">
        <v>0</v>
      </c>
      <c r="C15" s="30">
        <v>-41277</v>
      </c>
      <c r="D15" s="30">
        <v>-20638.5</v>
      </c>
      <c r="E15" s="1"/>
      <c r="F15" s="1"/>
      <c r="G15" s="1"/>
      <c r="H15" s="1"/>
      <c r="I15" s="1"/>
      <c r="J15" s="1"/>
      <c r="K15" s="1"/>
      <c r="L15" s="1"/>
      <c r="M15" s="1"/>
      <c r="N15" s="26">
        <v>4525</v>
      </c>
      <c r="O15" s="29">
        <v>-23226</v>
      </c>
      <c r="P15" s="30">
        <v>-46452</v>
      </c>
      <c r="Q15" s="31">
        <v>-23226</v>
      </c>
      <c r="R15" s="1"/>
      <c r="S15" s="1"/>
      <c r="T15" s="23">
        <v>-23226</v>
      </c>
    </row>
    <row r="16" spans="1:22" ht="23.1" customHeight="1" x14ac:dyDescent="0.35">
      <c r="A16" s="26">
        <v>4500</v>
      </c>
      <c r="B16" s="29">
        <v>5</v>
      </c>
      <c r="C16" s="30">
        <v>-72502</v>
      </c>
      <c r="D16" s="30">
        <v>-36253.5</v>
      </c>
      <c r="E16" s="1"/>
      <c r="F16" s="1"/>
      <c r="G16" s="1"/>
      <c r="H16" s="1"/>
      <c r="I16" s="1"/>
      <c r="J16" s="1"/>
      <c r="K16" s="1"/>
      <c r="L16" s="1"/>
      <c r="M16" s="1"/>
      <c r="N16" s="26">
        <v>4500</v>
      </c>
      <c r="O16" s="29">
        <v>-68922.5</v>
      </c>
      <c r="P16" s="30">
        <v>-129655</v>
      </c>
      <c r="Q16" s="31">
        <v>-60732.5</v>
      </c>
      <c r="R16" s="1"/>
      <c r="S16" s="1"/>
      <c r="T16" s="23">
        <v>-60732.5</v>
      </c>
    </row>
    <row r="17" spans="1:20" ht="23.1" customHeight="1" x14ac:dyDescent="0.35">
      <c r="A17" s="26">
        <v>4475</v>
      </c>
      <c r="B17" s="29">
        <v>0</v>
      </c>
      <c r="C17" s="30">
        <v>-19983</v>
      </c>
      <c r="D17" s="30">
        <v>-9991.5</v>
      </c>
      <c r="E17" s="1"/>
      <c r="F17" s="1"/>
      <c r="G17" s="1"/>
      <c r="H17" s="1"/>
      <c r="I17" s="1"/>
      <c r="J17" s="1"/>
      <c r="K17" s="1"/>
      <c r="L17" s="1"/>
      <c r="M17" s="1"/>
      <c r="N17" s="26">
        <v>4475</v>
      </c>
      <c r="O17" s="29">
        <v>-19783</v>
      </c>
      <c r="P17" s="30">
        <v>-39566</v>
      </c>
      <c r="Q17" s="31">
        <v>-19783</v>
      </c>
      <c r="R17" s="1"/>
      <c r="S17" s="1"/>
      <c r="T17" s="23">
        <v>-19783</v>
      </c>
    </row>
    <row r="18" spans="1:20" ht="23.1" customHeight="1" x14ac:dyDescent="0.35">
      <c r="A18" s="26">
        <v>4450</v>
      </c>
      <c r="B18" s="29">
        <v>1</v>
      </c>
      <c r="C18" s="30">
        <v>-60591</v>
      </c>
      <c r="D18" s="30">
        <v>-30296</v>
      </c>
      <c r="E18" s="1"/>
      <c r="F18" s="1"/>
      <c r="G18" s="1"/>
      <c r="H18" s="1"/>
      <c r="I18" s="1"/>
      <c r="J18" s="1"/>
      <c r="K18" s="1"/>
      <c r="L18" s="1"/>
      <c r="M18" s="1"/>
      <c r="N18" s="26">
        <v>4450</v>
      </c>
      <c r="O18" s="29">
        <v>-36446</v>
      </c>
      <c r="P18" s="30">
        <v>-75256</v>
      </c>
      <c r="Q18" s="31">
        <v>-38810</v>
      </c>
      <c r="R18" s="1"/>
      <c r="S18" s="1"/>
      <c r="T18" s="23">
        <v>-38810</v>
      </c>
    </row>
    <row r="19" spans="1:20" ht="23.1" customHeight="1" x14ac:dyDescent="0.35">
      <c r="A19" s="26">
        <v>4425</v>
      </c>
      <c r="B19" s="29">
        <v>0</v>
      </c>
      <c r="C19" s="30">
        <v>-33022</v>
      </c>
      <c r="D19" s="30">
        <v>-16511</v>
      </c>
      <c r="E19" s="1"/>
      <c r="F19" s="1"/>
      <c r="G19" s="1"/>
      <c r="H19" s="1"/>
      <c r="I19" s="1"/>
      <c r="J19" s="1"/>
      <c r="K19" s="1"/>
      <c r="L19" s="1"/>
      <c r="M19" s="1"/>
      <c r="N19" s="26">
        <v>4425</v>
      </c>
      <c r="O19" s="29">
        <v>-32259</v>
      </c>
      <c r="P19" s="30">
        <v>-64016</v>
      </c>
      <c r="Q19" s="31">
        <v>-31757</v>
      </c>
      <c r="R19" s="1"/>
      <c r="S19" s="1"/>
      <c r="T19" s="23">
        <v>-31757</v>
      </c>
    </row>
    <row r="20" spans="1:20" ht="23.1" customHeight="1" x14ac:dyDescent="0.35">
      <c r="A20" s="26">
        <v>4400</v>
      </c>
      <c r="B20" s="29">
        <v>-13</v>
      </c>
      <c r="C20" s="30">
        <v>-47648</v>
      </c>
      <c r="D20" s="30">
        <v>-23817.5</v>
      </c>
      <c r="E20" s="1"/>
      <c r="F20" s="1"/>
      <c r="G20" s="1"/>
      <c r="H20" s="1"/>
      <c r="I20" s="1"/>
      <c r="J20" s="1"/>
      <c r="K20" s="1"/>
      <c r="L20" s="1"/>
      <c r="M20" s="1"/>
      <c r="N20" s="26">
        <v>4400</v>
      </c>
      <c r="O20" s="29">
        <v>-57345.5</v>
      </c>
      <c r="P20" s="30">
        <v>-115028</v>
      </c>
      <c r="Q20" s="31">
        <v>-57682.5</v>
      </c>
      <c r="R20" s="1"/>
      <c r="S20" s="1"/>
      <c r="T20" s="23">
        <v>-57682.5</v>
      </c>
    </row>
    <row r="21" spans="1:20" ht="23.1" customHeight="1" x14ac:dyDescent="0.35">
      <c r="A21" s="26">
        <v>4375</v>
      </c>
      <c r="B21" s="29">
        <v>0</v>
      </c>
      <c r="C21" s="30">
        <v>-29622</v>
      </c>
      <c r="D21" s="30">
        <v>-14811</v>
      </c>
      <c r="E21" s="1"/>
      <c r="F21" s="1"/>
      <c r="G21" s="1"/>
      <c r="H21" s="1"/>
      <c r="I21" s="1"/>
      <c r="J21" s="1"/>
      <c r="K21" s="1"/>
      <c r="L21" s="1"/>
      <c r="M21" s="1"/>
      <c r="N21" s="26">
        <v>4375</v>
      </c>
      <c r="O21" s="29">
        <v>-91238</v>
      </c>
      <c r="P21" s="30">
        <v>-182157</v>
      </c>
      <c r="Q21" s="31">
        <v>-90919</v>
      </c>
      <c r="R21" s="1"/>
      <c r="S21" s="1"/>
      <c r="T21" s="23">
        <v>-90919</v>
      </c>
    </row>
    <row r="22" spans="1:20" ht="23.1" customHeight="1" x14ac:dyDescent="0.35">
      <c r="A22" s="26">
        <v>4350</v>
      </c>
      <c r="B22" s="29">
        <v>-2</v>
      </c>
      <c r="C22" s="30">
        <v>-42906</v>
      </c>
      <c r="D22" s="30">
        <v>-21452</v>
      </c>
      <c r="E22" s="1"/>
      <c r="F22" s="1"/>
      <c r="G22" s="1"/>
      <c r="H22" s="1"/>
      <c r="I22" s="1"/>
      <c r="J22" s="1"/>
      <c r="K22" s="1"/>
      <c r="L22" s="1"/>
      <c r="M22" s="1"/>
      <c r="N22" s="26">
        <v>4350</v>
      </c>
      <c r="O22" s="29">
        <v>-94093</v>
      </c>
      <c r="P22" s="30">
        <v>-185572</v>
      </c>
      <c r="Q22" s="31">
        <v>-91479</v>
      </c>
      <c r="R22" s="1"/>
      <c r="S22" s="1"/>
      <c r="T22" s="23">
        <v>-91479</v>
      </c>
    </row>
    <row r="23" spans="1:20" ht="23.1" customHeight="1" x14ac:dyDescent="0.35">
      <c r="A23" s="26">
        <v>4325</v>
      </c>
      <c r="B23" s="29">
        <v>0</v>
      </c>
      <c r="C23" s="30">
        <v>-16906</v>
      </c>
      <c r="D23" s="30">
        <v>-8453</v>
      </c>
      <c r="E23" s="1"/>
      <c r="F23" s="1"/>
      <c r="G23" s="1"/>
      <c r="H23" s="1"/>
      <c r="I23" s="1"/>
      <c r="J23" s="1"/>
      <c r="K23" s="1"/>
      <c r="L23" s="1"/>
      <c r="M23" s="1"/>
      <c r="N23" s="26">
        <v>4325</v>
      </c>
      <c r="O23" s="29">
        <v>-11766.5</v>
      </c>
      <c r="P23" s="30">
        <v>-22662</v>
      </c>
      <c r="Q23" s="31">
        <v>-10895.5</v>
      </c>
      <c r="R23" s="1"/>
      <c r="S23" s="1"/>
      <c r="T23" s="23">
        <v>-10895.5</v>
      </c>
    </row>
    <row r="24" spans="1:20" ht="23.1" customHeight="1" x14ac:dyDescent="0.35">
      <c r="A24" s="26">
        <v>4300</v>
      </c>
      <c r="B24" s="29">
        <v>496</v>
      </c>
      <c r="C24" s="30">
        <v>-18740</v>
      </c>
      <c r="D24" s="30">
        <v>-9618</v>
      </c>
      <c r="E24" s="1"/>
      <c r="F24" s="1"/>
      <c r="G24" s="1"/>
      <c r="H24" s="1"/>
      <c r="I24" s="1"/>
      <c r="J24" s="1"/>
      <c r="K24" s="1"/>
      <c r="L24" s="1"/>
      <c r="M24" s="1"/>
      <c r="N24" s="26">
        <v>4300</v>
      </c>
      <c r="O24" s="29">
        <v>-58614</v>
      </c>
      <c r="P24" s="30">
        <v>-103010</v>
      </c>
      <c r="Q24" s="31">
        <v>-44396</v>
      </c>
      <c r="R24" s="1"/>
      <c r="S24" s="1"/>
      <c r="T24" s="23">
        <v>-44396</v>
      </c>
    </row>
    <row r="25" spans="1:20" ht="23.1" customHeight="1" x14ac:dyDescent="0.35">
      <c r="A25" s="26">
        <v>4275</v>
      </c>
      <c r="B25" s="29">
        <v>-2828</v>
      </c>
      <c r="C25" s="30">
        <v>-15097</v>
      </c>
      <c r="D25" s="30">
        <v>-6134.5</v>
      </c>
      <c r="E25" s="1"/>
      <c r="F25" s="1"/>
      <c r="G25" s="1"/>
      <c r="H25" s="1"/>
      <c r="I25" s="1"/>
      <c r="J25" s="1"/>
      <c r="K25" s="1"/>
      <c r="L25" s="1"/>
      <c r="M25" s="1"/>
      <c r="N25" s="26">
        <v>4275</v>
      </c>
      <c r="O25" s="29">
        <v>-14128</v>
      </c>
      <c r="P25" s="30">
        <v>-26707</v>
      </c>
      <c r="Q25" s="31">
        <v>-12579</v>
      </c>
      <c r="R25" s="1"/>
      <c r="S25" s="1"/>
      <c r="T25" s="23">
        <v>-12579</v>
      </c>
    </row>
    <row r="26" spans="1:20" ht="23.1" customHeight="1" x14ac:dyDescent="0.35">
      <c r="A26" s="26">
        <v>4250</v>
      </c>
      <c r="B26" s="29">
        <v>334</v>
      </c>
      <c r="C26" s="30">
        <v>-11270</v>
      </c>
      <c r="D26" s="30">
        <v>-5802</v>
      </c>
      <c r="E26" s="1"/>
      <c r="F26" s="1"/>
      <c r="G26" s="1"/>
      <c r="H26" s="1"/>
      <c r="I26" s="1"/>
      <c r="J26" s="1"/>
      <c r="K26" s="1"/>
      <c r="L26" s="1"/>
      <c r="M26" s="1"/>
      <c r="N26" s="26">
        <v>4250</v>
      </c>
      <c r="O26" s="29">
        <v>-294.5</v>
      </c>
      <c r="P26" s="30">
        <v>-4129</v>
      </c>
      <c r="Q26" s="31">
        <v>-3834.5</v>
      </c>
      <c r="R26" s="1"/>
      <c r="S26" s="1"/>
      <c r="T26" s="23">
        <v>-3834.5</v>
      </c>
    </row>
    <row r="27" spans="1:20" ht="23.1" customHeight="1" x14ac:dyDescent="0.35">
      <c r="A27" s="26">
        <v>4225</v>
      </c>
      <c r="B27" s="29">
        <v>539</v>
      </c>
      <c r="C27" s="30">
        <v>-4705</v>
      </c>
      <c r="D27" s="30">
        <v>-2622</v>
      </c>
      <c r="E27" s="1"/>
      <c r="F27" s="1"/>
      <c r="G27" s="1"/>
      <c r="H27" s="1"/>
      <c r="I27" s="1"/>
      <c r="J27" s="1"/>
      <c r="K27" s="1"/>
      <c r="L27" s="1"/>
      <c r="M27" s="1"/>
      <c r="N27" s="26">
        <v>4225</v>
      </c>
      <c r="O27" s="29">
        <v>-21.5</v>
      </c>
      <c r="P27" s="30">
        <v>107</v>
      </c>
      <c r="Q27" s="31">
        <v>128.5</v>
      </c>
      <c r="R27" s="1"/>
      <c r="S27" s="1"/>
      <c r="T27" s="23">
        <v>128.5</v>
      </c>
    </row>
    <row r="28" spans="1:20" ht="23.1" customHeight="1" x14ac:dyDescent="0.35">
      <c r="A28" s="26">
        <v>4200</v>
      </c>
      <c r="B28" s="29">
        <v>2792</v>
      </c>
      <c r="C28" s="30">
        <v>18991</v>
      </c>
      <c r="D28" s="30">
        <v>8099.5</v>
      </c>
      <c r="E28" s="1"/>
      <c r="F28" s="1"/>
      <c r="G28" s="1"/>
      <c r="H28" s="1"/>
      <c r="I28" s="1"/>
      <c r="J28" s="1"/>
      <c r="K28" s="1"/>
      <c r="L28" s="1"/>
      <c r="M28" s="1"/>
      <c r="N28" s="26">
        <v>4200</v>
      </c>
      <c r="O28" s="29">
        <v>3031.5</v>
      </c>
      <c r="P28" s="30">
        <v>8605</v>
      </c>
      <c r="Q28" s="31">
        <v>5573.5</v>
      </c>
      <c r="R28" s="1"/>
      <c r="S28" s="1"/>
      <c r="T28" s="23">
        <v>5573.5</v>
      </c>
    </row>
    <row r="29" spans="1:20" ht="23.1" customHeight="1" x14ac:dyDescent="0.35">
      <c r="A29" s="26">
        <v>4175</v>
      </c>
      <c r="B29" s="29">
        <v>-4614</v>
      </c>
      <c r="C29" s="30">
        <v>3834</v>
      </c>
      <c r="D29" s="30">
        <v>4224</v>
      </c>
      <c r="E29" s="1"/>
      <c r="F29" s="1"/>
      <c r="G29" s="1"/>
      <c r="H29" s="1"/>
      <c r="I29" s="1"/>
      <c r="J29" s="1"/>
      <c r="K29" s="1"/>
      <c r="L29" s="1"/>
      <c r="M29" s="1"/>
      <c r="N29" s="26">
        <v>4175</v>
      </c>
      <c r="O29" s="29">
        <v>-99.5</v>
      </c>
      <c r="P29" s="30">
        <v>4046</v>
      </c>
      <c r="Q29" s="31">
        <v>4145.5</v>
      </c>
      <c r="R29" s="1"/>
      <c r="S29" s="1"/>
      <c r="T29" s="23">
        <v>4145.5</v>
      </c>
    </row>
    <row r="30" spans="1:20" ht="23.1" customHeight="1" x14ac:dyDescent="0.35">
      <c r="A30" s="26">
        <v>4150</v>
      </c>
      <c r="B30" s="29">
        <v>-5306</v>
      </c>
      <c r="C30" s="30">
        <v>3161</v>
      </c>
      <c r="D30" s="30">
        <v>4233.5</v>
      </c>
      <c r="E30" s="1"/>
      <c r="F30" s="1"/>
      <c r="G30" s="1"/>
      <c r="H30" s="1"/>
      <c r="I30" s="1"/>
      <c r="J30" s="1"/>
      <c r="K30" s="1"/>
      <c r="L30" s="1"/>
      <c r="M30" s="1"/>
      <c r="N30" s="26">
        <v>4150</v>
      </c>
      <c r="O30" s="29">
        <v>21466.5</v>
      </c>
      <c r="P30" s="30">
        <v>37433</v>
      </c>
      <c r="Q30" s="31">
        <v>15966.5</v>
      </c>
      <c r="R30" s="1"/>
      <c r="S30" s="1"/>
      <c r="T30" s="23">
        <v>15966.5</v>
      </c>
    </row>
    <row r="31" spans="1:20" ht="23.1" customHeight="1" x14ac:dyDescent="0.35">
      <c r="A31" s="26">
        <v>4125</v>
      </c>
      <c r="B31" s="29">
        <v>2355</v>
      </c>
      <c r="C31" s="30">
        <v>22686</v>
      </c>
      <c r="D31" s="30">
        <v>10165.5</v>
      </c>
      <c r="E31" s="1"/>
      <c r="F31" s="1"/>
      <c r="G31" s="1"/>
      <c r="H31" s="1"/>
      <c r="I31" s="1"/>
      <c r="J31" s="1"/>
      <c r="K31" s="1"/>
      <c r="L31" s="1"/>
      <c r="M31" s="1"/>
      <c r="N31" s="26">
        <v>4125</v>
      </c>
      <c r="O31" s="29">
        <v>15293</v>
      </c>
      <c r="P31" s="30">
        <v>29636</v>
      </c>
      <c r="Q31" s="31">
        <v>14343</v>
      </c>
      <c r="R31" s="1"/>
      <c r="S31" s="1"/>
      <c r="T31" s="23">
        <v>14343</v>
      </c>
    </row>
    <row r="32" spans="1:20" ht="23.1" customHeight="1" x14ac:dyDescent="0.35">
      <c r="A32" s="26">
        <v>4100</v>
      </c>
      <c r="B32" s="29">
        <v>-1713</v>
      </c>
      <c r="C32" s="30">
        <v>79063</v>
      </c>
      <c r="D32" s="30">
        <v>40388</v>
      </c>
      <c r="E32" s="1"/>
      <c r="F32" s="1"/>
      <c r="G32" s="1"/>
      <c r="H32" s="1"/>
      <c r="I32" s="1"/>
      <c r="J32" s="1"/>
      <c r="K32" s="1"/>
      <c r="L32" s="1"/>
      <c r="M32" s="1"/>
      <c r="N32" s="26">
        <v>4100</v>
      </c>
      <c r="O32" s="29">
        <v>104214.5</v>
      </c>
      <c r="P32" s="30">
        <v>212511</v>
      </c>
      <c r="Q32" s="31">
        <v>108296.5</v>
      </c>
      <c r="R32" s="1"/>
      <c r="S32" s="1"/>
      <c r="T32" s="23">
        <v>108296.5</v>
      </c>
    </row>
    <row r="33" spans="1:20" ht="23.1" customHeight="1" x14ac:dyDescent="0.35">
      <c r="A33" s="26">
        <v>4075</v>
      </c>
      <c r="B33" s="29">
        <v>-6112</v>
      </c>
      <c r="C33" s="30">
        <v>19547</v>
      </c>
      <c r="D33" s="30">
        <v>12829.5</v>
      </c>
      <c r="E33" s="1"/>
      <c r="F33" s="1"/>
      <c r="G33" s="1"/>
      <c r="H33" s="1"/>
      <c r="I33" s="1"/>
      <c r="J33" s="1"/>
      <c r="K33" s="1"/>
      <c r="L33" s="1"/>
      <c r="M33" s="1"/>
      <c r="N33" s="26">
        <v>4075</v>
      </c>
      <c r="O33" s="29">
        <v>21177.5</v>
      </c>
      <c r="P33" s="30">
        <v>48521</v>
      </c>
      <c r="Q33" s="31">
        <v>27343.5</v>
      </c>
      <c r="R33" s="1"/>
      <c r="S33" s="1"/>
      <c r="T33" s="23">
        <v>27343.5</v>
      </c>
    </row>
    <row r="34" spans="1:20" ht="23.1" customHeight="1" x14ac:dyDescent="0.35">
      <c r="A34" s="26">
        <v>4050</v>
      </c>
      <c r="B34" s="29">
        <v>-5123</v>
      </c>
      <c r="C34" s="30">
        <v>50970</v>
      </c>
      <c r="D34" s="30">
        <v>28046.5</v>
      </c>
      <c r="E34" s="1"/>
      <c r="F34" s="1"/>
      <c r="G34" s="1"/>
      <c r="H34" s="1"/>
      <c r="I34" s="1"/>
      <c r="J34" s="1"/>
      <c r="K34" s="1"/>
      <c r="L34" s="1"/>
      <c r="M34" s="1"/>
      <c r="N34" s="26">
        <v>4050</v>
      </c>
      <c r="O34" s="29">
        <v>45288</v>
      </c>
      <c r="P34" s="30">
        <v>98053</v>
      </c>
      <c r="Q34" s="31">
        <v>52765</v>
      </c>
      <c r="R34" s="1"/>
      <c r="S34" s="1"/>
      <c r="T34" s="23">
        <v>52765</v>
      </c>
    </row>
    <row r="35" spans="1:20" ht="23.1" customHeight="1" x14ac:dyDescent="0.35">
      <c r="A35" s="26">
        <v>4025</v>
      </c>
      <c r="B35" s="29">
        <v>4225</v>
      </c>
      <c r="C35" s="30">
        <v>21011</v>
      </c>
      <c r="D35" s="30">
        <v>8393</v>
      </c>
      <c r="E35" s="1"/>
      <c r="F35" s="1"/>
      <c r="G35" s="1"/>
      <c r="H35" s="1"/>
      <c r="I35" s="1"/>
      <c r="J35" s="1"/>
      <c r="K35" s="1"/>
      <c r="L35" s="1"/>
      <c r="M35" s="1"/>
      <c r="N35" s="26">
        <v>4025</v>
      </c>
      <c r="O35" s="29">
        <v>18737.5</v>
      </c>
      <c r="P35" s="30">
        <v>31992</v>
      </c>
      <c r="Q35" s="31">
        <v>13254.5</v>
      </c>
      <c r="R35" s="1"/>
      <c r="S35" s="1"/>
      <c r="T35" s="23">
        <v>13254.5</v>
      </c>
    </row>
    <row r="36" spans="1:20" ht="23.1" customHeight="1" x14ac:dyDescent="0.35">
      <c r="A36" s="26">
        <v>4000</v>
      </c>
      <c r="B36" s="29">
        <v>-2448</v>
      </c>
      <c r="C36" s="30">
        <v>82289</v>
      </c>
      <c r="D36" s="30">
        <v>42368.5</v>
      </c>
      <c r="E36" s="1"/>
      <c r="F36" s="1"/>
      <c r="G36" s="1"/>
      <c r="H36" s="1"/>
      <c r="I36" s="1"/>
      <c r="J36" s="1"/>
      <c r="K36" s="1"/>
      <c r="L36" s="1"/>
      <c r="M36" s="1"/>
      <c r="N36" s="26">
        <v>4000</v>
      </c>
      <c r="O36" s="29">
        <v>114567</v>
      </c>
      <c r="P36" s="30">
        <v>224558</v>
      </c>
      <c r="Q36" s="31">
        <v>109991</v>
      </c>
      <c r="R36" s="1"/>
      <c r="S36" s="1"/>
      <c r="T36" s="23">
        <v>109991</v>
      </c>
    </row>
    <row r="37" spans="1:20" ht="23.1" customHeight="1" x14ac:dyDescent="0.35">
      <c r="A37" s="26">
        <v>3975</v>
      </c>
      <c r="B37" s="29">
        <v>1635</v>
      </c>
      <c r="C37" s="30">
        <v>28533</v>
      </c>
      <c r="D37" s="30">
        <v>13449</v>
      </c>
      <c r="E37" s="1"/>
      <c r="F37" s="1"/>
      <c r="G37" s="1"/>
      <c r="H37" s="1"/>
      <c r="I37" s="1"/>
      <c r="J37" s="1"/>
      <c r="K37" s="1"/>
      <c r="L37" s="1"/>
      <c r="M37" s="1"/>
      <c r="N37" s="26">
        <v>3975</v>
      </c>
      <c r="O37" s="29">
        <v>25251.5</v>
      </c>
      <c r="P37" s="30">
        <v>48853</v>
      </c>
      <c r="Q37" s="31">
        <v>23601.5</v>
      </c>
      <c r="R37" s="1"/>
      <c r="S37" s="1"/>
      <c r="T37" s="23">
        <v>23601.5</v>
      </c>
    </row>
    <row r="38" spans="1:20" ht="23.1" customHeight="1" thickBot="1" x14ac:dyDescent="0.4">
      <c r="A38" s="32">
        <v>3950</v>
      </c>
      <c r="B38" s="29">
        <v>4330</v>
      </c>
      <c r="C38" s="30">
        <v>54186</v>
      </c>
      <c r="D38" s="30">
        <v>24928</v>
      </c>
      <c r="E38" s="1"/>
      <c r="F38" s="1"/>
      <c r="G38" s="1"/>
      <c r="H38" s="1"/>
      <c r="I38" s="1"/>
      <c r="J38" s="1"/>
      <c r="K38" s="1"/>
      <c r="L38" s="1"/>
      <c r="M38" s="1"/>
      <c r="N38" s="26">
        <v>3950</v>
      </c>
      <c r="O38" s="29">
        <v>63611</v>
      </c>
      <c r="P38" s="30">
        <v>114660</v>
      </c>
      <c r="Q38" s="31">
        <v>51049</v>
      </c>
      <c r="R38" s="1"/>
      <c r="S38" s="1"/>
      <c r="T38" s="23">
        <v>51049</v>
      </c>
    </row>
    <row r="39" spans="1:20" ht="18" x14ac:dyDescent="0.35">
      <c r="A39" s="71"/>
      <c r="B39" s="30"/>
      <c r="C39" s="30"/>
      <c r="D39" s="30"/>
      <c r="E39" s="1"/>
      <c r="F39" s="1"/>
      <c r="G39" s="1"/>
      <c r="H39" s="1"/>
      <c r="I39" s="1"/>
      <c r="J39" s="1"/>
      <c r="K39" s="1"/>
      <c r="L39" s="1"/>
      <c r="M39" s="1"/>
      <c r="N39" s="26"/>
      <c r="O39" s="29"/>
      <c r="P39" s="30"/>
      <c r="Q39" s="31"/>
      <c r="R39" s="1"/>
      <c r="S39" s="1"/>
      <c r="T39" s="23">
        <v>17666.5</v>
      </c>
    </row>
    <row r="40" spans="1:20" ht="18" x14ac:dyDescent="0.35">
      <c r="A40" s="69"/>
      <c r="B40" s="30"/>
      <c r="C40" s="30"/>
      <c r="D40" s="30"/>
      <c r="E40" s="1"/>
      <c r="F40" s="1"/>
      <c r="G40" s="1"/>
      <c r="H40" s="1"/>
      <c r="I40" s="1"/>
      <c r="J40" s="1"/>
      <c r="K40" s="1"/>
      <c r="L40" s="1"/>
      <c r="M40" s="1"/>
      <c r="N40" s="26"/>
      <c r="O40" s="29"/>
      <c r="P40" s="30"/>
      <c r="Q40" s="31"/>
      <c r="R40" s="1"/>
      <c r="S40" s="1"/>
      <c r="T40" s="23">
        <v>38576</v>
      </c>
    </row>
    <row r="41" spans="1:20" ht="18.600000000000001" thickBot="1" x14ac:dyDescent="0.4">
      <c r="A41" s="69"/>
      <c r="B41" s="30"/>
      <c r="C41" s="30"/>
      <c r="D41" s="30"/>
      <c r="E41" s="1"/>
      <c r="F41" s="1"/>
      <c r="G41" s="1"/>
      <c r="H41" s="1"/>
      <c r="I41" s="1"/>
      <c r="J41" s="1"/>
      <c r="K41" s="1"/>
      <c r="L41" s="1"/>
      <c r="M41" s="1"/>
      <c r="N41" s="26"/>
      <c r="O41" s="29"/>
      <c r="P41" s="30"/>
      <c r="Q41" s="31"/>
      <c r="R41" s="1"/>
      <c r="S41" s="1"/>
      <c r="T41" s="23"/>
    </row>
    <row r="42" spans="1:20" ht="49.5" customHeight="1" thickBot="1" x14ac:dyDescent="0.4">
      <c r="A42" s="69"/>
      <c r="B42" s="131" t="s">
        <v>30</v>
      </c>
      <c r="C42" s="132"/>
      <c r="D42" s="133"/>
      <c r="E42" s="1"/>
      <c r="F42" s="1"/>
      <c r="G42" s="1"/>
      <c r="H42" s="1"/>
      <c r="I42" s="1"/>
      <c r="J42" s="1"/>
      <c r="K42" s="1"/>
      <c r="L42" s="1"/>
      <c r="M42" s="1"/>
      <c r="N42" s="26"/>
      <c r="O42" s="29"/>
      <c r="P42" s="30"/>
      <c r="Q42" s="31"/>
      <c r="R42" s="1"/>
      <c r="S42" s="1"/>
      <c r="T42" s="23"/>
    </row>
    <row r="43" spans="1:20" ht="49.5" customHeight="1" x14ac:dyDescent="0.35">
      <c r="A43" s="69"/>
      <c r="B43" s="72"/>
      <c r="C43" s="72"/>
      <c r="D43" s="72"/>
      <c r="E43" s="1"/>
      <c r="F43" s="1"/>
      <c r="G43" s="1"/>
      <c r="H43" s="1"/>
      <c r="I43" s="1"/>
      <c r="J43" s="1"/>
      <c r="K43" s="1"/>
      <c r="L43" s="1"/>
      <c r="M43" s="1"/>
      <c r="N43" s="26"/>
      <c r="O43" s="29"/>
      <c r="P43" s="30"/>
      <c r="Q43" s="31"/>
      <c r="R43" s="1"/>
      <c r="S43" s="1"/>
      <c r="T43" s="23"/>
    </row>
    <row r="44" spans="1:20" ht="18" x14ac:dyDescent="0.35">
      <c r="A44" s="69"/>
      <c r="B44" s="30"/>
      <c r="C44" s="30"/>
      <c r="D44" s="30"/>
      <c r="E44" s="1"/>
      <c r="F44" s="1"/>
      <c r="G44" s="1"/>
      <c r="H44" s="1"/>
      <c r="I44" s="1"/>
      <c r="J44" s="1"/>
      <c r="K44" s="1"/>
      <c r="L44" s="1"/>
      <c r="M44" s="1"/>
      <c r="N44" s="26"/>
      <c r="O44" s="29"/>
      <c r="P44" s="30"/>
      <c r="Q44" s="31"/>
      <c r="R44" s="1"/>
      <c r="S44" s="1"/>
      <c r="T44" s="23"/>
    </row>
    <row r="45" spans="1:20" ht="18" x14ac:dyDescent="0.35">
      <c r="A45" s="33" t="s">
        <v>28</v>
      </c>
      <c r="B45" s="33"/>
      <c r="C45" s="33"/>
      <c r="D45" s="33"/>
      <c r="E45" s="1"/>
      <c r="F45" s="1"/>
      <c r="G45" s="1"/>
      <c r="H45" s="1"/>
      <c r="I45" s="1"/>
      <c r="J45" s="1"/>
      <c r="K45" s="1"/>
      <c r="L45" s="1"/>
      <c r="M45" s="1"/>
      <c r="N45" s="26"/>
      <c r="O45" s="29"/>
      <c r="P45" s="30"/>
      <c r="Q45" s="31"/>
      <c r="R45" s="1"/>
      <c r="S45" s="1"/>
      <c r="T45" s="23"/>
    </row>
    <row r="46" spans="1:20" ht="18" x14ac:dyDescent="0.35">
      <c r="A46" s="34" t="s">
        <v>29</v>
      </c>
      <c r="B46" s="34"/>
      <c r="C46" s="34"/>
      <c r="D46" s="34"/>
      <c r="E46" s="1"/>
      <c r="F46" s="1"/>
      <c r="G46" s="70"/>
      <c r="H46" s="1"/>
      <c r="I46" s="1"/>
      <c r="J46" s="1"/>
      <c r="K46" s="1"/>
      <c r="L46" s="1"/>
      <c r="M46" s="1"/>
      <c r="N46" s="26"/>
      <c r="O46" s="29"/>
      <c r="P46" s="30"/>
      <c r="Q46" s="31"/>
      <c r="R46" s="1"/>
      <c r="S46" s="1"/>
      <c r="T46" s="23"/>
    </row>
    <row r="47" spans="1:20" ht="18" x14ac:dyDescent="0.35">
      <c r="A47" s="69"/>
      <c r="B47" s="30"/>
      <c r="C47" s="30"/>
      <c r="D47" s="30"/>
      <c r="E47" s="1"/>
      <c r="F47" s="1"/>
      <c r="G47" s="1"/>
      <c r="H47" s="1"/>
      <c r="I47" s="1"/>
      <c r="J47" s="1"/>
      <c r="K47" s="1"/>
      <c r="L47" s="1"/>
      <c r="M47" s="1"/>
      <c r="N47" s="26"/>
      <c r="O47" s="29"/>
      <c r="P47" s="30"/>
      <c r="Q47" s="31"/>
      <c r="R47" s="1"/>
      <c r="S47" s="1"/>
      <c r="T47" s="23"/>
    </row>
    <row r="48" spans="1:20" ht="18" x14ac:dyDescent="0.35">
      <c r="A48" s="69"/>
      <c r="B48" s="30"/>
      <c r="C48" s="30"/>
      <c r="D48" s="30"/>
      <c r="E48" s="1"/>
      <c r="F48" s="1"/>
      <c r="G48" s="1"/>
      <c r="H48" s="1"/>
      <c r="I48" s="1"/>
      <c r="J48" s="1"/>
      <c r="K48" s="1"/>
      <c r="L48" s="1"/>
      <c r="M48" s="1"/>
      <c r="N48" s="26"/>
      <c r="O48" s="29"/>
      <c r="P48" s="30"/>
      <c r="Q48" s="31"/>
      <c r="R48" s="1"/>
      <c r="S48" s="1"/>
      <c r="T48" s="23"/>
    </row>
    <row r="49" spans="1:19" x14ac:dyDescent="0.3">
      <c r="A49" s="24"/>
      <c r="B49" s="24"/>
      <c r="C49" s="24"/>
      <c r="D49" s="24"/>
      <c r="E49" s="24"/>
      <c r="F49" s="24"/>
      <c r="G49" s="24"/>
      <c r="H49" s="24"/>
      <c r="I49" s="1"/>
      <c r="J49" s="1"/>
      <c r="K49" s="1"/>
      <c r="L49" s="1"/>
      <c r="M49" s="1"/>
      <c r="N49" s="1"/>
      <c r="O49" s="1"/>
      <c r="P49" s="1"/>
      <c r="Q49" s="1"/>
      <c r="R49" s="1"/>
      <c r="S49" s="1"/>
    </row>
    <row r="50" spans="1:19" ht="255" customHeight="1" x14ac:dyDescent="0.3">
      <c r="A50" s="136" t="str">
        <f>Disclaimer!A2</f>
        <v>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v>
      </c>
      <c r="B50" s="136"/>
      <c r="C50" s="136"/>
      <c r="D50" s="136"/>
      <c r="E50" s="136"/>
      <c r="F50" s="136"/>
      <c r="G50" s="136"/>
      <c r="H50" s="136"/>
      <c r="I50" s="136"/>
      <c r="J50" s="136"/>
      <c r="K50" s="1"/>
      <c r="L50" s="1"/>
      <c r="M50" s="1"/>
      <c r="N50" s="135"/>
      <c r="O50" s="135"/>
      <c r="P50" s="135"/>
      <c r="Q50" s="135"/>
      <c r="R50" s="1"/>
      <c r="S50" s="1"/>
    </row>
    <row r="51" spans="1:19" x14ac:dyDescent="0.3">
      <c r="A51" s="129"/>
      <c r="B51" s="130"/>
      <c r="C51" s="130"/>
      <c r="D51" s="130"/>
      <c r="E51" s="130"/>
      <c r="F51" s="130"/>
      <c r="G51" s="130"/>
      <c r="H51" s="130"/>
      <c r="I51" s="130"/>
      <c r="J51" s="1"/>
      <c r="K51" s="1"/>
      <c r="L51" s="1"/>
      <c r="M51" s="1"/>
      <c r="N51" s="1"/>
      <c r="O51" s="1"/>
      <c r="P51" s="1"/>
      <c r="Q51" s="1"/>
      <c r="R51" s="1"/>
      <c r="S51" s="1"/>
    </row>
    <row r="52" spans="1:19" x14ac:dyDescent="0.3">
      <c r="A52" s="129"/>
      <c r="B52" s="130"/>
      <c r="C52" s="130"/>
      <c r="D52" s="130"/>
      <c r="E52" s="130"/>
      <c r="F52" s="130"/>
      <c r="G52" s="130"/>
      <c r="H52" s="130"/>
      <c r="I52" s="130"/>
      <c r="J52" s="1"/>
      <c r="K52" s="1"/>
      <c r="L52" s="1"/>
      <c r="M52" s="1"/>
      <c r="N52" s="1"/>
      <c r="O52" s="1"/>
      <c r="P52" s="1"/>
      <c r="Q52" s="1"/>
      <c r="R52" s="1"/>
      <c r="S52" s="1"/>
    </row>
    <row r="53" spans="1:19" x14ac:dyDescent="0.3">
      <c r="A53" s="129"/>
      <c r="B53" s="130"/>
      <c r="C53" s="130"/>
      <c r="D53" s="130"/>
      <c r="E53" s="130"/>
      <c r="F53" s="130"/>
      <c r="G53" s="130"/>
      <c r="H53" s="130"/>
      <c r="I53" s="130"/>
      <c r="J53" s="1"/>
      <c r="K53" s="1"/>
      <c r="L53" s="1"/>
      <c r="M53" s="1"/>
      <c r="N53" s="1"/>
      <c r="O53" s="1"/>
      <c r="P53" s="1"/>
      <c r="Q53" s="1"/>
      <c r="R53" s="1"/>
      <c r="S53" s="1"/>
    </row>
    <row r="54" spans="1:19" x14ac:dyDescent="0.3">
      <c r="A54" s="129"/>
      <c r="B54" s="130"/>
      <c r="C54" s="130"/>
      <c r="D54" s="130"/>
      <c r="E54" s="130"/>
      <c r="F54" s="130"/>
      <c r="G54" s="130"/>
      <c r="H54" s="130"/>
      <c r="I54" s="130"/>
      <c r="J54" s="1"/>
      <c r="K54" s="1"/>
      <c r="L54" s="1"/>
      <c r="M54" s="1"/>
      <c r="N54" s="1"/>
      <c r="O54" s="1"/>
      <c r="P54" s="1"/>
      <c r="Q54" s="1"/>
      <c r="R54" s="1"/>
      <c r="S54" s="1"/>
    </row>
    <row r="55" spans="1:19" x14ac:dyDescent="0.3">
      <c r="A55" s="24"/>
      <c r="B55" s="24"/>
      <c r="C55" s="24"/>
      <c r="D55" s="24"/>
      <c r="E55" s="24"/>
      <c r="F55" s="24"/>
      <c r="G55" s="24"/>
      <c r="H55" s="24"/>
      <c r="I55" s="1"/>
      <c r="J55" s="1"/>
      <c r="K55" s="1"/>
      <c r="L55" s="1"/>
      <c r="M55" s="1"/>
      <c r="N55" s="1"/>
      <c r="O55" s="1"/>
      <c r="P55" s="1"/>
      <c r="Q55" s="1"/>
      <c r="R55" s="1"/>
      <c r="S55" s="1"/>
    </row>
    <row r="56" spans="1:19" x14ac:dyDescent="0.3">
      <c r="A56" s="24"/>
      <c r="B56" s="24"/>
      <c r="C56" s="24"/>
      <c r="D56" s="24"/>
      <c r="E56" s="24"/>
      <c r="F56" s="24"/>
      <c r="G56" s="24"/>
      <c r="H56" s="24"/>
      <c r="I56" s="1"/>
      <c r="J56" s="1"/>
      <c r="K56" s="1"/>
      <c r="L56" s="1"/>
      <c r="M56" s="1"/>
      <c r="N56" s="1"/>
      <c r="O56" s="1"/>
      <c r="P56" s="1"/>
      <c r="Q56" s="1"/>
      <c r="R56" s="1"/>
      <c r="S56" s="1"/>
    </row>
    <row r="57" spans="1:19" x14ac:dyDescent="0.3">
      <c r="A57" s="24"/>
      <c r="B57" s="24"/>
      <c r="C57" s="24"/>
      <c r="D57" s="24"/>
      <c r="E57" s="24"/>
      <c r="F57" s="24"/>
      <c r="G57" s="24"/>
      <c r="H57" s="24"/>
      <c r="I57" s="1"/>
      <c r="J57" s="1"/>
      <c r="K57" s="1"/>
      <c r="L57" s="1"/>
      <c r="M57" s="1"/>
      <c r="N57" s="1"/>
      <c r="O57" s="1"/>
      <c r="P57" s="1"/>
      <c r="Q57" s="1"/>
      <c r="R57" s="1"/>
      <c r="S57" s="1"/>
    </row>
    <row r="58" spans="1:19" x14ac:dyDescent="0.3">
      <c r="A58" s="20"/>
      <c r="B58" s="1"/>
      <c r="C58" s="1"/>
      <c r="D58" s="1"/>
      <c r="E58" s="1"/>
      <c r="F58" s="1"/>
      <c r="G58" s="1"/>
      <c r="H58" s="1"/>
      <c r="I58" s="1"/>
      <c r="J58" s="1"/>
      <c r="K58" s="1"/>
      <c r="L58" s="1"/>
      <c r="M58" s="1"/>
      <c r="N58" s="1"/>
      <c r="O58" s="1"/>
      <c r="P58" s="1"/>
      <c r="Q58" s="1"/>
      <c r="R58" s="1"/>
      <c r="S58" s="1"/>
    </row>
    <row r="59" spans="1:19" x14ac:dyDescent="0.3">
      <c r="A59" s="20"/>
      <c r="B59" s="1"/>
      <c r="C59" s="1"/>
      <c r="D59" s="1"/>
      <c r="E59" s="1"/>
      <c r="F59" s="1"/>
      <c r="G59" s="1"/>
      <c r="H59" s="1"/>
      <c r="I59" s="1"/>
      <c r="J59" s="1"/>
      <c r="K59" s="1"/>
      <c r="L59" s="1"/>
      <c r="M59" s="1"/>
      <c r="N59" s="1"/>
      <c r="O59" s="1"/>
      <c r="P59" s="1"/>
      <c r="Q59" s="1"/>
      <c r="R59" s="1"/>
      <c r="S59" s="1"/>
    </row>
    <row r="60" spans="1:19" x14ac:dyDescent="0.3">
      <c r="A60" s="20"/>
      <c r="B60" s="1"/>
      <c r="C60" s="1"/>
      <c r="D60" s="1"/>
      <c r="E60" s="1"/>
      <c r="F60" s="1"/>
      <c r="G60" s="1"/>
      <c r="H60" s="1"/>
      <c r="I60" s="1"/>
      <c r="J60" s="1"/>
      <c r="K60" s="1"/>
      <c r="L60" s="1"/>
      <c r="M60" s="1"/>
      <c r="N60" s="1"/>
      <c r="O60" s="1"/>
      <c r="P60" s="1"/>
      <c r="Q60" s="1"/>
      <c r="R60" s="1"/>
      <c r="S60" s="1"/>
    </row>
    <row r="61" spans="1:19" x14ac:dyDescent="0.3">
      <c r="A61" s="20"/>
      <c r="B61" s="1"/>
      <c r="C61" s="1"/>
      <c r="D61" s="1"/>
      <c r="E61" s="1"/>
      <c r="F61" s="1"/>
      <c r="G61" s="1"/>
      <c r="H61" s="1"/>
      <c r="I61" s="1"/>
      <c r="J61" s="1"/>
      <c r="K61" s="1"/>
      <c r="L61" s="1"/>
      <c r="M61" s="1"/>
      <c r="N61" s="1"/>
      <c r="O61" s="1"/>
      <c r="P61" s="1"/>
      <c r="Q61" s="1"/>
      <c r="R61" s="1"/>
      <c r="S61" s="1"/>
    </row>
    <row r="62" spans="1:19" x14ac:dyDescent="0.3">
      <c r="A62" s="20"/>
      <c r="B62" s="1"/>
      <c r="C62" s="1"/>
      <c r="D62" s="1"/>
      <c r="E62" s="1"/>
      <c r="F62" s="1"/>
      <c r="G62" s="1"/>
      <c r="H62" s="1"/>
      <c r="I62" s="1"/>
      <c r="J62" s="1"/>
      <c r="K62" s="1"/>
      <c r="L62" s="1"/>
      <c r="M62" s="1"/>
      <c r="N62" s="1"/>
      <c r="O62" s="1"/>
      <c r="P62" s="1"/>
      <c r="Q62" s="1"/>
      <c r="R62" s="1"/>
      <c r="S62" s="1"/>
    </row>
    <row r="63" spans="1:19" x14ac:dyDescent="0.3">
      <c r="A63" s="20"/>
      <c r="B63" s="1"/>
      <c r="C63" s="1"/>
      <c r="D63" s="1"/>
      <c r="E63" s="1"/>
      <c r="F63" s="1"/>
      <c r="G63" s="1"/>
      <c r="H63" s="1"/>
      <c r="I63" s="1"/>
      <c r="J63" s="1"/>
      <c r="K63" s="1"/>
      <c r="L63" s="1"/>
      <c r="M63" s="1"/>
      <c r="N63" s="1"/>
      <c r="O63" s="1"/>
      <c r="P63" s="1"/>
      <c r="Q63" s="1"/>
      <c r="R63" s="1"/>
      <c r="S63" s="1"/>
    </row>
    <row r="64" spans="1:19" x14ac:dyDescent="0.3">
      <c r="A64" s="20"/>
      <c r="B64" s="1"/>
      <c r="C64" s="1"/>
      <c r="D64" s="1"/>
      <c r="E64" s="1"/>
      <c r="F64" s="1"/>
      <c r="G64" s="1"/>
      <c r="H64" s="1"/>
      <c r="I64" s="1"/>
      <c r="J64" s="1"/>
      <c r="K64" s="1"/>
      <c r="L64" s="1"/>
      <c r="M64" s="1"/>
      <c r="N64" s="1"/>
      <c r="O64" s="1"/>
      <c r="P64" s="1"/>
      <c r="Q64" s="1"/>
      <c r="R64" s="1"/>
      <c r="S64" s="1"/>
    </row>
    <row r="65" spans="1:19" x14ac:dyDescent="0.3">
      <c r="A65" s="20"/>
      <c r="B65" s="1"/>
      <c r="C65" s="1"/>
      <c r="D65" s="1"/>
      <c r="E65" s="1"/>
      <c r="F65" s="1"/>
      <c r="G65" s="1"/>
      <c r="H65" s="1"/>
      <c r="I65" s="1"/>
      <c r="J65" s="1"/>
      <c r="K65" s="1"/>
      <c r="L65" s="1"/>
      <c r="M65" s="1"/>
      <c r="N65" s="1"/>
      <c r="O65" s="1"/>
      <c r="P65" s="1"/>
      <c r="Q65" s="1"/>
      <c r="R65" s="1"/>
      <c r="S65" s="1"/>
    </row>
    <row r="66" spans="1:19" x14ac:dyDescent="0.3">
      <c r="A66" s="20"/>
      <c r="B66" s="1"/>
      <c r="C66" s="1"/>
      <c r="D66" s="1"/>
      <c r="E66" s="1"/>
      <c r="F66" s="1"/>
      <c r="G66" s="1"/>
      <c r="H66" s="1"/>
      <c r="I66" s="1"/>
      <c r="J66" s="1"/>
      <c r="K66" s="1"/>
      <c r="L66" s="1"/>
      <c r="M66" s="1"/>
      <c r="N66" s="1"/>
      <c r="O66" s="1"/>
      <c r="P66" s="1"/>
      <c r="Q66" s="1"/>
      <c r="R66" s="1"/>
      <c r="S66" s="1"/>
    </row>
    <row r="67" spans="1:19" x14ac:dyDescent="0.3">
      <c r="A67" s="20"/>
      <c r="B67" s="1"/>
      <c r="C67" s="1"/>
      <c r="D67" s="1"/>
      <c r="E67" s="1"/>
      <c r="F67" s="1"/>
      <c r="G67" s="1"/>
      <c r="H67" s="1"/>
      <c r="I67" s="1"/>
      <c r="J67" s="1"/>
      <c r="K67" s="1"/>
      <c r="L67" s="1"/>
      <c r="M67" s="1"/>
      <c r="N67" s="1"/>
      <c r="O67" s="1"/>
      <c r="P67" s="1"/>
      <c r="Q67" s="1"/>
      <c r="R67" s="1"/>
      <c r="S67" s="1"/>
    </row>
    <row r="68" spans="1:19" x14ac:dyDescent="0.3">
      <c r="A68" s="20"/>
      <c r="B68" s="1"/>
      <c r="C68" s="1"/>
      <c r="D68" s="1"/>
      <c r="E68" s="1"/>
      <c r="F68" s="1"/>
      <c r="G68" s="1"/>
      <c r="H68" s="1"/>
      <c r="I68" s="1"/>
      <c r="J68" s="1"/>
      <c r="K68" s="1"/>
      <c r="L68" s="1"/>
      <c r="M68" s="1"/>
      <c r="N68" s="1"/>
      <c r="O68" s="1"/>
      <c r="P68" s="1"/>
      <c r="Q68" s="1"/>
      <c r="R68" s="1"/>
      <c r="S68" s="1"/>
    </row>
    <row r="69" spans="1:19" x14ac:dyDescent="0.3">
      <c r="A69" s="20"/>
      <c r="B69" s="1"/>
      <c r="C69" s="1"/>
      <c r="D69" s="1"/>
      <c r="E69" s="1"/>
      <c r="F69" s="1"/>
      <c r="G69" s="1"/>
      <c r="H69" s="1"/>
      <c r="I69" s="1"/>
      <c r="J69" s="1"/>
      <c r="K69" s="1"/>
      <c r="L69" s="1"/>
      <c r="M69" s="1"/>
      <c r="N69" s="1"/>
      <c r="O69" s="1"/>
      <c r="P69" s="1"/>
      <c r="Q69" s="1"/>
      <c r="R69" s="1"/>
      <c r="S69" s="1"/>
    </row>
    <row r="70" spans="1:19" x14ac:dyDescent="0.3">
      <c r="A70" s="20"/>
      <c r="B70" s="1"/>
      <c r="C70" s="1"/>
      <c r="D70" s="1"/>
      <c r="E70" s="1"/>
      <c r="F70" s="1"/>
      <c r="G70" s="1"/>
      <c r="H70" s="1"/>
      <c r="I70" s="1"/>
      <c r="J70" s="1"/>
      <c r="K70" s="1"/>
      <c r="L70" s="1"/>
      <c r="M70" s="1"/>
      <c r="N70" s="1"/>
      <c r="O70" s="1"/>
      <c r="P70" s="1"/>
      <c r="Q70" s="1"/>
      <c r="R70" s="1"/>
      <c r="S70" s="1"/>
    </row>
    <row r="71" spans="1:19" x14ac:dyDescent="0.3">
      <c r="A71" s="20"/>
      <c r="B71" s="1"/>
      <c r="C71" s="1"/>
      <c r="D71" s="1"/>
      <c r="E71" s="1"/>
      <c r="F71" s="1"/>
      <c r="G71" s="1"/>
      <c r="H71" s="1"/>
      <c r="I71" s="1"/>
      <c r="J71" s="1"/>
      <c r="K71" s="1"/>
      <c r="L71" s="1"/>
      <c r="M71" s="1"/>
      <c r="N71" s="1"/>
      <c r="O71" s="1"/>
      <c r="P71" s="1"/>
      <c r="Q71" s="1"/>
      <c r="R71" s="1"/>
      <c r="S71" s="1"/>
    </row>
    <row r="72" spans="1:19" x14ac:dyDescent="0.3">
      <c r="A72" s="20"/>
      <c r="B72" s="1"/>
      <c r="C72" s="1"/>
      <c r="D72" s="1"/>
      <c r="E72" s="1"/>
      <c r="F72" s="1"/>
      <c r="G72" s="1"/>
      <c r="H72" s="1"/>
      <c r="I72" s="1"/>
      <c r="J72" s="1"/>
      <c r="K72" s="1"/>
      <c r="L72" s="1"/>
      <c r="M72" s="1"/>
      <c r="N72" s="1"/>
      <c r="O72" s="1"/>
      <c r="P72" s="1"/>
      <c r="Q72" s="1"/>
      <c r="R72" s="1"/>
      <c r="S72" s="1"/>
    </row>
    <row r="73" spans="1:19" x14ac:dyDescent="0.3">
      <c r="A73" s="20"/>
      <c r="B73" s="1"/>
      <c r="C73" s="1"/>
      <c r="D73" s="1"/>
      <c r="E73" s="1"/>
      <c r="F73" s="1"/>
      <c r="G73" s="1"/>
      <c r="H73" s="1"/>
      <c r="I73" s="1"/>
      <c r="J73" s="1"/>
      <c r="K73" s="1"/>
      <c r="L73" s="1"/>
      <c r="M73" s="1"/>
      <c r="N73" s="1"/>
      <c r="O73" s="1"/>
      <c r="P73" s="1"/>
      <c r="Q73" s="1"/>
      <c r="R73" s="1"/>
      <c r="S73" s="1"/>
    </row>
    <row r="74" spans="1:19" x14ac:dyDescent="0.3">
      <c r="A74" s="20"/>
      <c r="B74" s="1"/>
      <c r="C74" s="1"/>
      <c r="D74" s="1"/>
      <c r="E74" s="1"/>
      <c r="F74" s="1"/>
      <c r="G74" s="1"/>
      <c r="H74" s="1"/>
      <c r="I74" s="1"/>
      <c r="J74" s="1"/>
      <c r="K74" s="1"/>
      <c r="L74" s="1"/>
      <c r="M74" s="1"/>
      <c r="N74" s="1"/>
      <c r="O74" s="1"/>
      <c r="P74" s="1"/>
      <c r="Q74" s="1"/>
      <c r="R74" s="1"/>
      <c r="S74" s="1"/>
    </row>
    <row r="75" spans="1:19" x14ac:dyDescent="0.3">
      <c r="A75" s="20"/>
      <c r="B75" s="1"/>
      <c r="C75" s="1"/>
      <c r="D75" s="1"/>
      <c r="E75" s="1"/>
      <c r="F75" s="1"/>
      <c r="G75" s="1"/>
      <c r="H75" s="1"/>
      <c r="I75" s="1"/>
      <c r="J75" s="1"/>
      <c r="K75" s="1"/>
      <c r="L75" s="1"/>
      <c r="M75" s="1"/>
      <c r="N75" s="1"/>
      <c r="O75" s="1"/>
      <c r="P75" s="1"/>
      <c r="Q75" s="1"/>
      <c r="R75" s="1"/>
      <c r="S75" s="1"/>
    </row>
    <row r="76" spans="1:19" x14ac:dyDescent="0.3">
      <c r="A76" s="20"/>
      <c r="B76" s="1"/>
      <c r="C76" s="1"/>
      <c r="D76" s="1"/>
      <c r="E76" s="1"/>
      <c r="F76" s="1"/>
      <c r="G76" s="1"/>
      <c r="H76" s="1"/>
      <c r="I76" s="1"/>
      <c r="J76" s="1"/>
      <c r="K76" s="1"/>
      <c r="L76" s="1"/>
      <c r="M76" s="1"/>
      <c r="N76" s="1"/>
      <c r="O76" s="1"/>
      <c r="P76" s="1"/>
      <c r="Q76" s="1"/>
      <c r="R76" s="1"/>
      <c r="S76" s="1"/>
    </row>
    <row r="77" spans="1:19" x14ac:dyDescent="0.3">
      <c r="A77" s="20"/>
      <c r="B77" s="1"/>
      <c r="C77" s="1"/>
      <c r="D77" s="1"/>
      <c r="E77" s="1"/>
      <c r="F77" s="1"/>
      <c r="G77" s="1"/>
      <c r="H77" s="1"/>
      <c r="I77" s="1"/>
      <c r="J77" s="1"/>
      <c r="K77" s="1"/>
      <c r="L77" s="1"/>
      <c r="M77" s="1"/>
      <c r="N77" s="1"/>
      <c r="O77" s="1"/>
      <c r="P77" s="1"/>
      <c r="Q77" s="1"/>
      <c r="R77" s="1"/>
      <c r="S77" s="1"/>
    </row>
    <row r="78" spans="1:19" x14ac:dyDescent="0.3">
      <c r="A78" s="20"/>
      <c r="B78" s="1"/>
      <c r="C78" s="1"/>
      <c r="D78" s="1"/>
      <c r="E78" s="1"/>
      <c r="F78" s="1"/>
      <c r="G78" s="1"/>
      <c r="H78" s="1"/>
      <c r="I78" s="1"/>
      <c r="J78" s="1"/>
      <c r="K78" s="1"/>
      <c r="L78" s="1"/>
      <c r="M78" s="1"/>
      <c r="N78" s="1"/>
      <c r="O78" s="1"/>
      <c r="P78" s="1"/>
      <c r="Q78" s="1"/>
      <c r="R78" s="1"/>
      <c r="S78" s="1"/>
    </row>
    <row r="79" spans="1:19" x14ac:dyDescent="0.3">
      <c r="A79" s="20"/>
      <c r="B79" s="1"/>
      <c r="C79" s="1"/>
      <c r="D79" s="1"/>
      <c r="E79" s="1"/>
      <c r="F79" s="1"/>
      <c r="G79" s="1"/>
      <c r="H79" s="1"/>
      <c r="I79" s="1"/>
      <c r="J79" s="1"/>
      <c r="K79" s="1"/>
      <c r="L79" s="1"/>
      <c r="M79" s="1"/>
      <c r="N79" s="1"/>
      <c r="O79" s="1"/>
      <c r="P79" s="1"/>
      <c r="Q79" s="1"/>
      <c r="R79" s="1"/>
      <c r="S79" s="1"/>
    </row>
    <row r="80" spans="1:19" x14ac:dyDescent="0.3">
      <c r="A80" s="20"/>
      <c r="B80" s="1"/>
      <c r="C80" s="1"/>
      <c r="D80" s="1"/>
      <c r="E80" s="1"/>
      <c r="F80" s="1"/>
      <c r="G80" s="1"/>
      <c r="H80" s="1"/>
      <c r="I80" s="1"/>
      <c r="J80" s="1"/>
      <c r="K80" s="1"/>
      <c r="L80" s="1"/>
      <c r="M80" s="1"/>
      <c r="N80" s="1"/>
      <c r="O80" s="1"/>
      <c r="P80" s="1"/>
      <c r="Q80" s="1"/>
      <c r="R80" s="1"/>
      <c r="S80" s="1"/>
    </row>
    <row r="81" spans="1:19" x14ac:dyDescent="0.3">
      <c r="A81" s="20"/>
      <c r="B81" s="1"/>
      <c r="C81" s="1"/>
      <c r="D81" s="1"/>
      <c r="E81" s="1"/>
      <c r="F81" s="1"/>
      <c r="G81" s="1"/>
      <c r="H81" s="1"/>
      <c r="I81" s="1"/>
      <c r="J81" s="1"/>
      <c r="K81" s="1"/>
      <c r="L81" s="1"/>
      <c r="M81" s="1"/>
      <c r="N81" s="1"/>
      <c r="O81" s="1"/>
      <c r="P81" s="1"/>
      <c r="Q81" s="1"/>
      <c r="R81" s="1"/>
      <c r="S81" s="1"/>
    </row>
    <row r="82" spans="1:19" x14ac:dyDescent="0.3">
      <c r="A82" s="20"/>
      <c r="B82" s="1"/>
      <c r="C82" s="1"/>
      <c r="D82" s="1"/>
      <c r="E82" s="1"/>
      <c r="F82" s="1"/>
      <c r="G82" s="1"/>
      <c r="H82" s="1"/>
      <c r="I82" s="1"/>
      <c r="J82" s="1"/>
      <c r="K82" s="1"/>
      <c r="L82" s="1"/>
      <c r="M82" s="1"/>
      <c r="N82" s="1"/>
      <c r="O82" s="1"/>
      <c r="P82" s="1"/>
      <c r="Q82" s="1"/>
      <c r="R82" s="1"/>
      <c r="S82" s="1"/>
    </row>
    <row r="83" spans="1:19" x14ac:dyDescent="0.3">
      <c r="A83" s="20"/>
      <c r="B83" s="1"/>
      <c r="C83" s="1"/>
      <c r="D83" s="1"/>
      <c r="E83" s="1"/>
      <c r="F83" s="1"/>
      <c r="G83" s="1"/>
      <c r="H83" s="1"/>
      <c r="I83" s="1"/>
      <c r="J83" s="1"/>
      <c r="K83" s="1"/>
      <c r="L83" s="1"/>
      <c r="M83" s="1"/>
      <c r="N83" s="1"/>
      <c r="O83" s="1"/>
      <c r="P83" s="1"/>
      <c r="Q83" s="1"/>
      <c r="R83" s="1"/>
      <c r="S83" s="1"/>
    </row>
    <row r="84" spans="1:19" x14ac:dyDescent="0.3">
      <c r="A84" s="20"/>
      <c r="B84" s="1"/>
      <c r="C84" s="1"/>
      <c r="D84" s="1"/>
      <c r="E84" s="1"/>
      <c r="F84" s="1"/>
      <c r="G84" s="1"/>
      <c r="H84" s="1"/>
      <c r="I84" s="1"/>
      <c r="J84" s="1"/>
      <c r="K84" s="1"/>
      <c r="L84" s="1"/>
      <c r="M84" s="1"/>
      <c r="N84" s="1"/>
      <c r="O84" s="1"/>
      <c r="P84" s="1"/>
      <c r="Q84" s="1"/>
      <c r="R84" s="1"/>
      <c r="S84" s="1"/>
    </row>
    <row r="85" spans="1:19" x14ac:dyDescent="0.3">
      <c r="A85" s="20"/>
      <c r="B85" s="1"/>
      <c r="C85" s="1"/>
      <c r="D85" s="1"/>
      <c r="E85" s="1"/>
      <c r="F85" s="1"/>
      <c r="G85" s="1"/>
      <c r="H85" s="1"/>
      <c r="I85" s="1"/>
      <c r="J85" s="1"/>
      <c r="K85" s="1"/>
      <c r="L85" s="1"/>
      <c r="M85" s="1"/>
      <c r="N85" s="1"/>
      <c r="O85" s="1"/>
      <c r="P85" s="1"/>
      <c r="Q85" s="1"/>
      <c r="R85" s="1"/>
      <c r="S85" s="1"/>
    </row>
    <row r="86" spans="1:19" x14ac:dyDescent="0.3">
      <c r="A86" s="20"/>
      <c r="B86" s="1"/>
      <c r="C86" s="1"/>
      <c r="D86" s="1"/>
      <c r="E86" s="1"/>
      <c r="F86" s="1"/>
      <c r="G86" s="1"/>
      <c r="H86" s="1"/>
      <c r="I86" s="1"/>
      <c r="J86" s="1"/>
      <c r="K86" s="1"/>
      <c r="L86" s="1"/>
      <c r="M86" s="1"/>
      <c r="N86" s="1"/>
      <c r="O86" s="1"/>
      <c r="P86" s="1"/>
      <c r="Q86" s="1"/>
      <c r="R86" s="1"/>
      <c r="S86" s="1"/>
    </row>
    <row r="87" spans="1:19" x14ac:dyDescent="0.3">
      <c r="A87" s="20"/>
      <c r="B87" s="1"/>
      <c r="C87" s="1"/>
      <c r="D87" s="1"/>
      <c r="E87" s="1"/>
      <c r="F87" s="1"/>
      <c r="G87" s="1"/>
      <c r="H87" s="1"/>
      <c r="I87" s="1"/>
      <c r="J87" s="1"/>
      <c r="K87" s="1"/>
      <c r="L87" s="1"/>
      <c r="M87" s="1"/>
      <c r="N87" s="1"/>
      <c r="O87" s="1"/>
      <c r="P87" s="1"/>
      <c r="Q87" s="1"/>
      <c r="R87" s="1"/>
      <c r="S87" s="1"/>
    </row>
    <row r="88" spans="1:19" x14ac:dyDescent="0.3">
      <c r="A88" s="20"/>
      <c r="B88" s="1"/>
      <c r="C88" s="1"/>
      <c r="D88" s="1"/>
      <c r="E88" s="1"/>
      <c r="F88" s="1"/>
      <c r="G88" s="1"/>
      <c r="H88" s="1"/>
      <c r="I88" s="1"/>
      <c r="J88" s="1"/>
      <c r="K88" s="1"/>
      <c r="L88" s="1"/>
      <c r="M88" s="1"/>
      <c r="N88" s="1"/>
      <c r="O88" s="1"/>
      <c r="P88" s="1"/>
      <c r="Q88" s="1"/>
      <c r="R88" s="1"/>
      <c r="S88" s="1"/>
    </row>
    <row r="89" spans="1:19" x14ac:dyDescent="0.3">
      <c r="A89" s="20"/>
      <c r="B89" s="1"/>
      <c r="C89" s="1"/>
      <c r="D89" s="1"/>
      <c r="E89" s="1"/>
      <c r="F89" s="1"/>
      <c r="G89" s="1"/>
      <c r="H89" s="1"/>
      <c r="I89" s="1"/>
      <c r="J89" s="1"/>
      <c r="K89" s="1"/>
      <c r="L89" s="1"/>
      <c r="M89" s="1"/>
      <c r="N89" s="1"/>
      <c r="O89" s="1"/>
      <c r="P89" s="1"/>
      <c r="Q89" s="1"/>
      <c r="R89" s="1"/>
      <c r="S89" s="1"/>
    </row>
    <row r="90" spans="1:19" x14ac:dyDescent="0.3">
      <c r="A90" s="20"/>
      <c r="B90" s="1"/>
      <c r="C90" s="1"/>
      <c r="D90" s="1"/>
      <c r="E90" s="1"/>
      <c r="F90" s="1"/>
      <c r="G90" s="1"/>
      <c r="H90" s="1"/>
      <c r="I90" s="1"/>
      <c r="J90" s="1"/>
      <c r="K90" s="1"/>
      <c r="L90" s="1"/>
      <c r="M90" s="1"/>
      <c r="N90" s="1"/>
      <c r="O90" s="1"/>
      <c r="P90" s="1"/>
      <c r="Q90" s="1"/>
      <c r="R90" s="1"/>
      <c r="S90" s="1"/>
    </row>
    <row r="91" spans="1:19" x14ac:dyDescent="0.3">
      <c r="A91" s="20"/>
      <c r="B91" s="1"/>
      <c r="C91" s="1"/>
      <c r="D91" s="1"/>
      <c r="E91" s="1"/>
      <c r="F91" s="1"/>
      <c r="G91" s="1"/>
      <c r="H91" s="1"/>
      <c r="I91" s="1"/>
      <c r="J91" s="1"/>
      <c r="K91" s="1"/>
      <c r="L91" s="1"/>
      <c r="M91" s="1"/>
      <c r="N91" s="1"/>
      <c r="O91" s="1"/>
      <c r="P91" s="1"/>
      <c r="Q91" s="1"/>
      <c r="R91" s="1"/>
      <c r="S91" s="1"/>
    </row>
    <row r="92" spans="1:19" x14ac:dyDescent="0.3">
      <c r="A92" s="20"/>
      <c r="B92" s="1"/>
      <c r="C92" s="1"/>
      <c r="D92" s="1"/>
      <c r="E92" s="1"/>
      <c r="F92" s="1"/>
      <c r="G92" s="1"/>
      <c r="H92" s="1"/>
      <c r="I92" s="1"/>
      <c r="J92" s="1"/>
      <c r="K92" s="1"/>
      <c r="L92" s="1"/>
      <c r="M92" s="1"/>
      <c r="N92" s="1"/>
      <c r="O92" s="1"/>
      <c r="P92" s="1"/>
      <c r="Q92" s="1"/>
      <c r="R92" s="1"/>
      <c r="S92" s="1"/>
    </row>
    <row r="93" spans="1:19" x14ac:dyDescent="0.3">
      <c r="A93" s="20"/>
      <c r="B93" s="1"/>
      <c r="C93" s="1"/>
      <c r="D93" s="1"/>
      <c r="E93" s="1"/>
      <c r="F93" s="1"/>
      <c r="G93" s="1"/>
      <c r="H93" s="1"/>
      <c r="I93" s="1"/>
      <c r="J93" s="1"/>
      <c r="K93" s="1"/>
      <c r="L93" s="1"/>
      <c r="M93" s="1"/>
      <c r="N93" s="1"/>
      <c r="O93" s="1"/>
      <c r="P93" s="1"/>
      <c r="Q93" s="1"/>
      <c r="R93" s="1"/>
      <c r="S93" s="1"/>
    </row>
    <row r="94" spans="1:19" x14ac:dyDescent="0.3">
      <c r="A94" s="20"/>
      <c r="B94" s="1"/>
      <c r="C94" s="1"/>
      <c r="D94" s="1"/>
      <c r="E94" s="1"/>
      <c r="F94" s="1"/>
      <c r="G94" s="1"/>
      <c r="H94" s="1"/>
      <c r="I94" s="1"/>
      <c r="J94" s="1"/>
      <c r="K94" s="1"/>
      <c r="L94" s="1"/>
      <c r="M94" s="1"/>
      <c r="N94" s="1"/>
      <c r="O94" s="1"/>
      <c r="P94" s="1"/>
      <c r="Q94" s="1"/>
      <c r="R94" s="1"/>
      <c r="S94" s="1"/>
    </row>
    <row r="95" spans="1:19" x14ac:dyDescent="0.3">
      <c r="A95" s="20"/>
      <c r="B95" s="1"/>
      <c r="C95" s="1"/>
      <c r="D95" s="1"/>
      <c r="E95" s="1"/>
      <c r="F95" s="1"/>
      <c r="G95" s="1"/>
      <c r="H95" s="1"/>
      <c r="I95" s="1"/>
      <c r="J95" s="1"/>
      <c r="K95" s="1"/>
      <c r="L95" s="1"/>
      <c r="M95" s="1"/>
      <c r="N95" s="1"/>
      <c r="O95" s="1"/>
      <c r="P95" s="1"/>
      <c r="Q95" s="1"/>
      <c r="R95" s="1"/>
      <c r="S95" s="1"/>
    </row>
    <row r="96" spans="1:19" x14ac:dyDescent="0.3">
      <c r="A96" s="20"/>
      <c r="B96" s="1"/>
      <c r="C96" s="1"/>
      <c r="D96" s="1"/>
      <c r="E96" s="1"/>
      <c r="F96" s="1"/>
      <c r="G96" s="1"/>
      <c r="H96" s="1"/>
      <c r="I96" s="1"/>
      <c r="J96" s="1"/>
      <c r="K96" s="1"/>
      <c r="L96" s="1"/>
      <c r="M96" s="1"/>
      <c r="N96" s="1"/>
      <c r="O96" s="1"/>
      <c r="P96" s="1"/>
      <c r="Q96" s="1"/>
      <c r="R96" s="1"/>
      <c r="S96" s="1"/>
    </row>
    <row r="97" spans="1:19" x14ac:dyDescent="0.3">
      <c r="A97" s="20"/>
      <c r="B97" s="1"/>
      <c r="C97" s="1"/>
      <c r="D97" s="1"/>
      <c r="E97" s="1"/>
      <c r="F97" s="1"/>
      <c r="G97" s="1"/>
      <c r="H97" s="1"/>
      <c r="I97" s="1"/>
      <c r="J97" s="1"/>
      <c r="K97" s="1"/>
      <c r="L97" s="1"/>
      <c r="M97" s="1"/>
      <c r="N97" s="1"/>
      <c r="O97" s="1"/>
      <c r="P97" s="1"/>
      <c r="Q97" s="1"/>
      <c r="R97" s="1"/>
      <c r="S97" s="1"/>
    </row>
    <row r="98" spans="1:19" x14ac:dyDescent="0.3">
      <c r="A98" s="20"/>
      <c r="B98" s="1"/>
      <c r="C98" s="1"/>
      <c r="D98" s="1"/>
      <c r="E98" s="1"/>
      <c r="F98" s="1"/>
      <c r="G98" s="1"/>
      <c r="H98" s="1"/>
      <c r="I98" s="1"/>
      <c r="J98" s="1"/>
      <c r="K98" s="1"/>
      <c r="L98" s="1"/>
      <c r="M98" s="1"/>
      <c r="N98" s="1"/>
      <c r="O98" s="1"/>
      <c r="P98" s="1"/>
      <c r="Q98" s="1"/>
      <c r="R98" s="1"/>
      <c r="S98" s="1"/>
    </row>
    <row r="99" spans="1:19" x14ac:dyDescent="0.3">
      <c r="A99" s="20"/>
      <c r="B99" s="1"/>
      <c r="C99" s="1"/>
      <c r="D99" s="1"/>
      <c r="E99" s="1"/>
      <c r="F99" s="1"/>
      <c r="G99" s="1"/>
      <c r="H99" s="1"/>
      <c r="I99" s="1"/>
      <c r="J99" s="1"/>
      <c r="K99" s="1"/>
      <c r="L99" s="1"/>
      <c r="M99" s="1"/>
      <c r="N99" s="1"/>
      <c r="O99" s="1"/>
      <c r="P99" s="1"/>
      <c r="Q99" s="1"/>
      <c r="R99" s="1"/>
      <c r="S99" s="1"/>
    </row>
    <row r="100" spans="1:19" x14ac:dyDescent="0.3">
      <c r="A100" s="20"/>
      <c r="B100" s="1"/>
      <c r="C100" s="1"/>
      <c r="D100" s="1"/>
      <c r="E100" s="1"/>
      <c r="F100" s="1"/>
      <c r="G100" s="1"/>
      <c r="H100" s="1"/>
      <c r="I100" s="1"/>
      <c r="J100" s="1"/>
      <c r="K100" s="1"/>
      <c r="L100" s="1"/>
      <c r="M100" s="1"/>
      <c r="N100" s="1"/>
      <c r="O100" s="1"/>
      <c r="P100" s="1"/>
      <c r="Q100" s="1"/>
      <c r="R100" s="1"/>
      <c r="S100" s="1"/>
    </row>
    <row r="101" spans="1:19" x14ac:dyDescent="0.3">
      <c r="A101" s="20"/>
      <c r="B101" s="1"/>
      <c r="C101" s="1"/>
      <c r="D101" s="1"/>
      <c r="E101" s="1"/>
      <c r="F101" s="1"/>
      <c r="G101" s="1"/>
      <c r="H101" s="1"/>
      <c r="I101" s="1"/>
      <c r="J101" s="1"/>
      <c r="K101" s="1"/>
      <c r="L101" s="1"/>
      <c r="M101" s="1"/>
      <c r="N101" s="1"/>
      <c r="O101" s="1"/>
      <c r="P101" s="1"/>
      <c r="Q101" s="1"/>
      <c r="R101" s="1"/>
      <c r="S101" s="1"/>
    </row>
    <row r="102" spans="1:19" x14ac:dyDescent="0.3">
      <c r="A102" s="20"/>
      <c r="B102" s="1"/>
      <c r="C102" s="1"/>
      <c r="D102" s="1"/>
      <c r="E102" s="1"/>
      <c r="F102" s="1"/>
      <c r="G102" s="1"/>
      <c r="H102" s="1"/>
      <c r="I102" s="1"/>
      <c r="J102" s="1"/>
      <c r="K102" s="1"/>
      <c r="L102" s="1"/>
      <c r="M102" s="1"/>
      <c r="N102" s="1"/>
      <c r="O102" s="1"/>
      <c r="P102" s="1"/>
      <c r="Q102" s="1"/>
      <c r="R102" s="1"/>
      <c r="S102" s="1"/>
    </row>
    <row r="103" spans="1:19" x14ac:dyDescent="0.3">
      <c r="A103" s="20"/>
      <c r="B103" s="1"/>
      <c r="C103" s="1"/>
      <c r="D103" s="1"/>
      <c r="E103" s="1"/>
      <c r="F103" s="1"/>
      <c r="G103" s="1"/>
      <c r="H103" s="1"/>
      <c r="I103" s="1"/>
      <c r="J103" s="1"/>
      <c r="K103" s="1"/>
      <c r="L103" s="1"/>
      <c r="M103" s="1"/>
      <c r="N103" s="1"/>
      <c r="O103" s="1"/>
      <c r="P103" s="1"/>
      <c r="Q103" s="1"/>
      <c r="R103" s="1"/>
      <c r="S103" s="1"/>
    </row>
    <row r="104" spans="1:19" x14ac:dyDescent="0.3">
      <c r="A104" s="20"/>
      <c r="B104" s="1"/>
      <c r="C104" s="1"/>
      <c r="D104" s="1"/>
      <c r="E104" s="1"/>
      <c r="F104" s="1"/>
      <c r="G104" s="1"/>
      <c r="H104" s="1"/>
      <c r="I104" s="1"/>
      <c r="J104" s="1"/>
      <c r="K104" s="1"/>
      <c r="L104" s="1"/>
      <c r="M104" s="1"/>
      <c r="N104" s="1"/>
      <c r="O104" s="1"/>
      <c r="P104" s="1"/>
      <c r="Q104" s="1"/>
      <c r="R104" s="1"/>
      <c r="S104" s="1"/>
    </row>
    <row r="105" spans="1:19" x14ac:dyDescent="0.3">
      <c r="A105" s="20"/>
      <c r="B105" s="1"/>
      <c r="C105" s="1"/>
      <c r="D105" s="1"/>
      <c r="E105" s="1"/>
      <c r="F105" s="1"/>
      <c r="G105" s="1"/>
      <c r="H105" s="1"/>
      <c r="I105" s="1"/>
      <c r="J105" s="1"/>
      <c r="K105" s="1"/>
      <c r="L105" s="1"/>
      <c r="M105" s="1"/>
      <c r="N105" s="1"/>
      <c r="O105" s="1"/>
      <c r="P105" s="1"/>
      <c r="Q105" s="1"/>
      <c r="R105" s="1"/>
      <c r="S105" s="1"/>
    </row>
    <row r="106" spans="1:19" x14ac:dyDescent="0.3">
      <c r="A106" s="20"/>
      <c r="B106" s="1"/>
      <c r="C106" s="1"/>
      <c r="D106" s="1"/>
      <c r="E106" s="1"/>
      <c r="F106" s="1"/>
      <c r="G106" s="1"/>
      <c r="H106" s="1"/>
      <c r="I106" s="1"/>
      <c r="J106" s="1"/>
      <c r="K106" s="1"/>
      <c r="L106" s="1"/>
      <c r="M106" s="1"/>
      <c r="N106" s="1"/>
      <c r="O106" s="1"/>
      <c r="P106" s="1"/>
      <c r="Q106" s="1"/>
      <c r="R106" s="1"/>
      <c r="S106" s="1"/>
    </row>
    <row r="107" spans="1:19" x14ac:dyDescent="0.3">
      <c r="A107" s="20"/>
      <c r="B107" s="1"/>
      <c r="C107" s="1"/>
      <c r="D107" s="1"/>
      <c r="E107" s="1"/>
      <c r="F107" s="1"/>
      <c r="G107" s="1"/>
      <c r="H107" s="1"/>
      <c r="I107" s="1"/>
      <c r="J107" s="1"/>
      <c r="K107" s="1"/>
      <c r="L107" s="1"/>
      <c r="M107" s="1"/>
      <c r="N107" s="1"/>
      <c r="O107" s="1"/>
      <c r="P107" s="1"/>
      <c r="Q107" s="1"/>
      <c r="R107" s="1"/>
      <c r="S107" s="1"/>
    </row>
    <row r="108" spans="1:19" x14ac:dyDescent="0.3">
      <c r="A108" s="20"/>
      <c r="B108" s="1"/>
      <c r="C108" s="1"/>
      <c r="D108" s="1"/>
      <c r="E108" s="1"/>
      <c r="F108" s="1"/>
      <c r="G108" s="1"/>
      <c r="H108" s="1"/>
      <c r="I108" s="1"/>
      <c r="J108" s="1"/>
      <c r="K108" s="1"/>
      <c r="L108" s="1"/>
      <c r="M108" s="1"/>
      <c r="N108" s="1"/>
      <c r="O108" s="1"/>
      <c r="P108" s="1"/>
      <c r="Q108" s="1"/>
      <c r="R108" s="1"/>
      <c r="S108" s="1"/>
    </row>
    <row r="109" spans="1:19" x14ac:dyDescent="0.3">
      <c r="A109" s="20"/>
      <c r="B109" s="1"/>
      <c r="C109" s="1"/>
      <c r="D109" s="1"/>
      <c r="E109" s="1"/>
      <c r="F109" s="1"/>
      <c r="G109" s="1"/>
      <c r="H109" s="1"/>
      <c r="I109" s="1"/>
      <c r="J109" s="1"/>
      <c r="K109" s="1"/>
      <c r="L109" s="1"/>
      <c r="M109" s="1"/>
      <c r="N109" s="1"/>
      <c r="O109" s="1"/>
      <c r="P109" s="1"/>
      <c r="Q109" s="1"/>
      <c r="R109" s="1"/>
      <c r="S109" s="1"/>
    </row>
    <row r="110" spans="1:19" x14ac:dyDescent="0.3">
      <c r="A110" s="20"/>
      <c r="B110" s="1"/>
      <c r="C110" s="1"/>
      <c r="D110" s="1"/>
      <c r="E110" s="1"/>
      <c r="F110" s="1"/>
      <c r="G110" s="1"/>
      <c r="H110" s="1"/>
      <c r="I110" s="1"/>
      <c r="J110" s="1"/>
      <c r="K110" s="1"/>
      <c r="L110" s="1"/>
      <c r="M110" s="1"/>
      <c r="N110" s="1"/>
      <c r="O110" s="1"/>
      <c r="P110" s="1"/>
      <c r="Q110" s="1"/>
      <c r="R110" s="1"/>
      <c r="S110" s="1"/>
    </row>
    <row r="111" spans="1:19" x14ac:dyDescent="0.3">
      <c r="A111" s="20"/>
      <c r="B111" s="1"/>
      <c r="C111" s="1"/>
      <c r="D111" s="1"/>
      <c r="E111" s="1"/>
      <c r="F111" s="1"/>
      <c r="G111" s="1"/>
      <c r="H111" s="1"/>
      <c r="I111" s="1"/>
      <c r="J111" s="1"/>
      <c r="K111" s="1"/>
      <c r="L111" s="1"/>
      <c r="M111" s="1"/>
      <c r="N111" s="1"/>
      <c r="O111" s="1"/>
      <c r="P111" s="1"/>
      <c r="Q111" s="1"/>
      <c r="R111" s="1"/>
      <c r="S111" s="1"/>
    </row>
    <row r="112" spans="1:19" x14ac:dyDescent="0.3">
      <c r="A112" s="20"/>
      <c r="B112" s="1"/>
      <c r="C112" s="1"/>
      <c r="D112" s="1"/>
      <c r="E112" s="1"/>
      <c r="F112" s="1"/>
      <c r="G112" s="1"/>
      <c r="H112" s="1"/>
      <c r="I112" s="1"/>
      <c r="J112" s="1"/>
      <c r="K112" s="1"/>
      <c r="L112" s="1"/>
      <c r="M112" s="1"/>
      <c r="N112" s="1"/>
      <c r="O112" s="1"/>
      <c r="P112" s="1"/>
      <c r="Q112" s="1"/>
      <c r="R112" s="1"/>
      <c r="S112" s="1"/>
    </row>
    <row r="113" spans="1:19" x14ac:dyDescent="0.3">
      <c r="A113" s="20"/>
      <c r="B113" s="1"/>
      <c r="C113" s="1"/>
      <c r="D113" s="1"/>
      <c r="E113" s="1"/>
      <c r="F113" s="1"/>
      <c r="G113" s="1"/>
      <c r="H113" s="1"/>
      <c r="I113" s="1"/>
      <c r="J113" s="1"/>
      <c r="K113" s="1"/>
      <c r="L113" s="1"/>
      <c r="M113" s="1"/>
      <c r="N113" s="1"/>
      <c r="O113" s="1"/>
      <c r="P113" s="1"/>
      <c r="Q113" s="1"/>
      <c r="R113" s="1"/>
      <c r="S113" s="1"/>
    </row>
    <row r="114" spans="1:19" x14ac:dyDescent="0.3">
      <c r="A114" s="20"/>
      <c r="B114" s="1"/>
      <c r="C114" s="1"/>
      <c r="D114" s="1"/>
      <c r="E114" s="1"/>
      <c r="F114" s="1"/>
      <c r="G114" s="1"/>
      <c r="H114" s="1"/>
      <c r="I114" s="1"/>
      <c r="J114" s="1"/>
      <c r="K114" s="1"/>
      <c r="L114" s="1"/>
      <c r="M114" s="1"/>
      <c r="N114" s="1"/>
      <c r="O114" s="1"/>
      <c r="P114" s="1"/>
      <c r="Q114" s="1"/>
      <c r="R114" s="1"/>
      <c r="S114" s="1"/>
    </row>
    <row r="115" spans="1:19" x14ac:dyDescent="0.3">
      <c r="A115" s="20"/>
      <c r="B115" s="1"/>
      <c r="C115" s="1"/>
      <c r="D115" s="1"/>
      <c r="E115" s="1"/>
      <c r="F115" s="1"/>
      <c r="G115" s="1"/>
      <c r="H115" s="1"/>
      <c r="I115" s="1"/>
      <c r="J115" s="1"/>
      <c r="K115" s="1"/>
      <c r="L115" s="1"/>
      <c r="M115" s="1"/>
      <c r="N115" s="1"/>
      <c r="O115" s="1"/>
      <c r="P115" s="1"/>
      <c r="Q115" s="1"/>
      <c r="R115" s="1"/>
      <c r="S115" s="1"/>
    </row>
    <row r="116" spans="1:19" x14ac:dyDescent="0.3">
      <c r="A116" s="20"/>
      <c r="B116" s="1"/>
      <c r="C116" s="1"/>
      <c r="D116" s="1"/>
      <c r="E116" s="1"/>
      <c r="F116" s="1"/>
      <c r="G116" s="1"/>
      <c r="H116" s="1"/>
      <c r="I116" s="1"/>
      <c r="J116" s="1"/>
      <c r="K116" s="1"/>
      <c r="L116" s="1"/>
      <c r="M116" s="1"/>
      <c r="N116" s="1"/>
      <c r="O116" s="1"/>
      <c r="P116" s="1"/>
      <c r="Q116" s="1"/>
      <c r="R116" s="1"/>
      <c r="S116" s="1"/>
    </row>
    <row r="117" spans="1:19" x14ac:dyDescent="0.3">
      <c r="A117" s="20"/>
      <c r="B117" s="1"/>
      <c r="C117" s="1"/>
      <c r="D117" s="1"/>
      <c r="E117" s="1"/>
      <c r="F117" s="1"/>
      <c r="G117" s="1"/>
      <c r="H117" s="1"/>
      <c r="I117" s="1"/>
      <c r="J117" s="1"/>
      <c r="K117" s="1"/>
      <c r="L117" s="1"/>
      <c r="M117" s="1"/>
      <c r="N117" s="1"/>
      <c r="O117" s="1"/>
      <c r="P117" s="1"/>
      <c r="Q117" s="1"/>
      <c r="R117" s="1"/>
      <c r="S117" s="1"/>
    </row>
    <row r="118" spans="1:19" x14ac:dyDescent="0.3">
      <c r="A118" s="20"/>
      <c r="B118" s="1"/>
      <c r="C118" s="1"/>
      <c r="D118" s="1"/>
      <c r="E118" s="1"/>
      <c r="F118" s="1"/>
      <c r="G118" s="1"/>
      <c r="H118" s="1"/>
      <c r="I118" s="1"/>
      <c r="J118" s="1"/>
      <c r="K118" s="1"/>
      <c r="L118" s="1"/>
      <c r="M118" s="1"/>
      <c r="N118" s="1"/>
      <c r="O118" s="1"/>
      <c r="P118" s="1"/>
      <c r="Q118" s="1"/>
      <c r="R118" s="1"/>
      <c r="S118" s="1"/>
    </row>
    <row r="119" spans="1:19" x14ac:dyDescent="0.3">
      <c r="A119" s="20"/>
      <c r="B119" s="1"/>
      <c r="C119" s="1"/>
      <c r="D119" s="1"/>
      <c r="E119" s="1"/>
      <c r="F119" s="1"/>
      <c r="G119" s="1"/>
      <c r="H119" s="1"/>
      <c r="I119" s="1"/>
      <c r="J119" s="1"/>
      <c r="K119" s="1"/>
      <c r="L119" s="1"/>
      <c r="M119" s="1"/>
      <c r="N119" s="1"/>
      <c r="O119" s="1"/>
      <c r="P119" s="1"/>
      <c r="Q119" s="1"/>
      <c r="R119" s="1"/>
      <c r="S119" s="1"/>
    </row>
    <row r="120" spans="1:19" x14ac:dyDescent="0.3">
      <c r="A120" s="20"/>
      <c r="B120" s="1"/>
      <c r="C120" s="1"/>
      <c r="D120" s="1"/>
      <c r="E120" s="1"/>
      <c r="F120" s="1"/>
      <c r="G120" s="1"/>
      <c r="H120" s="1"/>
      <c r="I120" s="1"/>
      <c r="J120" s="1"/>
      <c r="K120" s="1"/>
      <c r="L120" s="1"/>
      <c r="M120" s="1"/>
      <c r="N120" s="1"/>
      <c r="O120" s="1"/>
      <c r="P120" s="1"/>
      <c r="Q120" s="1"/>
      <c r="R120" s="1"/>
      <c r="S120" s="1"/>
    </row>
    <row r="121" spans="1:19" x14ac:dyDescent="0.3">
      <c r="A121" s="20"/>
      <c r="B121" s="1"/>
      <c r="C121" s="1"/>
      <c r="D121" s="1"/>
      <c r="E121" s="1"/>
      <c r="F121" s="1"/>
      <c r="G121" s="1"/>
      <c r="H121" s="1"/>
      <c r="I121" s="1"/>
      <c r="J121" s="1"/>
      <c r="K121" s="1"/>
      <c r="L121" s="1"/>
      <c r="M121" s="1"/>
      <c r="N121" s="1"/>
      <c r="O121" s="1"/>
      <c r="P121" s="1"/>
      <c r="Q121" s="1"/>
      <c r="R121" s="1"/>
      <c r="S121" s="1"/>
    </row>
    <row r="122" spans="1:19" x14ac:dyDescent="0.3">
      <c r="A122" s="20"/>
      <c r="B122" s="1"/>
      <c r="C122" s="1"/>
      <c r="D122" s="1"/>
      <c r="E122" s="1"/>
      <c r="F122" s="1"/>
      <c r="G122" s="1"/>
      <c r="H122" s="1"/>
      <c r="I122" s="1"/>
      <c r="J122" s="1"/>
      <c r="K122" s="1"/>
      <c r="L122" s="1"/>
      <c r="M122" s="1"/>
      <c r="N122" s="1"/>
      <c r="O122" s="1"/>
      <c r="P122" s="1"/>
      <c r="Q122" s="1"/>
      <c r="R122" s="1"/>
      <c r="S122" s="1"/>
    </row>
    <row r="123" spans="1:19" x14ac:dyDescent="0.3">
      <c r="A123" s="20"/>
      <c r="B123" s="1"/>
      <c r="C123" s="1"/>
      <c r="D123" s="1"/>
      <c r="E123" s="1"/>
      <c r="F123" s="1"/>
      <c r="G123" s="1"/>
      <c r="H123" s="1"/>
      <c r="I123" s="1"/>
      <c r="J123" s="1"/>
      <c r="K123" s="1"/>
      <c r="L123" s="1"/>
      <c r="M123" s="1"/>
      <c r="N123" s="1"/>
      <c r="O123" s="1"/>
      <c r="P123" s="1"/>
      <c r="Q123" s="1"/>
      <c r="R123" s="1"/>
      <c r="S123" s="1"/>
    </row>
    <row r="124" spans="1:19" x14ac:dyDescent="0.3">
      <c r="A124" s="20"/>
      <c r="B124" s="1"/>
      <c r="C124" s="1"/>
      <c r="D124" s="1"/>
      <c r="E124" s="1"/>
      <c r="F124" s="1"/>
      <c r="G124" s="1"/>
      <c r="H124" s="1"/>
      <c r="I124" s="1"/>
      <c r="J124" s="1"/>
      <c r="K124" s="1"/>
      <c r="L124" s="1"/>
      <c r="M124" s="1"/>
      <c r="N124" s="1"/>
      <c r="O124" s="1"/>
      <c r="P124" s="1"/>
      <c r="Q124" s="1"/>
      <c r="R124" s="1"/>
      <c r="S124" s="1"/>
    </row>
    <row r="125" spans="1:19" x14ac:dyDescent="0.3">
      <c r="A125" s="20"/>
      <c r="B125" s="1"/>
      <c r="C125" s="1"/>
      <c r="D125" s="1"/>
      <c r="E125" s="1"/>
      <c r="F125" s="1"/>
      <c r="G125" s="1"/>
      <c r="H125" s="1"/>
      <c r="I125" s="1"/>
      <c r="J125" s="1"/>
      <c r="K125" s="1"/>
      <c r="L125" s="1"/>
      <c r="M125" s="1"/>
      <c r="N125" s="1"/>
      <c r="O125" s="1"/>
      <c r="P125" s="1"/>
      <c r="Q125" s="1"/>
      <c r="R125" s="1"/>
      <c r="S125" s="1"/>
    </row>
    <row r="126" spans="1:19" x14ac:dyDescent="0.3">
      <c r="A126" s="20"/>
      <c r="B126" s="1"/>
      <c r="C126" s="1"/>
      <c r="D126" s="1"/>
      <c r="E126" s="1"/>
      <c r="F126" s="1"/>
      <c r="G126" s="1"/>
      <c r="H126" s="1"/>
      <c r="I126" s="1"/>
      <c r="J126" s="1"/>
      <c r="K126" s="1"/>
      <c r="L126" s="1"/>
      <c r="M126" s="1"/>
      <c r="N126" s="1"/>
      <c r="O126" s="1"/>
      <c r="P126" s="1"/>
      <c r="Q126" s="1"/>
      <c r="R126" s="1"/>
      <c r="S126" s="1"/>
    </row>
    <row r="127" spans="1:19" x14ac:dyDescent="0.3">
      <c r="A127" s="20"/>
      <c r="B127" s="1"/>
      <c r="C127" s="1"/>
      <c r="D127" s="1"/>
      <c r="E127" s="1"/>
      <c r="F127" s="1"/>
      <c r="G127" s="1"/>
      <c r="H127" s="1"/>
      <c r="I127" s="1"/>
      <c r="J127" s="1"/>
      <c r="K127" s="1"/>
      <c r="L127" s="1"/>
      <c r="M127" s="1"/>
      <c r="N127" s="1"/>
      <c r="O127" s="1"/>
      <c r="P127" s="1"/>
      <c r="Q127" s="1"/>
      <c r="R127" s="1"/>
      <c r="S127" s="1"/>
    </row>
    <row r="128" spans="1:19" x14ac:dyDescent="0.3">
      <c r="A128" s="20"/>
      <c r="B128" s="1"/>
      <c r="C128" s="1"/>
      <c r="D128" s="1"/>
      <c r="E128" s="1"/>
      <c r="F128" s="1"/>
      <c r="G128" s="1"/>
      <c r="H128" s="1"/>
      <c r="I128" s="1"/>
      <c r="J128" s="1"/>
      <c r="K128" s="1"/>
      <c r="L128" s="1"/>
      <c r="M128" s="1"/>
      <c r="N128" s="1"/>
      <c r="O128" s="1"/>
      <c r="P128" s="1"/>
      <c r="Q128" s="1"/>
      <c r="R128" s="1"/>
      <c r="S128" s="1"/>
    </row>
    <row r="129" spans="1:19" x14ac:dyDescent="0.3">
      <c r="A129" s="20"/>
      <c r="B129" s="1"/>
      <c r="C129" s="1"/>
      <c r="D129" s="1"/>
      <c r="E129" s="1"/>
      <c r="F129" s="1"/>
      <c r="G129" s="1"/>
      <c r="H129" s="1"/>
      <c r="I129" s="1"/>
      <c r="J129" s="1"/>
      <c r="K129" s="1"/>
      <c r="L129" s="1"/>
      <c r="M129" s="1"/>
      <c r="N129" s="1"/>
      <c r="O129" s="1"/>
      <c r="P129" s="1"/>
      <c r="Q129" s="1"/>
      <c r="R129" s="1"/>
      <c r="S129" s="1"/>
    </row>
    <row r="130" spans="1:19" x14ac:dyDescent="0.3">
      <c r="A130" s="20"/>
      <c r="B130" s="1"/>
      <c r="C130" s="1"/>
      <c r="D130" s="1"/>
      <c r="E130" s="1"/>
      <c r="F130" s="1"/>
      <c r="G130" s="1"/>
      <c r="H130" s="1"/>
      <c r="I130" s="1"/>
      <c r="J130" s="1"/>
      <c r="K130" s="1"/>
      <c r="L130" s="1"/>
      <c r="M130" s="1"/>
      <c r="N130" s="1"/>
      <c r="O130" s="1"/>
      <c r="P130" s="1"/>
      <c r="Q130" s="1"/>
      <c r="R130" s="1"/>
      <c r="S130" s="1"/>
    </row>
    <row r="131" spans="1:19" x14ac:dyDescent="0.3">
      <c r="A131" s="20"/>
      <c r="B131" s="1"/>
      <c r="C131" s="1"/>
      <c r="D131" s="1"/>
      <c r="E131" s="1"/>
      <c r="F131" s="1"/>
      <c r="G131" s="1"/>
      <c r="H131" s="1"/>
      <c r="I131" s="1"/>
      <c r="J131" s="1"/>
      <c r="K131" s="1"/>
      <c r="L131" s="1"/>
      <c r="M131" s="1"/>
      <c r="N131" s="1"/>
      <c r="O131" s="1"/>
      <c r="P131" s="1"/>
      <c r="Q131" s="1"/>
      <c r="R131" s="1"/>
      <c r="S131" s="1"/>
    </row>
    <row r="132" spans="1:19" x14ac:dyDescent="0.3">
      <c r="A132" s="20"/>
      <c r="B132" s="1"/>
      <c r="C132" s="1"/>
      <c r="D132" s="1"/>
      <c r="E132" s="1"/>
      <c r="F132" s="1"/>
      <c r="G132" s="1"/>
      <c r="H132" s="1"/>
      <c r="I132" s="1"/>
      <c r="J132" s="1"/>
      <c r="K132" s="1"/>
      <c r="L132" s="1"/>
      <c r="M132" s="1"/>
      <c r="N132" s="1"/>
      <c r="O132" s="1"/>
      <c r="P132" s="1"/>
      <c r="Q132" s="1"/>
      <c r="R132" s="1"/>
      <c r="S132" s="1"/>
    </row>
    <row r="133" spans="1:19" x14ac:dyDescent="0.3">
      <c r="A133" s="20"/>
      <c r="B133" s="1"/>
      <c r="C133" s="1"/>
      <c r="D133" s="1"/>
      <c r="E133" s="1"/>
      <c r="F133" s="1"/>
      <c r="G133" s="1"/>
      <c r="H133" s="1"/>
      <c r="I133" s="1"/>
      <c r="J133" s="1"/>
      <c r="K133" s="1"/>
      <c r="L133" s="1"/>
      <c r="M133" s="1"/>
      <c r="N133" s="1"/>
      <c r="O133" s="1"/>
      <c r="P133" s="1"/>
      <c r="Q133" s="1"/>
      <c r="R133" s="1"/>
      <c r="S133" s="1"/>
    </row>
    <row r="134" spans="1:19" x14ac:dyDescent="0.3">
      <c r="A134" s="20"/>
      <c r="B134" s="1"/>
      <c r="C134" s="1"/>
      <c r="D134" s="1"/>
      <c r="E134" s="1"/>
      <c r="F134" s="1"/>
      <c r="G134" s="1"/>
      <c r="H134" s="1"/>
      <c r="I134" s="1"/>
      <c r="J134" s="1"/>
      <c r="K134" s="1"/>
      <c r="L134" s="1"/>
      <c r="M134" s="1"/>
      <c r="N134" s="1"/>
      <c r="O134" s="1"/>
      <c r="P134" s="1"/>
      <c r="Q134" s="1"/>
      <c r="R134" s="1"/>
      <c r="S134" s="1"/>
    </row>
    <row r="135" spans="1:19" x14ac:dyDescent="0.3">
      <c r="A135" s="20"/>
      <c r="B135" s="1"/>
      <c r="C135" s="1"/>
      <c r="D135" s="1"/>
      <c r="E135" s="1"/>
      <c r="F135" s="1"/>
      <c r="G135" s="1"/>
      <c r="H135" s="1"/>
      <c r="I135" s="1"/>
      <c r="J135" s="1"/>
      <c r="K135" s="1"/>
      <c r="L135" s="1"/>
      <c r="M135" s="1"/>
      <c r="N135" s="1"/>
      <c r="O135" s="1"/>
      <c r="P135" s="1"/>
      <c r="Q135" s="1"/>
      <c r="R135" s="1"/>
      <c r="S135" s="1"/>
    </row>
    <row r="136" spans="1:19" x14ac:dyDescent="0.3">
      <c r="A136" s="20"/>
      <c r="B136" s="1"/>
      <c r="C136" s="1"/>
      <c r="D136" s="1"/>
      <c r="E136" s="1"/>
      <c r="F136" s="1"/>
      <c r="G136" s="1"/>
      <c r="H136" s="1"/>
      <c r="I136" s="1"/>
      <c r="J136" s="1"/>
      <c r="K136" s="1"/>
      <c r="L136" s="1"/>
      <c r="M136" s="1"/>
      <c r="N136" s="1"/>
      <c r="O136" s="1"/>
      <c r="P136" s="1"/>
      <c r="Q136" s="1"/>
      <c r="R136" s="1"/>
      <c r="S136" s="1"/>
    </row>
    <row r="137" spans="1:19" x14ac:dyDescent="0.3">
      <c r="A137" s="20"/>
      <c r="B137" s="1"/>
      <c r="C137" s="1"/>
      <c r="D137" s="1"/>
      <c r="E137" s="1"/>
      <c r="F137" s="1"/>
      <c r="G137" s="1"/>
      <c r="H137" s="1"/>
      <c r="I137" s="1"/>
      <c r="J137" s="1"/>
      <c r="K137" s="1"/>
      <c r="L137" s="1"/>
      <c r="M137" s="1"/>
      <c r="N137" s="1"/>
      <c r="O137" s="1"/>
      <c r="P137" s="1"/>
      <c r="Q137" s="1"/>
      <c r="R137" s="1"/>
      <c r="S137" s="1"/>
    </row>
    <row r="138" spans="1:19" x14ac:dyDescent="0.3">
      <c r="A138" s="20"/>
      <c r="B138" s="1"/>
      <c r="C138" s="1"/>
      <c r="D138" s="1"/>
      <c r="E138" s="1"/>
      <c r="F138" s="1"/>
      <c r="G138" s="1"/>
      <c r="H138" s="1"/>
      <c r="I138" s="1"/>
      <c r="J138" s="1"/>
      <c r="K138" s="1"/>
      <c r="L138" s="1"/>
      <c r="M138" s="1"/>
      <c r="N138" s="1"/>
      <c r="O138" s="1"/>
      <c r="P138" s="1"/>
      <c r="Q138" s="1"/>
      <c r="R138" s="1"/>
      <c r="S138" s="1"/>
    </row>
    <row r="139" spans="1:19" x14ac:dyDescent="0.3">
      <c r="A139" s="20"/>
      <c r="B139" s="1"/>
      <c r="C139" s="1"/>
      <c r="D139" s="1"/>
      <c r="E139" s="1"/>
      <c r="F139" s="1"/>
      <c r="G139" s="1"/>
      <c r="H139" s="1"/>
      <c r="I139" s="1"/>
      <c r="J139" s="1"/>
      <c r="K139" s="1"/>
      <c r="L139" s="1"/>
      <c r="M139" s="1"/>
      <c r="N139" s="1"/>
      <c r="O139" s="1"/>
      <c r="P139" s="1"/>
      <c r="Q139" s="1"/>
      <c r="R139" s="1"/>
      <c r="S139" s="1"/>
    </row>
    <row r="140" spans="1:19" x14ac:dyDescent="0.3">
      <c r="A140" s="20"/>
      <c r="B140" s="1"/>
      <c r="C140" s="1"/>
      <c r="D140" s="1"/>
      <c r="E140" s="1"/>
      <c r="F140" s="1"/>
      <c r="G140" s="1"/>
      <c r="H140" s="1"/>
      <c r="I140" s="1"/>
      <c r="J140" s="1"/>
      <c r="K140" s="1"/>
      <c r="L140" s="1"/>
      <c r="M140" s="1"/>
      <c r="N140" s="1"/>
      <c r="O140" s="1"/>
      <c r="P140" s="1"/>
      <c r="Q140" s="1"/>
      <c r="R140" s="1"/>
      <c r="S140" s="1"/>
    </row>
    <row r="141" spans="1:19" x14ac:dyDescent="0.3">
      <c r="A141" s="20"/>
      <c r="B141" s="1"/>
      <c r="C141" s="1"/>
      <c r="D141" s="1"/>
      <c r="E141" s="1"/>
      <c r="F141" s="1"/>
      <c r="G141" s="1"/>
      <c r="H141" s="1"/>
      <c r="I141" s="1"/>
      <c r="J141" s="1"/>
      <c r="K141" s="1"/>
      <c r="L141" s="1"/>
      <c r="M141" s="1"/>
      <c r="N141" s="1"/>
      <c r="O141" s="1"/>
      <c r="P141" s="1"/>
      <c r="Q141" s="1"/>
      <c r="R141" s="1"/>
      <c r="S141" s="1"/>
    </row>
    <row r="142" spans="1:19" x14ac:dyDescent="0.3">
      <c r="A142" s="20"/>
      <c r="B142" s="1"/>
      <c r="C142" s="1"/>
      <c r="D142" s="1"/>
      <c r="E142" s="1"/>
      <c r="F142" s="1"/>
      <c r="G142" s="1"/>
      <c r="H142" s="1"/>
      <c r="I142" s="1"/>
      <c r="J142" s="1"/>
      <c r="K142" s="1"/>
      <c r="L142" s="1"/>
      <c r="M142" s="1"/>
      <c r="N142" s="1"/>
      <c r="O142" s="1"/>
      <c r="P142" s="1"/>
      <c r="Q142" s="1"/>
      <c r="R142" s="1"/>
      <c r="S142" s="1"/>
    </row>
    <row r="143" spans="1:19" x14ac:dyDescent="0.3">
      <c r="A143" s="20"/>
      <c r="B143" s="1"/>
      <c r="C143" s="1"/>
      <c r="D143" s="1"/>
      <c r="E143" s="1"/>
      <c r="F143" s="1"/>
      <c r="G143" s="1"/>
      <c r="H143" s="1"/>
      <c r="I143" s="1"/>
      <c r="J143" s="1"/>
      <c r="K143" s="1"/>
      <c r="L143" s="1"/>
      <c r="M143" s="1"/>
      <c r="N143" s="1"/>
      <c r="O143" s="1"/>
      <c r="P143" s="1"/>
      <c r="Q143" s="1"/>
      <c r="R143" s="1"/>
      <c r="S143" s="1"/>
    </row>
    <row r="144" spans="1:19" x14ac:dyDescent="0.3">
      <c r="A144" s="20"/>
      <c r="B144" s="1"/>
      <c r="C144" s="1"/>
      <c r="D144" s="1"/>
      <c r="E144" s="1"/>
      <c r="F144" s="1"/>
      <c r="G144" s="1"/>
      <c r="H144" s="1"/>
      <c r="I144" s="1"/>
      <c r="J144" s="1"/>
      <c r="K144" s="1"/>
      <c r="L144" s="1"/>
      <c r="M144" s="1"/>
      <c r="N144" s="1"/>
      <c r="O144" s="1"/>
      <c r="P144" s="1"/>
      <c r="Q144" s="1"/>
      <c r="R144" s="1"/>
      <c r="S144" s="1"/>
    </row>
    <row r="145" spans="1:19" x14ac:dyDescent="0.3">
      <c r="A145" s="20"/>
      <c r="B145" s="1"/>
      <c r="C145" s="1"/>
      <c r="D145" s="1"/>
      <c r="E145" s="1"/>
      <c r="F145" s="1"/>
      <c r="G145" s="1"/>
      <c r="H145" s="1"/>
      <c r="I145" s="1"/>
      <c r="J145" s="1"/>
      <c r="K145" s="1"/>
      <c r="L145" s="1"/>
      <c r="M145" s="1"/>
      <c r="N145" s="1"/>
      <c r="O145" s="1"/>
      <c r="P145" s="1"/>
      <c r="Q145" s="1"/>
      <c r="R145" s="1"/>
      <c r="S145" s="1"/>
    </row>
    <row r="146" spans="1:19" x14ac:dyDescent="0.3">
      <c r="A146" s="20"/>
      <c r="B146" s="1"/>
      <c r="C146" s="1"/>
      <c r="D146" s="1"/>
      <c r="E146" s="1"/>
      <c r="F146" s="1"/>
      <c r="G146" s="1"/>
      <c r="H146" s="1"/>
      <c r="I146" s="1"/>
      <c r="J146" s="1"/>
      <c r="K146" s="1"/>
      <c r="L146" s="1"/>
      <c r="M146" s="1"/>
      <c r="N146" s="1"/>
      <c r="O146" s="1"/>
      <c r="P146" s="1"/>
      <c r="Q146" s="1"/>
      <c r="R146" s="1"/>
      <c r="S146" s="1"/>
    </row>
    <row r="147" spans="1:19" x14ac:dyDescent="0.3">
      <c r="A147" s="20"/>
      <c r="B147" s="1"/>
      <c r="C147" s="1"/>
      <c r="D147" s="1"/>
      <c r="E147" s="1"/>
      <c r="F147" s="1"/>
      <c r="G147" s="1"/>
      <c r="H147" s="1"/>
      <c r="I147" s="1"/>
      <c r="J147" s="1"/>
      <c r="K147" s="1"/>
      <c r="L147" s="1"/>
      <c r="M147" s="1"/>
      <c r="N147" s="1"/>
      <c r="O147" s="1"/>
      <c r="P147" s="1"/>
      <c r="Q147" s="1"/>
      <c r="R147" s="1"/>
      <c r="S147" s="1"/>
    </row>
    <row r="148" spans="1:19" x14ac:dyDescent="0.3">
      <c r="A148" s="20"/>
      <c r="B148" s="1"/>
      <c r="C148" s="1"/>
      <c r="D148" s="1"/>
      <c r="E148" s="1"/>
      <c r="F148" s="1"/>
      <c r="G148" s="1"/>
      <c r="H148" s="1"/>
      <c r="I148" s="1"/>
      <c r="J148" s="1"/>
      <c r="K148" s="1"/>
      <c r="L148" s="1"/>
      <c r="M148" s="1"/>
      <c r="N148" s="1"/>
      <c r="O148" s="1"/>
      <c r="P148" s="1"/>
      <c r="Q148" s="1"/>
      <c r="R148" s="1"/>
      <c r="S148" s="1"/>
    </row>
    <row r="149" spans="1:19" x14ac:dyDescent="0.3">
      <c r="A149" s="20"/>
      <c r="B149" s="1"/>
      <c r="C149" s="1"/>
      <c r="D149" s="1"/>
      <c r="E149" s="1"/>
      <c r="F149" s="1"/>
      <c r="G149" s="1"/>
      <c r="H149" s="1"/>
      <c r="I149" s="1"/>
      <c r="J149" s="1"/>
      <c r="K149" s="1"/>
      <c r="L149" s="1"/>
      <c r="M149" s="1"/>
      <c r="N149" s="1"/>
      <c r="O149" s="1"/>
      <c r="P149" s="1"/>
      <c r="Q149" s="1"/>
      <c r="R149" s="1"/>
      <c r="S149" s="1"/>
    </row>
    <row r="150" spans="1:19" x14ac:dyDescent="0.3">
      <c r="A150" s="20"/>
      <c r="B150" s="1"/>
      <c r="C150" s="1"/>
      <c r="D150" s="1"/>
      <c r="E150" s="1"/>
      <c r="F150" s="1"/>
      <c r="G150" s="1"/>
      <c r="H150" s="1"/>
      <c r="I150" s="1"/>
      <c r="J150" s="1"/>
      <c r="K150" s="1"/>
      <c r="L150" s="1"/>
      <c r="M150" s="1"/>
      <c r="N150" s="1"/>
      <c r="O150" s="1"/>
      <c r="P150" s="1"/>
      <c r="Q150" s="1"/>
      <c r="R150" s="1"/>
      <c r="S150" s="1"/>
    </row>
    <row r="151" spans="1:19" x14ac:dyDescent="0.3">
      <c r="A151" s="20"/>
      <c r="B151" s="1"/>
      <c r="C151" s="1"/>
      <c r="D151" s="1"/>
      <c r="E151" s="1"/>
      <c r="F151" s="1"/>
      <c r="G151" s="1"/>
      <c r="H151" s="1"/>
      <c r="I151" s="1"/>
      <c r="J151" s="1"/>
      <c r="K151" s="1"/>
      <c r="L151" s="1"/>
      <c r="M151" s="1"/>
      <c r="N151" s="1"/>
      <c r="O151" s="1"/>
      <c r="P151" s="1"/>
      <c r="Q151" s="1"/>
      <c r="R151" s="1"/>
      <c r="S151" s="1"/>
    </row>
    <row r="152" spans="1:19" x14ac:dyDescent="0.3">
      <c r="A152" s="20"/>
      <c r="B152" s="1"/>
      <c r="C152" s="1"/>
      <c r="D152" s="1"/>
      <c r="E152" s="1"/>
      <c r="F152" s="1"/>
      <c r="G152" s="1"/>
      <c r="H152" s="1"/>
      <c r="I152" s="1"/>
      <c r="J152" s="1"/>
      <c r="K152" s="1"/>
      <c r="L152" s="1"/>
      <c r="M152" s="1"/>
      <c r="N152" s="1"/>
      <c r="O152" s="1"/>
      <c r="P152" s="1"/>
      <c r="Q152" s="1"/>
      <c r="R152" s="1"/>
      <c r="S152" s="1"/>
    </row>
    <row r="153" spans="1:19" x14ac:dyDescent="0.3">
      <c r="A153" s="20"/>
      <c r="B153" s="1"/>
      <c r="C153" s="1"/>
      <c r="D153" s="1"/>
      <c r="E153" s="1"/>
      <c r="F153" s="1"/>
      <c r="G153" s="1"/>
      <c r="H153" s="1"/>
      <c r="I153" s="1"/>
      <c r="J153" s="1"/>
      <c r="K153" s="1"/>
      <c r="L153" s="1"/>
      <c r="M153" s="1"/>
      <c r="N153" s="1"/>
      <c r="O153" s="1"/>
      <c r="P153" s="1"/>
      <c r="Q153" s="1"/>
      <c r="R153" s="1"/>
      <c r="S153" s="1"/>
    </row>
    <row r="154" spans="1:19" x14ac:dyDescent="0.3">
      <c r="A154" s="20"/>
      <c r="B154" s="1"/>
      <c r="C154" s="1"/>
      <c r="D154" s="1"/>
      <c r="E154" s="1"/>
      <c r="F154" s="1"/>
      <c r="G154" s="1"/>
      <c r="H154" s="1"/>
      <c r="I154" s="1"/>
      <c r="J154" s="1"/>
      <c r="K154" s="1"/>
      <c r="L154" s="1"/>
      <c r="M154" s="1"/>
      <c r="N154" s="1"/>
      <c r="O154" s="1"/>
      <c r="P154" s="1"/>
      <c r="Q154" s="1"/>
      <c r="R154" s="1"/>
      <c r="S154" s="1"/>
    </row>
    <row r="155" spans="1:19" x14ac:dyDescent="0.3">
      <c r="A155" s="20"/>
      <c r="B155" s="1"/>
      <c r="C155" s="1"/>
      <c r="D155" s="1"/>
      <c r="E155" s="1"/>
      <c r="F155" s="1"/>
      <c r="G155" s="1"/>
      <c r="H155" s="1"/>
      <c r="I155" s="1"/>
      <c r="J155" s="1"/>
      <c r="K155" s="1"/>
      <c r="L155" s="1"/>
      <c r="M155" s="1"/>
      <c r="N155" s="1"/>
      <c r="O155" s="1"/>
      <c r="P155" s="1"/>
      <c r="Q155" s="1"/>
      <c r="R155" s="1"/>
      <c r="S155" s="1"/>
    </row>
    <row r="156" spans="1:19" x14ac:dyDescent="0.3">
      <c r="A156" s="20"/>
      <c r="B156" s="1"/>
      <c r="C156" s="1"/>
      <c r="D156" s="1"/>
      <c r="E156" s="1"/>
      <c r="F156" s="1"/>
      <c r="G156" s="1"/>
      <c r="H156" s="1"/>
      <c r="I156" s="1"/>
      <c r="J156" s="1"/>
      <c r="K156" s="1"/>
      <c r="L156" s="1"/>
      <c r="M156" s="1"/>
      <c r="N156" s="1"/>
      <c r="O156" s="1"/>
      <c r="P156" s="1"/>
      <c r="Q156" s="1"/>
      <c r="R156" s="1"/>
      <c r="S156" s="1"/>
    </row>
    <row r="157" spans="1:19" x14ac:dyDescent="0.3">
      <c r="A157" s="20"/>
      <c r="B157" s="1"/>
      <c r="C157" s="1"/>
      <c r="D157" s="1"/>
      <c r="E157" s="1"/>
      <c r="F157" s="1"/>
      <c r="G157" s="1"/>
      <c r="H157" s="1"/>
      <c r="I157" s="1"/>
      <c r="J157" s="1"/>
      <c r="K157" s="1"/>
      <c r="L157" s="1"/>
      <c r="M157" s="1"/>
      <c r="N157" s="1"/>
      <c r="O157" s="1"/>
      <c r="P157" s="1"/>
      <c r="Q157" s="1"/>
      <c r="R157" s="1"/>
      <c r="S157" s="1"/>
    </row>
    <row r="158" spans="1:19" x14ac:dyDescent="0.3">
      <c r="A158" s="20"/>
      <c r="B158" s="1"/>
      <c r="C158" s="1"/>
      <c r="D158" s="1"/>
      <c r="E158" s="1"/>
      <c r="F158" s="1"/>
      <c r="G158" s="1"/>
      <c r="H158" s="1"/>
      <c r="I158" s="1"/>
      <c r="J158" s="1"/>
      <c r="K158" s="1"/>
      <c r="L158" s="1"/>
      <c r="M158" s="1"/>
      <c r="N158" s="1"/>
      <c r="O158" s="1"/>
      <c r="P158" s="1"/>
      <c r="Q158" s="1"/>
      <c r="R158" s="1"/>
      <c r="S158" s="1"/>
    </row>
    <row r="159" spans="1:19" x14ac:dyDescent="0.3">
      <c r="A159" s="20"/>
      <c r="B159" s="1"/>
      <c r="C159" s="1"/>
      <c r="D159" s="1"/>
      <c r="E159" s="1"/>
      <c r="F159" s="1"/>
      <c r="G159" s="1"/>
      <c r="H159" s="1"/>
      <c r="I159" s="1"/>
      <c r="J159" s="1"/>
      <c r="K159" s="1"/>
      <c r="L159" s="1"/>
      <c r="M159" s="1"/>
      <c r="N159" s="1"/>
      <c r="O159" s="1"/>
      <c r="P159" s="1"/>
      <c r="Q159" s="1"/>
      <c r="R159" s="1"/>
      <c r="S159" s="1"/>
    </row>
    <row r="160" spans="1:19" x14ac:dyDescent="0.3">
      <c r="A160" s="20"/>
      <c r="B160" s="1"/>
      <c r="C160" s="1"/>
      <c r="D160" s="1"/>
      <c r="E160" s="1"/>
      <c r="F160" s="1"/>
      <c r="G160" s="1"/>
      <c r="H160" s="1"/>
      <c r="I160" s="1"/>
      <c r="J160" s="1"/>
      <c r="K160" s="1"/>
      <c r="L160" s="1"/>
      <c r="M160" s="1"/>
      <c r="N160" s="1"/>
      <c r="O160" s="1"/>
      <c r="P160" s="1"/>
      <c r="Q160" s="1"/>
      <c r="R160" s="1"/>
      <c r="S160" s="1"/>
    </row>
    <row r="161" spans="1:19" x14ac:dyDescent="0.3">
      <c r="A161" s="20"/>
      <c r="B161" s="1"/>
      <c r="C161" s="1"/>
      <c r="D161" s="1"/>
      <c r="E161" s="1"/>
      <c r="F161" s="1"/>
      <c r="G161" s="1"/>
      <c r="H161" s="1"/>
      <c r="I161" s="1"/>
      <c r="J161" s="1"/>
      <c r="K161" s="1"/>
      <c r="L161" s="1"/>
      <c r="M161" s="1"/>
      <c r="N161" s="1"/>
      <c r="O161" s="1"/>
      <c r="P161" s="1"/>
      <c r="Q161" s="1"/>
      <c r="R161" s="1"/>
      <c r="S161" s="1"/>
    </row>
    <row r="162" spans="1:19" x14ac:dyDescent="0.3">
      <c r="A162" s="20"/>
      <c r="B162" s="1"/>
      <c r="C162" s="1"/>
      <c r="D162" s="1"/>
      <c r="E162" s="1"/>
      <c r="F162" s="1"/>
      <c r="G162" s="1"/>
      <c r="H162" s="1"/>
      <c r="I162" s="1"/>
      <c r="J162" s="1"/>
      <c r="K162" s="1"/>
      <c r="L162" s="1"/>
      <c r="M162" s="1"/>
      <c r="N162" s="1"/>
      <c r="O162" s="1"/>
      <c r="P162" s="1"/>
      <c r="Q162" s="1"/>
      <c r="R162" s="1"/>
      <c r="S162" s="1"/>
    </row>
    <row r="163" spans="1:19" x14ac:dyDescent="0.3">
      <c r="A163" s="20"/>
      <c r="B163" s="1"/>
      <c r="C163" s="1"/>
      <c r="D163" s="1"/>
      <c r="E163" s="1"/>
      <c r="F163" s="1"/>
      <c r="G163" s="1"/>
      <c r="H163" s="1"/>
      <c r="I163" s="1"/>
      <c r="J163" s="1"/>
      <c r="K163" s="1"/>
      <c r="L163" s="1"/>
      <c r="M163" s="1"/>
      <c r="N163" s="1"/>
      <c r="O163" s="1"/>
      <c r="P163" s="1"/>
      <c r="Q163" s="1"/>
      <c r="R163" s="1"/>
      <c r="S163" s="1"/>
    </row>
    <row r="164" spans="1:19" x14ac:dyDescent="0.3">
      <c r="A164" s="20"/>
      <c r="B164" s="1"/>
      <c r="C164" s="1"/>
      <c r="D164" s="1"/>
      <c r="E164" s="1"/>
      <c r="F164" s="1"/>
      <c r="G164" s="1"/>
      <c r="H164" s="1"/>
      <c r="I164" s="1"/>
      <c r="J164" s="1"/>
      <c r="K164" s="1"/>
      <c r="L164" s="1"/>
      <c r="M164" s="1"/>
      <c r="N164" s="1"/>
      <c r="O164" s="1"/>
      <c r="P164" s="1"/>
      <c r="Q164" s="1"/>
      <c r="R164" s="1"/>
      <c r="S164" s="1"/>
    </row>
    <row r="165" spans="1:19" x14ac:dyDescent="0.3">
      <c r="A165" s="20"/>
      <c r="B165" s="1"/>
      <c r="C165" s="1"/>
      <c r="D165" s="1"/>
      <c r="E165" s="1"/>
      <c r="F165" s="1"/>
      <c r="G165" s="1"/>
      <c r="H165" s="1"/>
      <c r="I165" s="1"/>
      <c r="J165" s="1"/>
      <c r="K165" s="1"/>
      <c r="L165" s="1"/>
      <c r="M165" s="1"/>
      <c r="N165" s="1"/>
      <c r="O165" s="1"/>
      <c r="P165" s="1"/>
      <c r="Q165" s="1"/>
      <c r="R165" s="1"/>
      <c r="S165" s="1"/>
    </row>
    <row r="166" spans="1:19" x14ac:dyDescent="0.3">
      <c r="A166" s="20"/>
      <c r="B166" s="1"/>
      <c r="C166" s="1"/>
      <c r="D166" s="1"/>
      <c r="E166" s="1"/>
      <c r="F166" s="1"/>
      <c r="G166" s="1"/>
      <c r="H166" s="1"/>
      <c r="I166" s="1"/>
      <c r="J166" s="1"/>
      <c r="K166" s="1"/>
      <c r="L166" s="1"/>
      <c r="M166" s="1"/>
      <c r="N166" s="1"/>
      <c r="O166" s="1"/>
      <c r="P166" s="1"/>
      <c r="Q166" s="1"/>
      <c r="R166" s="1"/>
      <c r="S166" s="1"/>
    </row>
    <row r="167" spans="1:19" x14ac:dyDescent="0.3">
      <c r="A167" s="20"/>
      <c r="B167" s="1"/>
      <c r="C167" s="1"/>
      <c r="D167" s="1"/>
      <c r="E167" s="1"/>
      <c r="F167" s="1"/>
      <c r="G167" s="1"/>
      <c r="H167" s="1"/>
      <c r="I167" s="1"/>
      <c r="J167" s="1"/>
      <c r="K167" s="1"/>
      <c r="L167" s="1"/>
      <c r="M167" s="1"/>
      <c r="N167" s="1"/>
      <c r="O167" s="1"/>
      <c r="P167" s="1"/>
      <c r="Q167" s="1"/>
      <c r="R167" s="1"/>
      <c r="S167" s="1"/>
    </row>
    <row r="168" spans="1:19" x14ac:dyDescent="0.3">
      <c r="A168" s="20"/>
      <c r="B168" s="1"/>
      <c r="C168" s="1"/>
      <c r="D168" s="1"/>
      <c r="E168" s="1"/>
      <c r="F168" s="1"/>
      <c r="G168" s="1"/>
      <c r="H168" s="1"/>
      <c r="I168" s="1"/>
      <c r="J168" s="1"/>
      <c r="K168" s="1"/>
      <c r="L168" s="1"/>
      <c r="M168" s="1"/>
      <c r="N168" s="1"/>
      <c r="O168" s="1"/>
      <c r="P168" s="1"/>
      <c r="Q168" s="1"/>
      <c r="R168" s="1"/>
      <c r="S168" s="1"/>
    </row>
    <row r="169" spans="1:19" x14ac:dyDescent="0.3">
      <c r="A169" s="20"/>
      <c r="B169" s="1"/>
      <c r="C169" s="1"/>
      <c r="D169" s="1"/>
      <c r="E169" s="1"/>
      <c r="F169" s="1"/>
      <c r="G169" s="1"/>
      <c r="H169" s="1"/>
      <c r="I169" s="1"/>
      <c r="J169" s="1"/>
      <c r="K169" s="1"/>
      <c r="L169" s="1"/>
      <c r="M169" s="1"/>
      <c r="N169" s="1"/>
      <c r="O169" s="1"/>
      <c r="P169" s="1"/>
      <c r="Q169" s="1"/>
      <c r="R169" s="1"/>
      <c r="S169" s="1"/>
    </row>
    <row r="170" spans="1:19" x14ac:dyDescent="0.3">
      <c r="A170" s="20"/>
      <c r="B170" s="1"/>
      <c r="C170" s="1"/>
      <c r="D170" s="1"/>
      <c r="E170" s="1"/>
      <c r="F170" s="1"/>
      <c r="G170" s="1"/>
      <c r="H170" s="1"/>
      <c r="I170" s="1"/>
      <c r="J170" s="1"/>
      <c r="K170" s="1"/>
      <c r="L170" s="1"/>
      <c r="M170" s="1"/>
      <c r="N170" s="1"/>
      <c r="O170" s="1"/>
      <c r="P170" s="1"/>
      <c r="Q170" s="1"/>
      <c r="R170" s="1"/>
      <c r="S170" s="1"/>
    </row>
    <row r="171" spans="1:19" x14ac:dyDescent="0.3">
      <c r="A171" s="20"/>
      <c r="B171" s="1"/>
      <c r="C171" s="1"/>
      <c r="D171" s="1"/>
      <c r="E171" s="1"/>
      <c r="F171" s="1"/>
      <c r="G171" s="1"/>
      <c r="H171" s="1"/>
      <c r="I171" s="1"/>
      <c r="J171" s="1"/>
      <c r="K171" s="1"/>
      <c r="L171" s="1"/>
      <c r="M171" s="1"/>
      <c r="N171" s="1"/>
      <c r="O171" s="1"/>
      <c r="P171" s="1"/>
      <c r="Q171" s="1"/>
      <c r="R171" s="1"/>
      <c r="S171" s="1"/>
    </row>
    <row r="172" spans="1:19" x14ac:dyDescent="0.3">
      <c r="A172" s="20"/>
      <c r="B172" s="1"/>
      <c r="C172" s="1"/>
      <c r="D172" s="1"/>
      <c r="E172" s="1"/>
      <c r="F172" s="1"/>
      <c r="G172" s="1"/>
      <c r="H172" s="1"/>
      <c r="I172" s="1"/>
      <c r="J172" s="1"/>
      <c r="K172" s="1"/>
      <c r="L172" s="1"/>
      <c r="M172" s="1"/>
      <c r="N172" s="1"/>
      <c r="O172" s="1"/>
      <c r="P172" s="1"/>
      <c r="Q172" s="1"/>
      <c r="R172" s="1"/>
      <c r="S172" s="1"/>
    </row>
    <row r="173" spans="1:19" x14ac:dyDescent="0.3">
      <c r="A173" s="20"/>
      <c r="B173" s="1"/>
      <c r="C173" s="1"/>
      <c r="D173" s="1"/>
      <c r="E173" s="1"/>
      <c r="F173" s="1"/>
      <c r="G173" s="1"/>
      <c r="H173" s="1"/>
      <c r="I173" s="1"/>
      <c r="J173" s="1"/>
      <c r="K173" s="1"/>
      <c r="L173" s="1"/>
      <c r="M173" s="1"/>
      <c r="N173" s="1"/>
      <c r="O173" s="1"/>
      <c r="P173" s="1"/>
      <c r="Q173" s="1"/>
      <c r="R173" s="1"/>
      <c r="S173" s="1"/>
    </row>
    <row r="174" spans="1:19" x14ac:dyDescent="0.3">
      <c r="A174" s="20"/>
      <c r="B174" s="1"/>
      <c r="C174" s="1"/>
      <c r="D174" s="1"/>
      <c r="E174" s="1"/>
      <c r="F174" s="1"/>
      <c r="G174" s="1"/>
      <c r="H174" s="1"/>
      <c r="I174" s="1"/>
      <c r="J174" s="1"/>
      <c r="K174" s="1"/>
      <c r="L174" s="1"/>
      <c r="M174" s="1"/>
      <c r="N174" s="1"/>
      <c r="O174" s="1"/>
      <c r="P174" s="1"/>
      <c r="Q174" s="1"/>
      <c r="R174" s="1"/>
      <c r="S174" s="1"/>
    </row>
    <row r="175" spans="1:19" x14ac:dyDescent="0.3">
      <c r="A175" s="20"/>
      <c r="B175" s="1"/>
      <c r="C175" s="1"/>
      <c r="D175" s="1"/>
      <c r="E175" s="1"/>
      <c r="F175" s="1"/>
      <c r="G175" s="1"/>
      <c r="H175" s="1"/>
      <c r="I175" s="1"/>
      <c r="J175" s="1"/>
      <c r="K175" s="1"/>
      <c r="L175" s="1"/>
      <c r="M175" s="1"/>
      <c r="N175" s="1"/>
      <c r="O175" s="1"/>
      <c r="P175" s="1"/>
      <c r="Q175" s="1"/>
      <c r="R175" s="1"/>
      <c r="S175" s="1"/>
    </row>
    <row r="176" spans="1:19" x14ac:dyDescent="0.3">
      <c r="A176" s="20"/>
      <c r="B176" s="1"/>
      <c r="C176" s="1"/>
      <c r="D176" s="1"/>
      <c r="E176" s="1"/>
      <c r="F176" s="1"/>
      <c r="G176" s="1"/>
      <c r="H176" s="1"/>
      <c r="I176" s="1"/>
      <c r="J176" s="1"/>
      <c r="K176" s="1"/>
      <c r="L176" s="1"/>
      <c r="M176" s="1"/>
      <c r="N176" s="1"/>
      <c r="O176" s="1"/>
      <c r="P176" s="1"/>
      <c r="Q176" s="1"/>
      <c r="R176" s="1"/>
      <c r="S176" s="1"/>
    </row>
    <row r="177" spans="1:19" x14ac:dyDescent="0.3">
      <c r="A177" s="20"/>
      <c r="B177" s="1"/>
      <c r="C177" s="1"/>
      <c r="D177" s="1"/>
      <c r="E177" s="1"/>
      <c r="F177" s="1"/>
      <c r="G177" s="1"/>
      <c r="H177" s="1"/>
      <c r="I177" s="1"/>
      <c r="J177" s="1"/>
      <c r="K177" s="1"/>
      <c r="L177" s="1"/>
      <c r="M177" s="1"/>
      <c r="N177" s="1"/>
      <c r="O177" s="1"/>
      <c r="P177" s="1"/>
      <c r="Q177" s="1"/>
      <c r="R177" s="1"/>
      <c r="S177" s="1"/>
    </row>
    <row r="178" spans="1:19" x14ac:dyDescent="0.3">
      <c r="A178" s="20"/>
      <c r="B178" s="1"/>
      <c r="C178" s="1"/>
      <c r="D178" s="1"/>
      <c r="E178" s="1"/>
      <c r="F178" s="1"/>
      <c r="G178" s="1"/>
      <c r="H178" s="1"/>
      <c r="I178" s="1"/>
      <c r="J178" s="1"/>
      <c r="K178" s="1"/>
      <c r="L178" s="1"/>
      <c r="M178" s="1"/>
      <c r="N178" s="1"/>
      <c r="O178" s="1"/>
      <c r="P178" s="1"/>
      <c r="Q178" s="1"/>
      <c r="R178" s="1"/>
      <c r="S178" s="1"/>
    </row>
    <row r="179" spans="1:19" x14ac:dyDescent="0.3">
      <c r="A179" s="20"/>
      <c r="B179" s="1"/>
      <c r="C179" s="1"/>
      <c r="D179" s="1"/>
      <c r="E179" s="1"/>
      <c r="F179" s="1"/>
      <c r="G179" s="1"/>
      <c r="H179" s="1"/>
      <c r="I179" s="1"/>
      <c r="J179" s="1"/>
      <c r="K179" s="1"/>
      <c r="L179" s="1"/>
      <c r="M179" s="1"/>
      <c r="N179" s="1"/>
      <c r="O179" s="1"/>
      <c r="P179" s="1"/>
      <c r="Q179" s="1"/>
      <c r="R179" s="1"/>
      <c r="S179" s="1"/>
    </row>
    <row r="180" spans="1:19" x14ac:dyDescent="0.3">
      <c r="A180" s="20"/>
      <c r="B180" s="1"/>
      <c r="C180" s="1"/>
      <c r="D180" s="1"/>
      <c r="E180" s="1"/>
      <c r="F180" s="1"/>
      <c r="G180" s="1"/>
      <c r="H180" s="1"/>
      <c r="I180" s="1"/>
      <c r="J180" s="1"/>
      <c r="K180" s="1"/>
      <c r="L180" s="1"/>
      <c r="M180" s="1"/>
      <c r="N180" s="1"/>
      <c r="O180" s="1"/>
      <c r="P180" s="1"/>
      <c r="Q180" s="1"/>
      <c r="R180" s="1"/>
      <c r="S180" s="1"/>
    </row>
    <row r="181" spans="1:19" x14ac:dyDescent="0.3">
      <c r="A181" s="20"/>
      <c r="B181" s="1"/>
      <c r="C181" s="1"/>
      <c r="D181" s="1"/>
      <c r="E181" s="1"/>
      <c r="F181" s="1"/>
      <c r="G181" s="1"/>
      <c r="H181" s="1"/>
      <c r="I181" s="1"/>
      <c r="J181" s="1"/>
      <c r="K181" s="1"/>
      <c r="L181" s="1"/>
      <c r="M181" s="1"/>
      <c r="N181" s="1"/>
      <c r="O181" s="1"/>
      <c r="P181" s="1"/>
      <c r="Q181" s="1"/>
      <c r="R181" s="1"/>
      <c r="S181" s="1"/>
    </row>
    <row r="182" spans="1:19" x14ac:dyDescent="0.3">
      <c r="A182" s="20"/>
      <c r="B182" s="1"/>
      <c r="C182" s="1"/>
      <c r="D182" s="1"/>
      <c r="E182" s="1"/>
      <c r="F182" s="1"/>
      <c r="G182" s="1"/>
      <c r="H182" s="1"/>
      <c r="I182" s="1"/>
      <c r="J182" s="1"/>
      <c r="K182" s="1"/>
      <c r="L182" s="1"/>
      <c r="M182" s="1"/>
      <c r="N182" s="1"/>
      <c r="O182" s="1"/>
      <c r="P182" s="1"/>
      <c r="Q182" s="1"/>
      <c r="R182" s="1"/>
      <c r="S182" s="1"/>
    </row>
    <row r="183" spans="1:19" x14ac:dyDescent="0.3">
      <c r="A183" s="20"/>
      <c r="B183" s="1"/>
      <c r="C183" s="1"/>
      <c r="D183" s="1"/>
      <c r="E183" s="1"/>
      <c r="F183" s="1"/>
      <c r="G183" s="1"/>
      <c r="H183" s="1"/>
      <c r="I183" s="1"/>
      <c r="J183" s="1"/>
      <c r="K183" s="1"/>
      <c r="L183" s="1"/>
      <c r="M183" s="1"/>
      <c r="N183" s="1"/>
      <c r="O183" s="1"/>
      <c r="P183" s="1"/>
      <c r="Q183" s="1"/>
      <c r="R183" s="1"/>
      <c r="S183" s="1"/>
    </row>
    <row r="184" spans="1:19" x14ac:dyDescent="0.3">
      <c r="A184" s="20"/>
      <c r="B184" s="1"/>
      <c r="C184" s="1"/>
      <c r="D184" s="1"/>
      <c r="E184" s="1"/>
      <c r="F184" s="1"/>
      <c r="G184" s="1"/>
      <c r="H184" s="1"/>
      <c r="I184" s="1"/>
      <c r="J184" s="1"/>
      <c r="K184" s="1"/>
      <c r="L184" s="1"/>
      <c r="M184" s="1"/>
      <c r="N184" s="1"/>
      <c r="O184" s="1"/>
      <c r="P184" s="1"/>
      <c r="Q184" s="1"/>
      <c r="R184" s="1"/>
      <c r="S184" s="1"/>
    </row>
    <row r="185" spans="1:19" x14ac:dyDescent="0.3">
      <c r="A185" s="20"/>
      <c r="B185" s="1"/>
      <c r="C185" s="1"/>
      <c r="D185" s="1"/>
      <c r="E185" s="1"/>
      <c r="F185" s="1"/>
      <c r="G185" s="1"/>
      <c r="H185" s="1"/>
      <c r="I185" s="1"/>
      <c r="J185" s="1"/>
      <c r="K185" s="1"/>
      <c r="L185" s="1"/>
      <c r="M185" s="1"/>
      <c r="N185" s="1"/>
      <c r="O185" s="1"/>
      <c r="P185" s="1"/>
      <c r="Q185" s="1"/>
      <c r="R185" s="1"/>
      <c r="S185" s="1"/>
    </row>
    <row r="186" spans="1:19" x14ac:dyDescent="0.3">
      <c r="A186" s="20"/>
      <c r="B186" s="1"/>
      <c r="C186" s="1"/>
      <c r="D186" s="1"/>
      <c r="E186" s="1"/>
      <c r="F186" s="1"/>
      <c r="G186" s="1"/>
      <c r="H186" s="1"/>
      <c r="I186" s="1"/>
      <c r="J186" s="1"/>
      <c r="K186" s="1"/>
      <c r="L186" s="1"/>
      <c r="M186" s="1"/>
      <c r="N186" s="1"/>
      <c r="O186" s="1"/>
      <c r="P186" s="1"/>
      <c r="Q186" s="1"/>
      <c r="R186" s="1"/>
      <c r="S186" s="1"/>
    </row>
    <row r="187" spans="1:19" x14ac:dyDescent="0.3">
      <c r="A187" s="20"/>
      <c r="B187" s="1"/>
      <c r="C187" s="1"/>
      <c r="D187" s="1"/>
      <c r="E187" s="1"/>
      <c r="F187" s="1"/>
      <c r="G187" s="1"/>
      <c r="H187" s="1"/>
      <c r="I187" s="1"/>
      <c r="J187" s="1"/>
      <c r="K187" s="1"/>
      <c r="L187" s="1"/>
      <c r="M187" s="1"/>
      <c r="N187" s="1"/>
      <c r="O187" s="1"/>
      <c r="P187" s="1"/>
      <c r="Q187" s="1"/>
      <c r="R187" s="1"/>
      <c r="S187" s="1"/>
    </row>
    <row r="188" spans="1:19" x14ac:dyDescent="0.3">
      <c r="A188" s="20"/>
      <c r="B188" s="1"/>
      <c r="C188" s="1"/>
      <c r="D188" s="1"/>
      <c r="E188" s="1"/>
      <c r="F188" s="1"/>
      <c r="G188" s="1"/>
      <c r="H188" s="1"/>
      <c r="I188" s="1"/>
      <c r="J188" s="1"/>
      <c r="K188" s="1"/>
      <c r="L188" s="1"/>
      <c r="M188" s="1"/>
      <c r="N188" s="1"/>
      <c r="O188" s="1"/>
      <c r="P188" s="1"/>
      <c r="Q188" s="1"/>
      <c r="R188" s="1"/>
      <c r="S188" s="1"/>
    </row>
    <row r="189" spans="1:19" x14ac:dyDescent="0.3">
      <c r="A189" s="20"/>
      <c r="B189" s="1"/>
      <c r="C189" s="1"/>
      <c r="D189" s="1"/>
      <c r="E189" s="1"/>
      <c r="F189" s="1"/>
      <c r="G189" s="1"/>
      <c r="H189" s="1"/>
      <c r="I189" s="1"/>
      <c r="J189" s="1"/>
      <c r="K189" s="1"/>
      <c r="L189" s="1"/>
      <c r="M189" s="1"/>
      <c r="N189" s="1"/>
      <c r="O189" s="1"/>
      <c r="P189" s="1"/>
      <c r="Q189" s="1"/>
      <c r="R189" s="1"/>
      <c r="S189" s="1"/>
    </row>
    <row r="190" spans="1:19" x14ac:dyDescent="0.3">
      <c r="A190" s="20"/>
      <c r="B190" s="1"/>
      <c r="C190" s="1"/>
      <c r="D190" s="1"/>
      <c r="E190" s="1"/>
      <c r="F190" s="1"/>
      <c r="G190" s="1"/>
      <c r="H190" s="1"/>
      <c r="I190" s="1"/>
      <c r="J190" s="1"/>
      <c r="K190" s="1"/>
      <c r="L190" s="1"/>
      <c r="M190" s="1"/>
      <c r="N190" s="1"/>
      <c r="O190" s="1"/>
      <c r="P190" s="1"/>
      <c r="Q190" s="1"/>
      <c r="R190" s="1"/>
      <c r="S190" s="1"/>
    </row>
    <row r="191" spans="1:19" x14ac:dyDescent="0.3">
      <c r="A191" s="20"/>
      <c r="B191" s="1"/>
      <c r="C191" s="1"/>
      <c r="D191" s="1"/>
      <c r="E191" s="1"/>
      <c r="F191" s="1"/>
      <c r="G191" s="1"/>
      <c r="H191" s="1"/>
      <c r="I191" s="1"/>
      <c r="J191" s="1"/>
      <c r="K191" s="1"/>
      <c r="L191" s="1"/>
      <c r="M191" s="1"/>
      <c r="N191" s="1"/>
      <c r="O191" s="1"/>
      <c r="P191" s="1"/>
      <c r="Q191" s="1"/>
      <c r="R191" s="1"/>
      <c r="S191" s="1"/>
    </row>
    <row r="192" spans="1:19" x14ac:dyDescent="0.3">
      <c r="A192" s="20"/>
      <c r="B192" s="1"/>
      <c r="C192" s="1"/>
      <c r="D192" s="1"/>
      <c r="E192" s="1"/>
      <c r="F192" s="1"/>
      <c r="G192" s="1"/>
      <c r="H192" s="1"/>
      <c r="I192" s="1"/>
      <c r="J192" s="1"/>
      <c r="K192" s="1"/>
      <c r="L192" s="1"/>
      <c r="M192" s="1"/>
      <c r="N192" s="1"/>
      <c r="O192" s="1"/>
      <c r="P192" s="1"/>
      <c r="Q192" s="1"/>
      <c r="R192" s="1"/>
      <c r="S192" s="1"/>
    </row>
    <row r="193" spans="1:19" x14ac:dyDescent="0.3">
      <c r="A193" s="20"/>
      <c r="B193" s="1"/>
      <c r="C193" s="1"/>
      <c r="D193" s="1"/>
      <c r="E193" s="1"/>
      <c r="F193" s="1"/>
      <c r="G193" s="1"/>
      <c r="H193" s="1"/>
      <c r="I193" s="1"/>
      <c r="J193" s="1"/>
      <c r="K193" s="1"/>
      <c r="L193" s="1"/>
      <c r="M193" s="1"/>
      <c r="N193" s="1"/>
      <c r="O193" s="1"/>
      <c r="P193" s="1"/>
      <c r="Q193" s="1"/>
      <c r="R193" s="1"/>
      <c r="S193" s="1"/>
    </row>
  </sheetData>
  <mergeCells count="14">
    <mergeCell ref="O8:Q8"/>
    <mergeCell ref="A1:F1"/>
    <mergeCell ref="G1:H1"/>
    <mergeCell ref="A6:I6"/>
    <mergeCell ref="B7:D8"/>
    <mergeCell ref="A7:A9"/>
    <mergeCell ref="N6:Q7"/>
    <mergeCell ref="A54:I54"/>
    <mergeCell ref="N50:Q50"/>
    <mergeCell ref="B42:D42"/>
    <mergeCell ref="A50:J50"/>
    <mergeCell ref="A51:I51"/>
    <mergeCell ref="A52:I52"/>
    <mergeCell ref="A53:I53"/>
  </mergeCells>
  <conditionalFormatting sqref="C44 C48 C10:D41 P10:Q48">
    <cfRule type="cellIs" dxfId="17" priority="12" operator="lessThan">
      <formula>0</formula>
    </cfRule>
    <cfRule type="cellIs" dxfId="16" priority="13" operator="greaterThan">
      <formula>0</formula>
    </cfRule>
  </conditionalFormatting>
  <conditionalFormatting sqref="B48 B44 B10:B41">
    <cfRule type="colorScale" priority="9">
      <colorScale>
        <cfvo type="num" val="-40000"/>
        <cfvo type="num" val="0"/>
        <cfvo type="num" val="40000"/>
        <color rgb="FFF8696B"/>
        <color rgb="FFFCFCFF"/>
        <color rgb="FF5A8AC6"/>
      </colorScale>
    </cfRule>
  </conditionalFormatting>
  <conditionalFormatting sqref="O10:O48">
    <cfRule type="colorScale" priority="8">
      <colorScale>
        <cfvo type="num" val="-100"/>
        <cfvo type="num" val="0"/>
        <cfvo type="num" val="100"/>
        <color rgb="FFF8696B"/>
        <color rgb="FFFCFCFF"/>
        <color rgb="FF5A8AC6"/>
      </colorScale>
    </cfRule>
  </conditionalFormatting>
  <conditionalFormatting sqref="F3">
    <cfRule type="cellIs" dxfId="15" priority="6" operator="lessThan">
      <formula>0.55</formula>
    </cfRule>
    <cfRule type="cellIs" dxfId="14" priority="7" operator="greaterThan">
      <formula>0.6</formula>
    </cfRule>
  </conditionalFormatting>
  <conditionalFormatting sqref="D44 D48">
    <cfRule type="cellIs" dxfId="13" priority="4" operator="lessThan">
      <formula>0</formula>
    </cfRule>
    <cfRule type="cellIs" dxfId="12" priority="5" operator="greaterThan">
      <formula>0</formula>
    </cfRule>
  </conditionalFormatting>
  <conditionalFormatting sqref="C47:D47">
    <cfRule type="cellIs" dxfId="11" priority="2" operator="lessThan">
      <formula>0</formula>
    </cfRule>
    <cfRule type="cellIs" dxfId="10" priority="3" operator="greaterThan">
      <formula>0</formula>
    </cfRule>
  </conditionalFormatting>
  <conditionalFormatting sqref="B47">
    <cfRule type="colorScale" priority="1">
      <colorScale>
        <cfvo type="num" val="-40000"/>
        <cfvo type="num" val="0"/>
        <cfvo type="num" val="400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2" fitToHeight="0" orientation="portrait" r:id="rId1"/>
  <rowBreaks count="1" manualBreakCount="1">
    <brk id="47" max="10"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40D3D-9971-447C-BCFF-E5BFDA7CE746}">
  <sheetPr codeName="Tabelle25"/>
  <dimension ref="A2:B17"/>
  <sheetViews>
    <sheetView view="pageBreakPreview" zoomScale="30" zoomScaleNormal="100" zoomScaleSheetLayoutView="30" workbookViewId="0">
      <selection activeCell="C38" sqref="C14:C38"/>
    </sheetView>
  </sheetViews>
  <sheetFormatPr baseColWidth="10" defaultRowHeight="14.4" x14ac:dyDescent="0.3"/>
  <cols>
    <col min="1" max="1" width="36.44140625" style="100" customWidth="1"/>
    <col min="2" max="2" width="112.5546875" customWidth="1"/>
  </cols>
  <sheetData>
    <row r="2" spans="1:2" ht="15.6" x14ac:dyDescent="0.3">
      <c r="A2" s="94"/>
    </row>
    <row r="4" spans="1:2" x14ac:dyDescent="0.3">
      <c r="A4" s="95" t="s">
        <v>248</v>
      </c>
    </row>
    <row r="5" spans="1:2" ht="24.6" x14ac:dyDescent="0.3">
      <c r="A5" s="96" t="s">
        <v>22</v>
      </c>
      <c r="B5" s="97" t="s">
        <v>249</v>
      </c>
    </row>
    <row r="6" spans="1:2" ht="24.6" x14ac:dyDescent="0.3">
      <c r="A6" s="96" t="s">
        <v>27</v>
      </c>
      <c r="B6" s="98" t="s">
        <v>250</v>
      </c>
    </row>
    <row r="7" spans="1:2" ht="24.6" x14ac:dyDescent="0.3">
      <c r="A7" s="96" t="s">
        <v>251</v>
      </c>
      <c r="B7" s="98" t="s">
        <v>252</v>
      </c>
    </row>
    <row r="8" spans="1:2" ht="24.6" x14ac:dyDescent="0.3">
      <c r="A8" s="96" t="s">
        <v>253</v>
      </c>
      <c r="B8" s="98" t="s">
        <v>254</v>
      </c>
    </row>
    <row r="9" spans="1:2" ht="73.8" x14ac:dyDescent="0.3">
      <c r="A9" s="96" t="s">
        <v>31</v>
      </c>
      <c r="B9" s="99" t="s">
        <v>255</v>
      </c>
    </row>
    <row r="10" spans="1:2" ht="24.6" x14ac:dyDescent="0.3">
      <c r="A10" s="96" t="s">
        <v>256</v>
      </c>
      <c r="B10" s="98" t="s">
        <v>257</v>
      </c>
    </row>
    <row r="11" spans="1:2" ht="24.6" x14ac:dyDescent="0.3">
      <c r="A11" s="96" t="s">
        <v>258</v>
      </c>
      <c r="B11" s="98" t="s">
        <v>259</v>
      </c>
    </row>
    <row r="12" spans="1:2" ht="49.2" x14ac:dyDescent="0.3">
      <c r="A12" s="96" t="s">
        <v>260</v>
      </c>
      <c r="B12" s="99" t="s">
        <v>261</v>
      </c>
    </row>
    <row r="13" spans="1:2" ht="73.8" x14ac:dyDescent="0.3">
      <c r="A13" s="96" t="s">
        <v>262</v>
      </c>
      <c r="B13" s="99" t="s">
        <v>263</v>
      </c>
    </row>
    <row r="14" spans="1:2" ht="24.6" x14ac:dyDescent="0.3">
      <c r="A14" s="96"/>
    </row>
    <row r="15" spans="1:2" ht="24.6" x14ac:dyDescent="0.3">
      <c r="A15" s="96"/>
    </row>
    <row r="16" spans="1:2" ht="98.4" x14ac:dyDescent="0.3">
      <c r="A16" s="96" t="s">
        <v>264</v>
      </c>
      <c r="B16" s="99" t="s">
        <v>265</v>
      </c>
    </row>
    <row r="17" spans="1:1" ht="24.6" x14ac:dyDescent="0.3">
      <c r="A17" s="96"/>
    </row>
  </sheetData>
  <pageMargins left="0.7" right="0.7" top="0.78740157499999996" bottom="0.78740157499999996" header="0.3" footer="0.3"/>
  <pageSetup paperSize="9" scale="58"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K27"/>
  <sheetViews>
    <sheetView view="pageBreakPreview" zoomScale="30" zoomScaleNormal="100" zoomScaleSheetLayoutView="30" workbookViewId="0">
      <selection activeCell="C38" sqref="C14:C38"/>
    </sheetView>
  </sheetViews>
  <sheetFormatPr baseColWidth="10" defaultRowHeight="14.4" x14ac:dyDescent="0.3"/>
  <cols>
    <col min="1" max="1" width="68.88671875" style="25" customWidth="1"/>
  </cols>
  <sheetData>
    <row r="2" spans="1:11" ht="123.75" customHeight="1" x14ac:dyDescent="0.3">
      <c r="A2" s="137" t="s">
        <v>140</v>
      </c>
      <c r="B2" s="137"/>
      <c r="C2" s="137"/>
      <c r="D2" s="137"/>
      <c r="E2" s="137"/>
      <c r="F2" s="137"/>
      <c r="G2" s="137"/>
      <c r="H2" s="137"/>
      <c r="I2" s="137"/>
      <c r="J2" s="137"/>
      <c r="K2" s="137"/>
    </row>
    <row r="3" spans="1:11" x14ac:dyDescent="0.3">
      <c r="A3" s="137"/>
      <c r="B3" s="137"/>
      <c r="C3" s="137"/>
      <c r="D3" s="137"/>
      <c r="E3" s="137"/>
      <c r="F3" s="137"/>
      <c r="G3" s="137"/>
      <c r="H3" s="137"/>
      <c r="I3" s="137"/>
      <c r="J3" s="137"/>
      <c r="K3" s="137"/>
    </row>
    <row r="4" spans="1:11" x14ac:dyDescent="0.3">
      <c r="A4" s="137"/>
      <c r="B4" s="137"/>
      <c r="C4" s="137"/>
      <c r="D4" s="137"/>
      <c r="E4" s="137"/>
      <c r="F4" s="137"/>
      <c r="G4" s="137"/>
      <c r="H4" s="137"/>
      <c r="I4" s="137"/>
      <c r="J4" s="137"/>
      <c r="K4" s="137"/>
    </row>
    <row r="5" spans="1:11" x14ac:dyDescent="0.3">
      <c r="A5" s="137"/>
      <c r="B5" s="137"/>
      <c r="C5" s="137"/>
      <c r="D5" s="137"/>
      <c r="E5" s="137"/>
      <c r="F5" s="137"/>
      <c r="G5" s="137"/>
      <c r="H5" s="137"/>
      <c r="I5" s="137"/>
      <c r="J5" s="137"/>
      <c r="K5" s="137"/>
    </row>
    <row r="6" spans="1:11" x14ac:dyDescent="0.3">
      <c r="A6" s="137"/>
      <c r="B6" s="137"/>
      <c r="C6" s="137"/>
      <c r="D6" s="137"/>
      <c r="E6" s="137"/>
      <c r="F6" s="137"/>
      <c r="G6" s="137"/>
      <c r="H6" s="137"/>
      <c r="I6" s="137"/>
      <c r="J6" s="137"/>
      <c r="K6" s="137"/>
    </row>
    <row r="7" spans="1:11" x14ac:dyDescent="0.3">
      <c r="A7" s="137"/>
      <c r="B7" s="137"/>
      <c r="C7" s="137"/>
      <c r="D7" s="137"/>
      <c r="E7" s="137"/>
      <c r="F7" s="137"/>
      <c r="G7" s="137"/>
      <c r="H7" s="137"/>
      <c r="I7" s="137"/>
      <c r="J7" s="137"/>
      <c r="K7" s="137"/>
    </row>
    <row r="8" spans="1:11" x14ac:dyDescent="0.3">
      <c r="A8" s="137"/>
      <c r="B8" s="137"/>
      <c r="C8" s="137"/>
      <c r="D8" s="137"/>
      <c r="E8" s="137"/>
      <c r="F8" s="137"/>
      <c r="G8" s="137"/>
      <c r="H8" s="137"/>
      <c r="I8" s="137"/>
      <c r="J8" s="137"/>
      <c r="K8" s="137"/>
    </row>
    <row r="9" spans="1:11" x14ac:dyDescent="0.3">
      <c r="A9" s="137"/>
      <c r="B9" s="137"/>
      <c r="C9" s="137"/>
      <c r="D9" s="137"/>
      <c r="E9" s="137"/>
      <c r="F9" s="137"/>
      <c r="G9" s="137"/>
      <c r="H9" s="137"/>
      <c r="I9" s="137"/>
      <c r="J9" s="137"/>
      <c r="K9" s="137"/>
    </row>
    <row r="10" spans="1:11" x14ac:dyDescent="0.3">
      <c r="A10" s="137"/>
      <c r="B10" s="137"/>
      <c r="C10" s="137"/>
      <c r="D10" s="137"/>
      <c r="E10" s="137"/>
      <c r="F10" s="137"/>
      <c r="G10" s="137"/>
      <c r="H10" s="137"/>
      <c r="I10" s="137"/>
      <c r="J10" s="137"/>
      <c r="K10" s="137"/>
    </row>
    <row r="11" spans="1:11" x14ac:dyDescent="0.3">
      <c r="A11" s="137"/>
      <c r="B11" s="137"/>
      <c r="C11" s="137"/>
      <c r="D11" s="137"/>
      <c r="E11" s="137"/>
      <c r="F11" s="137"/>
      <c r="G11" s="137"/>
      <c r="H11" s="137"/>
      <c r="I11" s="137"/>
      <c r="J11" s="137"/>
      <c r="K11" s="137"/>
    </row>
    <row r="12" spans="1:11" x14ac:dyDescent="0.3">
      <c r="A12" s="137"/>
      <c r="B12" s="137"/>
      <c r="C12" s="137"/>
      <c r="D12" s="137"/>
      <c r="E12" s="137"/>
      <c r="F12" s="137"/>
      <c r="G12" s="137"/>
      <c r="H12" s="137"/>
      <c r="I12" s="137"/>
      <c r="J12" s="137"/>
      <c r="K12" s="137"/>
    </row>
    <row r="13" spans="1:11" x14ac:dyDescent="0.3">
      <c r="A13" s="137"/>
      <c r="B13" s="137"/>
      <c r="C13" s="137"/>
      <c r="D13" s="137"/>
      <c r="E13" s="137"/>
      <c r="F13" s="137"/>
      <c r="G13" s="137"/>
      <c r="H13" s="137"/>
      <c r="I13" s="137"/>
      <c r="J13" s="137"/>
      <c r="K13" s="137"/>
    </row>
    <row r="14" spans="1:11" x14ac:dyDescent="0.3">
      <c r="A14" s="137"/>
      <c r="B14" s="137"/>
      <c r="C14" s="137"/>
      <c r="D14" s="137"/>
      <c r="E14" s="137"/>
      <c r="F14" s="137"/>
      <c r="G14" s="137"/>
      <c r="H14" s="137"/>
      <c r="I14" s="137"/>
      <c r="J14" s="137"/>
      <c r="K14" s="137"/>
    </row>
    <row r="15" spans="1:11" x14ac:dyDescent="0.3">
      <c r="A15" s="137"/>
      <c r="B15" s="137"/>
      <c r="C15" s="137"/>
      <c r="D15" s="137"/>
      <c r="E15" s="137"/>
      <c r="F15" s="137"/>
      <c r="G15" s="137"/>
      <c r="H15" s="137"/>
      <c r="I15" s="137"/>
      <c r="J15" s="137"/>
      <c r="K15" s="137"/>
    </row>
    <row r="16" spans="1:11" x14ac:dyDescent="0.3">
      <c r="A16" s="137"/>
      <c r="B16" s="137"/>
      <c r="C16" s="137"/>
      <c r="D16" s="137"/>
      <c r="E16" s="137"/>
      <c r="F16" s="137"/>
      <c r="G16" s="137"/>
      <c r="H16" s="137"/>
      <c r="I16" s="137"/>
      <c r="J16" s="137"/>
      <c r="K16" s="137"/>
    </row>
    <row r="17" spans="1:11" x14ac:dyDescent="0.3">
      <c r="A17" s="137"/>
      <c r="B17" s="137"/>
      <c r="C17" s="137"/>
      <c r="D17" s="137"/>
      <c r="E17" s="137"/>
      <c r="F17" s="137"/>
      <c r="G17" s="137"/>
      <c r="H17" s="137"/>
      <c r="I17" s="137"/>
      <c r="J17" s="137"/>
      <c r="K17" s="137"/>
    </row>
    <row r="18" spans="1:11" x14ac:dyDescent="0.3">
      <c r="A18" s="137"/>
      <c r="B18" s="137"/>
      <c r="C18" s="137"/>
      <c r="D18" s="137"/>
      <c r="E18" s="137"/>
      <c r="F18" s="137"/>
      <c r="G18" s="137"/>
      <c r="H18" s="137"/>
      <c r="I18" s="137"/>
      <c r="J18" s="137"/>
      <c r="K18" s="137"/>
    </row>
    <row r="19" spans="1:11" x14ac:dyDescent="0.3">
      <c r="A19" s="137"/>
      <c r="B19" s="137"/>
      <c r="C19" s="137"/>
      <c r="D19" s="137"/>
      <c r="E19" s="137"/>
      <c r="F19" s="137"/>
      <c r="G19" s="137"/>
      <c r="H19" s="137"/>
      <c r="I19" s="137"/>
      <c r="J19" s="137"/>
      <c r="K19" s="137"/>
    </row>
    <row r="20" spans="1:11" x14ac:dyDescent="0.3">
      <c r="A20" s="137"/>
      <c r="B20" s="137"/>
      <c r="C20" s="137"/>
      <c r="D20" s="137"/>
      <c r="E20" s="137"/>
      <c r="F20" s="137"/>
      <c r="G20" s="137"/>
      <c r="H20" s="137"/>
      <c r="I20" s="137"/>
      <c r="J20" s="137"/>
      <c r="K20" s="137"/>
    </row>
    <row r="21" spans="1:11" x14ac:dyDescent="0.3">
      <c r="A21" s="137"/>
      <c r="B21" s="137"/>
      <c r="C21" s="137"/>
      <c r="D21" s="137"/>
      <c r="E21" s="137"/>
      <c r="F21" s="137"/>
      <c r="G21" s="137"/>
      <c r="H21" s="137"/>
      <c r="I21" s="137"/>
      <c r="J21" s="137"/>
      <c r="K21" s="137"/>
    </row>
    <row r="22" spans="1:11" x14ac:dyDescent="0.3">
      <c r="A22" s="137"/>
      <c r="B22" s="137"/>
      <c r="C22" s="137"/>
      <c r="D22" s="137"/>
      <c r="E22" s="137"/>
      <c r="F22" s="137"/>
      <c r="G22" s="137"/>
      <c r="H22" s="137"/>
      <c r="I22" s="137"/>
      <c r="J22" s="137"/>
      <c r="K22" s="137"/>
    </row>
    <row r="23" spans="1:11" x14ac:dyDescent="0.3">
      <c r="A23" s="137"/>
      <c r="B23" s="137"/>
      <c r="C23" s="137"/>
      <c r="D23" s="137"/>
      <c r="E23" s="137"/>
      <c r="F23" s="137"/>
      <c r="G23" s="137"/>
      <c r="H23" s="137"/>
      <c r="I23" s="137"/>
      <c r="J23" s="137"/>
      <c r="K23" s="137"/>
    </row>
    <row r="24" spans="1:11" x14ac:dyDescent="0.3">
      <c r="A24" s="137"/>
      <c r="B24" s="137"/>
      <c r="C24" s="137"/>
      <c r="D24" s="137"/>
      <c r="E24" s="137"/>
      <c r="F24" s="137"/>
      <c r="G24" s="137"/>
      <c r="H24" s="137"/>
      <c r="I24" s="137"/>
      <c r="J24" s="137"/>
      <c r="K24" s="137"/>
    </row>
    <row r="25" spans="1:11" x14ac:dyDescent="0.3">
      <c r="A25" s="137"/>
      <c r="B25" s="137"/>
      <c r="C25" s="137"/>
      <c r="D25" s="137"/>
      <c r="E25" s="137"/>
      <c r="F25" s="137"/>
      <c r="G25" s="137"/>
      <c r="H25" s="137"/>
      <c r="I25" s="137"/>
      <c r="J25" s="137"/>
      <c r="K25" s="137"/>
    </row>
    <row r="26" spans="1:11" x14ac:dyDescent="0.3">
      <c r="A26" s="137"/>
      <c r="B26" s="137"/>
      <c r="C26" s="137"/>
      <c r="D26" s="137"/>
      <c r="E26" s="137"/>
      <c r="F26" s="137"/>
      <c r="G26" s="137"/>
      <c r="H26" s="137"/>
      <c r="I26" s="137"/>
      <c r="J26" s="137"/>
      <c r="K26" s="137"/>
    </row>
    <row r="27" spans="1:11" x14ac:dyDescent="0.3">
      <c r="A27" s="137"/>
      <c r="B27" s="137"/>
      <c r="C27" s="137"/>
      <c r="D27" s="137"/>
      <c r="E27" s="137"/>
      <c r="F27" s="137"/>
      <c r="G27" s="137"/>
      <c r="H27" s="137"/>
      <c r="I27" s="137"/>
      <c r="J27" s="137"/>
      <c r="K27" s="137"/>
    </row>
  </sheetData>
  <mergeCells count="1">
    <mergeCell ref="A2:K27"/>
  </mergeCells>
  <pageMargins left="0.7" right="0.7" top="0.78740157499999996" bottom="0.78740157499999996" header="0.3" footer="0.3"/>
  <pageSetup paperSize="9" scale="47"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topLeftCell="A12" zoomScaleNormal="100" workbookViewId="0">
      <pane xSplit="1" topLeftCell="B1" activePane="topRight" state="frozen"/>
      <selection pane="topRight" activeCell="C6" sqref="C6"/>
    </sheetView>
  </sheetViews>
  <sheetFormatPr baseColWidth="10" defaultColWidth="11.44140625" defaultRowHeight="14.4" x14ac:dyDescent="0.3"/>
  <cols>
    <col min="1" max="16384" width="11.44140625" style="5"/>
  </cols>
  <sheetData>
    <row r="4" spans="1:54" x14ac:dyDescent="0.3">
      <c r="A4" s="4"/>
      <c r="B4" s="4"/>
      <c r="C4" s="4"/>
      <c r="D4" s="4">
        <v>4650</v>
      </c>
      <c r="E4" s="4">
        <v>4625</v>
      </c>
      <c r="F4" s="4">
        <v>4600</v>
      </c>
      <c r="G4" s="4">
        <v>4575</v>
      </c>
      <c r="H4" s="4">
        <v>4550</v>
      </c>
      <c r="I4" s="4">
        <v>4525</v>
      </c>
      <c r="J4" s="4">
        <v>4500</v>
      </c>
      <c r="K4" s="4">
        <v>4475</v>
      </c>
      <c r="L4" s="4">
        <v>4450</v>
      </c>
      <c r="M4" s="4">
        <v>4425</v>
      </c>
      <c r="N4" s="4">
        <v>4400</v>
      </c>
      <c r="O4" s="4">
        <v>4375</v>
      </c>
      <c r="P4" s="4">
        <v>4350</v>
      </c>
      <c r="Q4" s="4">
        <v>4325</v>
      </c>
      <c r="R4" s="4">
        <v>4300</v>
      </c>
      <c r="S4" s="4">
        <v>4275</v>
      </c>
      <c r="T4" s="4">
        <v>4250</v>
      </c>
      <c r="U4" s="4">
        <v>4225</v>
      </c>
      <c r="V4" s="4">
        <v>4200</v>
      </c>
      <c r="W4" s="4">
        <v>4175</v>
      </c>
      <c r="X4" s="4">
        <v>4150</v>
      </c>
      <c r="Y4" s="4">
        <v>4125</v>
      </c>
      <c r="Z4" s="4">
        <v>4100</v>
      </c>
      <c r="AA4" s="4">
        <v>4075</v>
      </c>
      <c r="AB4" s="4">
        <v>4050</v>
      </c>
      <c r="AC4" s="4">
        <v>4025</v>
      </c>
      <c r="AD4" s="4">
        <v>4000</v>
      </c>
      <c r="AE4" s="4">
        <v>3975</v>
      </c>
      <c r="AF4" s="4">
        <v>3950</v>
      </c>
      <c r="AG4" s="4"/>
      <c r="AH4" s="4"/>
      <c r="AI4" s="4"/>
      <c r="AJ4" s="4"/>
      <c r="AK4" s="4"/>
      <c r="AL4" s="4"/>
      <c r="AM4" s="4"/>
      <c r="AN4" s="4"/>
      <c r="AO4" s="4"/>
      <c r="AP4" s="4"/>
      <c r="AQ4" s="4"/>
      <c r="AR4" s="4"/>
      <c r="AS4" s="4"/>
      <c r="AT4" s="4"/>
      <c r="AU4" s="4"/>
      <c r="AV4" s="4"/>
      <c r="AW4" s="4"/>
      <c r="AX4" s="4"/>
      <c r="AY4" s="4"/>
      <c r="AZ4" s="4"/>
      <c r="BA4" s="4"/>
      <c r="BB4" s="4"/>
    </row>
    <row r="5" spans="1:54" x14ac:dyDescent="0.3">
      <c r="A5" s="4">
        <v>4650</v>
      </c>
      <c r="B5" s="4"/>
      <c r="C5" s="4">
        <v>-289.67778572751018</v>
      </c>
      <c r="D5" s="4">
        <v>-250.82099515985988</v>
      </c>
      <c r="E5" s="4">
        <v>-36.54046220001112</v>
      </c>
      <c r="F5" s="4">
        <v>-254.30753949215278</v>
      </c>
      <c r="G5" s="4">
        <v>-25.03789237637244</v>
      </c>
      <c r="H5" s="4">
        <v>-10.595457366004467</v>
      </c>
      <c r="I5" s="4">
        <v>-1.7788002231835385</v>
      </c>
      <c r="J5" s="4">
        <v>-0.26998242108134068</v>
      </c>
      <c r="K5" s="4">
        <v>-4.0268965497848811E-3</v>
      </c>
      <c r="L5" s="4">
        <v>-4.1059556500033773E-4</v>
      </c>
      <c r="M5" s="4">
        <v>-4.6389789734635606E-6</v>
      </c>
      <c r="N5" s="4">
        <v>-8.4852782612073329E-8</v>
      </c>
      <c r="O5" s="4">
        <v>-4.0553393230808044E-10</v>
      </c>
      <c r="P5" s="4">
        <v>-2.7154106881683333E-12</v>
      </c>
      <c r="Q5" s="4">
        <v>-2.9486502607265443E-15</v>
      </c>
      <c r="R5" s="4">
        <v>-5.3228568278070601E-18</v>
      </c>
      <c r="S5" s="4">
        <v>-4.0895244661798929E-21</v>
      </c>
      <c r="T5" s="4">
        <v>-1.6893898854417492E-24</v>
      </c>
      <c r="U5" s="4">
        <v>-2.2434850862762669E-28</v>
      </c>
      <c r="V5" s="4">
        <v>1.6399535700494352E-31</v>
      </c>
      <c r="W5" s="4">
        <v>3.3803127768066047E-36</v>
      </c>
      <c r="X5" s="4">
        <v>1.5881686525826459E-40</v>
      </c>
      <c r="Y5" s="4">
        <v>3.5883400204614249E-44</v>
      </c>
      <c r="Z5" s="4">
        <v>2.1523876004117038E-48</v>
      </c>
      <c r="AA5" s="4">
        <v>4.9537925505230347E-54</v>
      </c>
      <c r="AB5" s="4">
        <v>6.433231695808521E-59</v>
      </c>
      <c r="AC5" s="4">
        <v>6.9872347401653391E-65</v>
      </c>
      <c r="AD5" s="4">
        <v>3.7710559655777309E-70</v>
      </c>
      <c r="AE5" s="4">
        <v>9.3146912455683768E-77</v>
      </c>
      <c r="AF5" s="4">
        <v>6.4364753542050521E-83</v>
      </c>
      <c r="AG5" s="4"/>
      <c r="AH5" s="4"/>
      <c r="AI5" s="4"/>
      <c r="AJ5" s="4"/>
      <c r="AK5" s="4"/>
      <c r="AL5" s="4"/>
      <c r="AM5" s="4"/>
      <c r="AN5" s="4"/>
      <c r="AO5" s="4"/>
      <c r="AP5" s="4"/>
      <c r="AQ5" s="4"/>
      <c r="AR5" s="4"/>
      <c r="AS5" s="4"/>
      <c r="AT5" s="4"/>
      <c r="AU5" s="4"/>
      <c r="AV5" s="4"/>
      <c r="AW5" s="4"/>
      <c r="AX5" s="4"/>
      <c r="AY5" s="4"/>
      <c r="AZ5" s="4"/>
      <c r="BA5" s="4"/>
      <c r="BB5" s="4"/>
    </row>
    <row r="6" spans="1:54" x14ac:dyDescent="0.3">
      <c r="A6" s="4">
        <v>4640</v>
      </c>
      <c r="B6" s="4"/>
      <c r="C6" s="4">
        <v>-349.65673497221815</v>
      </c>
      <c r="D6" s="4">
        <v>-243.63694346165806</v>
      </c>
      <c r="E6" s="4">
        <v>-42.086480738971638</v>
      </c>
      <c r="F6" s="4">
        <v>-347.63072862116695</v>
      </c>
      <c r="G6" s="4">
        <v>-40.65860159744927</v>
      </c>
      <c r="H6" s="4">
        <v>-20.458791000394609</v>
      </c>
      <c r="I6" s="4">
        <v>-4.0879669774852143</v>
      </c>
      <c r="J6" s="4">
        <v>-0.73918745315268974</v>
      </c>
      <c r="K6" s="4">
        <v>-1.3147769585037843E-2</v>
      </c>
      <c r="L6" s="4">
        <v>-1.6002459693301929E-3</v>
      </c>
      <c r="M6" s="4">
        <v>-2.1603243386409364E-5</v>
      </c>
      <c r="N6" s="4">
        <v>-4.7263383520316621E-7</v>
      </c>
      <c r="O6" s="4">
        <v>-2.7045260952088462E-9</v>
      </c>
      <c r="P6" s="4">
        <v>-2.1704657036985501E-11</v>
      </c>
      <c r="Q6" s="4">
        <v>-2.8277918104293195E-14</v>
      </c>
      <c r="R6" s="4">
        <v>-6.1310422581089221E-17</v>
      </c>
      <c r="S6" s="4">
        <v>-5.6635877303514674E-20</v>
      </c>
      <c r="T6" s="4">
        <v>-2.816095578232271E-23</v>
      </c>
      <c r="U6" s="4">
        <v>-4.5062396916611919E-27</v>
      </c>
      <c r="V6" s="4">
        <v>3.9735329009082414E-30</v>
      </c>
      <c r="W6" s="4">
        <v>9.8910546880201077E-35</v>
      </c>
      <c r="X6" s="4">
        <v>5.6184294131161051E-39</v>
      </c>
      <c r="Y6" s="4">
        <v>1.5365354218464005E-42</v>
      </c>
      <c r="Z6" s="4">
        <v>1.1168742765962811E-46</v>
      </c>
      <c r="AA6" s="4">
        <v>3.1186508081889028E-52</v>
      </c>
      <c r="AB6" s="4">
        <v>4.9194872932597771E-57</v>
      </c>
      <c r="AC6" s="4">
        <v>6.4980146475490082E-63</v>
      </c>
      <c r="AD6" s="4">
        <v>4.2702424638839194E-68</v>
      </c>
      <c r="AE6" s="4">
        <v>1.2859034717626837E-74</v>
      </c>
      <c r="AF6" s="4">
        <v>1.0846291480699294E-80</v>
      </c>
      <c r="AG6" s="4"/>
      <c r="AH6" s="4"/>
      <c r="AI6" s="4"/>
      <c r="AJ6" s="4"/>
      <c r="AK6" s="4"/>
      <c r="AL6" s="4"/>
      <c r="AM6" s="4"/>
      <c r="AN6" s="4"/>
      <c r="AO6" s="4"/>
      <c r="AP6" s="4"/>
      <c r="AQ6" s="4"/>
      <c r="AR6" s="4"/>
      <c r="AS6" s="4"/>
      <c r="AT6" s="4"/>
      <c r="AU6" s="4"/>
      <c r="AV6" s="4"/>
      <c r="AW6" s="4"/>
      <c r="AX6" s="4"/>
      <c r="AY6" s="4"/>
      <c r="AZ6" s="4"/>
      <c r="BA6" s="4"/>
      <c r="BB6" s="4"/>
    </row>
    <row r="7" spans="1:54" x14ac:dyDescent="0.3">
      <c r="A7" s="4">
        <v>4630</v>
      </c>
      <c r="B7" s="4"/>
      <c r="C7" s="4">
        <v>-409.94040886532798</v>
      </c>
      <c r="D7" s="4">
        <v>-221.03018885381189</v>
      </c>
      <c r="E7" s="4">
        <v>-45.289759584928738</v>
      </c>
      <c r="F7" s="4">
        <v>-444.14666650453961</v>
      </c>
      <c r="G7" s="4">
        <v>-61.733059896103342</v>
      </c>
      <c r="H7" s="4">
        <v>-36.949892263958816</v>
      </c>
      <c r="I7" s="4">
        <v>-8.7907045864894222</v>
      </c>
      <c r="J7" s="4">
        <v>-1.8944094117144763</v>
      </c>
      <c r="K7" s="4">
        <v>-4.0197479361792569E-2</v>
      </c>
      <c r="L7" s="4">
        <v>-5.8423859962193443E-3</v>
      </c>
      <c r="M7" s="4">
        <v>-9.4278650269398218E-5</v>
      </c>
      <c r="N7" s="4">
        <v>-2.4680226677597789E-6</v>
      </c>
      <c r="O7" s="4">
        <v>-1.691568138639348E-8</v>
      </c>
      <c r="P7" s="4">
        <v>-1.627700024795793E-10</v>
      </c>
      <c r="Q7" s="4">
        <v>-2.5453429814623108E-13</v>
      </c>
      <c r="R7" s="4">
        <v>-6.6308653157025941E-16</v>
      </c>
      <c r="S7" s="4">
        <v>-7.3676585305596798E-19</v>
      </c>
      <c r="T7" s="4">
        <v>-4.4112086782146136E-22</v>
      </c>
      <c r="U7" s="4">
        <v>-8.508887903209552E-26</v>
      </c>
      <c r="V7" s="4">
        <v>9.0545156416645382E-29</v>
      </c>
      <c r="W7" s="4">
        <v>2.7230038471783813E-33</v>
      </c>
      <c r="X7" s="4">
        <v>1.8708157706618383E-37</v>
      </c>
      <c r="Y7" s="4">
        <v>6.1953845879514117E-41</v>
      </c>
      <c r="Z7" s="4">
        <v>5.4593987118705398E-45</v>
      </c>
      <c r="AA7" s="4">
        <v>1.8502632082671365E-50</v>
      </c>
      <c r="AB7" s="4">
        <v>3.5467497614993714E-55</v>
      </c>
      <c r="AC7" s="4">
        <v>5.6997977739663234E-61</v>
      </c>
      <c r="AD7" s="4">
        <v>4.5627849270681124E-66</v>
      </c>
      <c r="AE7" s="4">
        <v>1.6757986393849306E-72</v>
      </c>
      <c r="AF7" s="4">
        <v>1.7261352305957857E-78</v>
      </c>
      <c r="AG7" s="4"/>
      <c r="AH7" s="4"/>
      <c r="AI7" s="4"/>
      <c r="AJ7" s="4"/>
      <c r="AK7" s="4"/>
      <c r="AL7" s="4"/>
      <c r="AM7" s="4"/>
      <c r="AN7" s="4"/>
      <c r="AO7" s="4"/>
      <c r="AP7" s="4"/>
      <c r="AQ7" s="4"/>
      <c r="AR7" s="4"/>
      <c r="AS7" s="4"/>
      <c r="AT7" s="4"/>
      <c r="AU7" s="4"/>
      <c r="AV7" s="4"/>
      <c r="AW7" s="4"/>
      <c r="AX7" s="4"/>
      <c r="AY7" s="4"/>
      <c r="AZ7" s="4"/>
      <c r="BA7" s="4"/>
      <c r="BB7" s="4"/>
    </row>
    <row r="8" spans="1:54" x14ac:dyDescent="0.3">
      <c r="A8" s="4">
        <v>4620</v>
      </c>
      <c r="B8" s="4"/>
      <c r="C8" s="4">
        <v>-467.60205133918834</v>
      </c>
      <c r="D8" s="4">
        <v>-187.19609016122448</v>
      </c>
      <c r="E8" s="4">
        <v>-45.514991681540458</v>
      </c>
      <c r="F8" s="4">
        <v>-530.14283360012109</v>
      </c>
      <c r="G8" s="4">
        <v>-87.59987368537665</v>
      </c>
      <c r="H8" s="4">
        <v>-62.392107303352475</v>
      </c>
      <c r="I8" s="4">
        <v>-17.680197625480798</v>
      </c>
      <c r="J8" s="4">
        <v>-4.5426051047098301</v>
      </c>
      <c r="K8" s="4">
        <v>-0.11503317965520182</v>
      </c>
      <c r="L8" s="4">
        <v>-1.997275284099909E-2</v>
      </c>
      <c r="M8" s="4">
        <v>-3.8540689376187254E-4</v>
      </c>
      <c r="N8" s="4">
        <v>-1.2076850804178089E-5</v>
      </c>
      <c r="O8" s="4">
        <v>-9.9183058343211881E-8</v>
      </c>
      <c r="P8" s="4">
        <v>-1.1447638853778368E-9</v>
      </c>
      <c r="Q8" s="4">
        <v>-2.1494963322507777E-12</v>
      </c>
      <c r="R8" s="4">
        <v>-6.7308517765736093E-15</v>
      </c>
      <c r="S8" s="4">
        <v>-8.9992160678431015E-18</v>
      </c>
      <c r="T8" s="4">
        <v>-6.4905212353327714E-21</v>
      </c>
      <c r="U8" s="4">
        <v>-1.5097969071653998E-24</v>
      </c>
      <c r="V8" s="4">
        <v>1.9396230920542227E-27</v>
      </c>
      <c r="W8" s="4">
        <v>7.0500982660794868E-32</v>
      </c>
      <c r="X8" s="4">
        <v>5.860936235368341E-36</v>
      </c>
      <c r="Y8" s="4">
        <v>2.3512214928097699E-39</v>
      </c>
      <c r="Z8" s="4">
        <v>2.5128450171148638E-43</v>
      </c>
      <c r="AA8" s="4">
        <v>1.0340999982843017E-48</v>
      </c>
      <c r="AB8" s="4">
        <v>2.4098306761323418E-53</v>
      </c>
      <c r="AC8" s="4">
        <v>4.7137617860723425E-59</v>
      </c>
      <c r="AD8" s="4">
        <v>4.5985634020388105E-64</v>
      </c>
      <c r="AE8" s="4">
        <v>2.0608029700458513E-70</v>
      </c>
      <c r="AF8" s="4">
        <v>2.5933263222403385E-76</v>
      </c>
      <c r="AG8" s="4"/>
      <c r="AH8" s="4"/>
      <c r="AI8" s="4"/>
      <c r="AJ8" s="4"/>
      <c r="AK8" s="4"/>
      <c r="AL8" s="4"/>
      <c r="AM8" s="4"/>
      <c r="AN8" s="4"/>
      <c r="AO8" s="4"/>
      <c r="AP8" s="4"/>
      <c r="AQ8" s="4"/>
      <c r="AR8" s="4"/>
      <c r="AS8" s="4"/>
      <c r="AT8" s="4"/>
      <c r="AU8" s="4"/>
      <c r="AV8" s="4"/>
      <c r="AW8" s="4"/>
      <c r="AX8" s="4"/>
      <c r="AY8" s="4"/>
      <c r="AZ8" s="4"/>
      <c r="BA8" s="4"/>
      <c r="BB8" s="4"/>
    </row>
    <row r="9" spans="1:54" x14ac:dyDescent="0.3">
      <c r="A9" s="4">
        <v>4610</v>
      </c>
      <c r="B9" s="4"/>
      <c r="C9" s="4">
        <v>-519.96767140094619</v>
      </c>
      <c r="D9" s="4">
        <v>-147.93968163471655</v>
      </c>
      <c r="E9" s="4">
        <v>-42.698504495340771</v>
      </c>
      <c r="F9" s="4">
        <v>-590.91500355542973</v>
      </c>
      <c r="G9" s="4">
        <v>-116.12281670564496</v>
      </c>
      <c r="H9" s="4">
        <v>-98.455096376339071</v>
      </c>
      <c r="I9" s="4">
        <v>-33.243533532842669</v>
      </c>
      <c r="J9" s="4">
        <v>-10.187279905349888</v>
      </c>
      <c r="K9" s="4">
        <v>-0.30798952038381427</v>
      </c>
      <c r="L9" s="4">
        <v>-6.3905973037248598E-2</v>
      </c>
      <c r="M9" s="4">
        <v>-1.4751959723811991E-3</v>
      </c>
      <c r="N9" s="4">
        <v>-5.5354330534876181E-5</v>
      </c>
      <c r="O9" s="4">
        <v>-5.4494043181981374E-7</v>
      </c>
      <c r="P9" s="4">
        <v>-7.5473097348036284E-9</v>
      </c>
      <c r="Q9" s="4">
        <v>-1.7022916261379525E-11</v>
      </c>
      <c r="R9" s="4">
        <v>-6.4098793603399298E-14</v>
      </c>
      <c r="S9" s="4">
        <v>-1.0316539351937194E-16</v>
      </c>
      <c r="T9" s="4">
        <v>-8.9666640806521453E-20</v>
      </c>
      <c r="U9" s="4">
        <v>-2.5163429457762783E-23</v>
      </c>
      <c r="V9" s="4">
        <v>3.9043819812073697E-26</v>
      </c>
      <c r="W9" s="4">
        <v>1.7159445013851461E-30</v>
      </c>
      <c r="X9" s="4">
        <v>1.7268058595131212E-34</v>
      </c>
      <c r="Y9" s="4">
        <v>8.3953698506911781E-38</v>
      </c>
      <c r="Z9" s="4">
        <v>1.088652277266932E-41</v>
      </c>
      <c r="AA9" s="4">
        <v>5.4422292912407587E-47</v>
      </c>
      <c r="AB9" s="4">
        <v>1.5424517575469412E-51</v>
      </c>
      <c r="AC9" s="4">
        <v>3.673921237432711E-57</v>
      </c>
      <c r="AD9" s="4">
        <v>4.3697287898778818E-62</v>
      </c>
      <c r="AE9" s="4">
        <v>2.3904435815692603E-68</v>
      </c>
      <c r="AF9" s="4">
        <v>3.6766759470539377E-74</v>
      </c>
      <c r="AG9" s="4"/>
      <c r="AH9" s="4"/>
      <c r="AI9" s="4"/>
      <c r="AJ9" s="4"/>
      <c r="AK9" s="4"/>
      <c r="AL9" s="4"/>
      <c r="AM9" s="4"/>
      <c r="AN9" s="4"/>
      <c r="AO9" s="4"/>
      <c r="AP9" s="4"/>
      <c r="AQ9" s="4"/>
      <c r="AR9" s="4"/>
      <c r="AS9" s="4"/>
      <c r="AT9" s="4"/>
      <c r="AU9" s="4"/>
      <c r="AV9" s="4"/>
      <c r="AW9" s="4"/>
      <c r="AX9" s="4"/>
      <c r="AY9" s="4"/>
      <c r="AZ9" s="4"/>
      <c r="BA9" s="4"/>
      <c r="BB9" s="4"/>
    </row>
    <row r="10" spans="1:54" x14ac:dyDescent="0.3">
      <c r="A10" s="4">
        <v>4600</v>
      </c>
      <c r="B10" s="4"/>
      <c r="C10" s="4">
        <v>-565.40717565297246</v>
      </c>
      <c r="D10" s="4">
        <v>-109.04851829791419</v>
      </c>
      <c r="E10" s="4">
        <v>-37.374875974084617</v>
      </c>
      <c r="F10" s="4">
        <v>-614.79259963181767</v>
      </c>
      <c r="G10" s="4">
        <v>-143.73635069625266</v>
      </c>
      <c r="H10" s="4">
        <v>-145.12629053943559</v>
      </c>
      <c r="I10" s="4">
        <v>-58.410627294796576</v>
      </c>
      <c r="J10" s="4">
        <v>-21.357101681447212</v>
      </c>
      <c r="K10" s="4">
        <v>-0.77116391322108935</v>
      </c>
      <c r="L10" s="4">
        <v>-0.19129824154807679</v>
      </c>
      <c r="M10" s="4">
        <v>-5.2846346050507897E-3</v>
      </c>
      <c r="N10" s="4">
        <v>-2.3754969311124162E-4</v>
      </c>
      <c r="O10" s="4">
        <v>-2.8043774588810616E-6</v>
      </c>
      <c r="P10" s="4">
        <v>-4.6624720102158439E-8</v>
      </c>
      <c r="Q10" s="4">
        <v>-1.2637231150081701E-10</v>
      </c>
      <c r="R10" s="4">
        <v>-5.7243252318021301E-13</v>
      </c>
      <c r="S10" s="4">
        <v>-1.1095143728909555E-15</v>
      </c>
      <c r="T10" s="4">
        <v>-1.1625929954244635E-18</v>
      </c>
      <c r="U10" s="4">
        <v>-3.9377087137026297E-22</v>
      </c>
      <c r="V10" s="4">
        <v>7.3822329325268153E-25</v>
      </c>
      <c r="W10" s="4">
        <v>3.9245592490498801E-29</v>
      </c>
      <c r="X10" s="4">
        <v>4.7827731987894827E-33</v>
      </c>
      <c r="Y10" s="4">
        <v>2.8192081284070251E-36</v>
      </c>
      <c r="Z10" s="4">
        <v>4.4374762660588493E-40</v>
      </c>
      <c r="AA10" s="4">
        <v>2.695864042718384E-45</v>
      </c>
      <c r="AB10" s="4">
        <v>9.2966848526700319E-50</v>
      </c>
      <c r="AC10" s="4">
        <v>2.6975484798283303E-55</v>
      </c>
      <c r="AD10" s="4">
        <v>3.9133698977241259E-60</v>
      </c>
      <c r="AE10" s="4">
        <v>2.6144040937583252E-66</v>
      </c>
      <c r="AF10" s="4">
        <v>4.9169409693626969E-72</v>
      </c>
      <c r="AG10" s="4"/>
      <c r="AH10" s="4"/>
      <c r="AI10" s="4"/>
      <c r="AJ10" s="4"/>
      <c r="AK10" s="4"/>
      <c r="AL10" s="4"/>
      <c r="AM10" s="4"/>
      <c r="AN10" s="4"/>
      <c r="AO10" s="4"/>
      <c r="AP10" s="4"/>
      <c r="AQ10" s="4"/>
      <c r="AR10" s="4"/>
      <c r="AS10" s="4"/>
      <c r="AT10" s="4"/>
      <c r="AU10" s="4"/>
      <c r="AV10" s="4"/>
      <c r="AW10" s="4"/>
      <c r="AX10" s="4"/>
      <c r="AY10" s="4"/>
      <c r="AZ10" s="4"/>
      <c r="BA10" s="4"/>
      <c r="BB10" s="4"/>
    </row>
    <row r="11" spans="1:54" x14ac:dyDescent="0.3">
      <c r="A11" s="4">
        <v>4590</v>
      </c>
      <c r="B11" s="4"/>
      <c r="C11" s="4">
        <v>-604.03678081363023</v>
      </c>
      <c r="D11" s="4">
        <v>-74.938489896528083</v>
      </c>
      <c r="E11" s="4">
        <v>-30.511204684151195</v>
      </c>
      <c r="F11" s="4">
        <v>-596.77145981175761</v>
      </c>
      <c r="G11" s="4">
        <v>-166.05641488599625</v>
      </c>
      <c r="H11" s="4">
        <v>-199.73725090407748</v>
      </c>
      <c r="I11" s="4">
        <v>-95.862255016129609</v>
      </c>
      <c r="J11" s="4">
        <v>-41.837371460664812</v>
      </c>
      <c r="K11" s="4">
        <v>-1.8049422295127557</v>
      </c>
      <c r="L11" s="4">
        <v>-0.53549465740531454</v>
      </c>
      <c r="M11" s="4">
        <v>-1.7710245825324541E-2</v>
      </c>
      <c r="N11" s="4">
        <v>-9.5405283356033484E-4</v>
      </c>
      <c r="O11" s="4">
        <v>-1.3511720711859489E-5</v>
      </c>
      <c r="P11" s="4">
        <v>-2.6977376722383276E-7</v>
      </c>
      <c r="Q11" s="4">
        <v>-8.7902851704271241E-10</v>
      </c>
      <c r="R11" s="4">
        <v>-4.7918859666668066E-12</v>
      </c>
      <c r="S11" s="4">
        <v>-1.1189617322942895E-14</v>
      </c>
      <c r="T11" s="4">
        <v>-1.4141146504347445E-17</v>
      </c>
      <c r="U11" s="4">
        <v>-5.7830269112194521E-21</v>
      </c>
      <c r="V11" s="4">
        <v>1.3105085703797313E-23</v>
      </c>
      <c r="W11" s="4">
        <v>8.4309224282224202E-28</v>
      </c>
      <c r="X11" s="4">
        <v>1.244782762606019E-31</v>
      </c>
      <c r="Y11" s="4">
        <v>8.8996719418363629E-35</v>
      </c>
      <c r="Z11" s="4">
        <v>1.7010834114990792E-38</v>
      </c>
      <c r="AA11" s="4">
        <v>1.2564526314520483E-43</v>
      </c>
      <c r="AB11" s="4">
        <v>5.2742051790929689E-48</v>
      </c>
      <c r="AC11" s="4">
        <v>1.8651236320578825E-53</v>
      </c>
      <c r="AD11" s="4">
        <v>3.3016724497396609E-58</v>
      </c>
      <c r="AE11" s="4">
        <v>2.6948990225290117E-64</v>
      </c>
      <c r="AF11" s="4">
        <v>6.2001227552208159E-70</v>
      </c>
      <c r="AG11" s="4"/>
      <c r="AH11" s="4"/>
      <c r="AI11" s="4"/>
      <c r="AJ11" s="4"/>
      <c r="AK11" s="4"/>
      <c r="AL11" s="4"/>
      <c r="AM11" s="4"/>
      <c r="AN11" s="4"/>
      <c r="AO11" s="4"/>
      <c r="AP11" s="4"/>
      <c r="AQ11" s="4"/>
      <c r="AR11" s="4"/>
      <c r="AS11" s="4"/>
      <c r="AT11" s="4"/>
      <c r="AU11" s="4"/>
      <c r="AV11" s="4"/>
      <c r="AW11" s="4"/>
      <c r="AX11" s="4"/>
      <c r="AY11" s="4"/>
      <c r="AZ11" s="4"/>
      <c r="BA11" s="4"/>
      <c r="BB11" s="4"/>
    </row>
    <row r="12" spans="1:54" x14ac:dyDescent="0.3">
      <c r="A12" s="4">
        <v>4580</v>
      </c>
      <c r="B12" s="4"/>
      <c r="C12" s="4">
        <v>-637.89598373328897</v>
      </c>
      <c r="D12" s="4">
        <v>-47.988978476732903</v>
      </c>
      <c r="E12" s="4">
        <v>-23.21953290509904</v>
      </c>
      <c r="F12" s="4">
        <v>-540.21420560697652</v>
      </c>
      <c r="G12" s="4">
        <v>-178.97325974779045</v>
      </c>
      <c r="H12" s="4">
        <v>-256.55548240733634</v>
      </c>
      <c r="I12" s="4">
        <v>-146.88565809552469</v>
      </c>
      <c r="J12" s="4">
        <v>-76.547338672674314</v>
      </c>
      <c r="K12" s="4">
        <v>-3.94722719682956</v>
      </c>
      <c r="L12" s="4">
        <v>-1.4011384247384144</v>
      </c>
      <c r="M12" s="4">
        <v>-5.5499162840003925E-2</v>
      </c>
      <c r="N12" s="4">
        <v>-3.5843799746130903E-3</v>
      </c>
      <c r="O12" s="4">
        <v>-6.0922952197666537E-5</v>
      </c>
      <c r="P12" s="4">
        <v>-1.4613447908273512E-6</v>
      </c>
      <c r="Q12" s="4">
        <v>-5.7266140074301771E-9</v>
      </c>
      <c r="R12" s="4">
        <v>-3.7584431243011796E-11</v>
      </c>
      <c r="S12" s="4">
        <v>-1.0577750409637993E-13</v>
      </c>
      <c r="T12" s="4">
        <v>-1.6129273303282148E-16</v>
      </c>
      <c r="U12" s="4">
        <v>-7.9674367930265426E-20</v>
      </c>
      <c r="V12" s="4">
        <v>2.1833499988823246E-22</v>
      </c>
      <c r="W12" s="4">
        <v>1.7004792216718229E-26</v>
      </c>
      <c r="X12" s="4">
        <v>3.0429941767654042E-30</v>
      </c>
      <c r="Y12" s="4">
        <v>2.6399607877333395E-33</v>
      </c>
      <c r="Z12" s="4">
        <v>6.1302155924357548E-37</v>
      </c>
      <c r="AA12" s="4">
        <v>5.5073148533024882E-42</v>
      </c>
      <c r="AB12" s="4">
        <v>2.8152554112206569E-46</v>
      </c>
      <c r="AC12" s="4">
        <v>1.2138505832016003E-51</v>
      </c>
      <c r="AD12" s="4">
        <v>2.6231604153621057E-56</v>
      </c>
      <c r="AE12" s="4">
        <v>2.6170364861545572E-62</v>
      </c>
      <c r="AF12" s="4">
        <v>7.3687529754251177E-68</v>
      </c>
      <c r="AG12" s="4"/>
      <c r="AH12" s="4"/>
      <c r="AI12" s="4"/>
      <c r="AJ12" s="4"/>
      <c r="AK12" s="4"/>
      <c r="AL12" s="4"/>
      <c r="AM12" s="4"/>
      <c r="AN12" s="4"/>
      <c r="AO12" s="4"/>
      <c r="AP12" s="4"/>
      <c r="AQ12" s="4"/>
      <c r="AR12" s="4"/>
      <c r="AS12" s="4"/>
      <c r="AT12" s="4"/>
      <c r="AU12" s="4"/>
      <c r="AV12" s="4"/>
      <c r="AW12" s="4"/>
      <c r="AX12" s="4"/>
      <c r="AY12" s="4"/>
      <c r="AZ12" s="4"/>
      <c r="BA12" s="4"/>
      <c r="BB12" s="4"/>
    </row>
    <row r="13" spans="1:54" x14ac:dyDescent="0.3">
      <c r="A13" s="4">
        <v>4570</v>
      </c>
      <c r="B13" s="4"/>
      <c r="C13" s="4">
        <v>-670.32422592433306</v>
      </c>
      <c r="D13" s="4">
        <v>-28.623926158333408</v>
      </c>
      <c r="E13" s="4">
        <v>-16.465031800852678</v>
      </c>
      <c r="F13" s="4">
        <v>-455.83078936235353</v>
      </c>
      <c r="G13" s="4">
        <v>-179.87299567129878</v>
      </c>
      <c r="H13" s="4">
        <v>-307.40816235881994</v>
      </c>
      <c r="I13" s="4">
        <v>-210.03441529955808</v>
      </c>
      <c r="J13" s="4">
        <v>-130.75054200798522</v>
      </c>
      <c r="K13" s="4">
        <v>-8.0619102300797802</v>
      </c>
      <c r="L13" s="4">
        <v>-3.4252653902534869</v>
      </c>
      <c r="M13" s="4">
        <v>-0.16255741453051031</v>
      </c>
      <c r="N13" s="4">
        <v>-1.259175785780315E-2</v>
      </c>
      <c r="O13" s="4">
        <v>-2.5695383433930135E-4</v>
      </c>
      <c r="P13" s="4">
        <v>-7.4077058216271975E-6</v>
      </c>
      <c r="Q13" s="4">
        <v>-3.4925777580669424E-8</v>
      </c>
      <c r="R13" s="4">
        <v>-2.7608251712485719E-10</v>
      </c>
      <c r="S13" s="4">
        <v>-9.368671868968973E-13</v>
      </c>
      <c r="T13" s="4">
        <v>-1.7243676562724298E-15</v>
      </c>
      <c r="U13" s="4">
        <v>-1.0293101046659483E-18</v>
      </c>
      <c r="V13" s="4">
        <v>3.4123331311282882E-21</v>
      </c>
      <c r="W13" s="4">
        <v>3.2187969587830859E-25</v>
      </c>
      <c r="X13" s="4">
        <v>6.9842090790381687E-29</v>
      </c>
      <c r="Y13" s="4">
        <v>7.3555161083578882E-32</v>
      </c>
      <c r="Z13" s="4">
        <v>2.0758828539839671E-35</v>
      </c>
      <c r="AA13" s="4">
        <v>2.2693241440684327E-40</v>
      </c>
      <c r="AB13" s="4">
        <v>1.4132807941557232E-44</v>
      </c>
      <c r="AC13" s="4">
        <v>7.4329447029843449E-50</v>
      </c>
      <c r="AD13" s="4">
        <v>1.9617476488220252E-54</v>
      </c>
      <c r="AE13" s="4">
        <v>2.3932883923420316E-60</v>
      </c>
      <c r="AF13" s="4">
        <v>8.2508261373019083E-66</v>
      </c>
      <c r="AG13" s="4"/>
      <c r="AH13" s="4"/>
      <c r="AI13" s="4"/>
      <c r="AJ13" s="4"/>
      <c r="AK13" s="4"/>
      <c r="AL13" s="4"/>
      <c r="AM13" s="4"/>
      <c r="AN13" s="4"/>
      <c r="AO13" s="4"/>
      <c r="AP13" s="4"/>
      <c r="AQ13" s="4"/>
      <c r="AR13" s="4"/>
      <c r="AS13" s="4"/>
      <c r="AT13" s="4"/>
      <c r="AU13" s="4"/>
      <c r="AV13" s="4"/>
      <c r="AW13" s="4"/>
      <c r="AX13" s="4"/>
      <c r="AY13" s="4"/>
      <c r="AZ13" s="4"/>
      <c r="BA13" s="4"/>
      <c r="BB13" s="4"/>
    </row>
    <row r="14" spans="1:54" x14ac:dyDescent="0.3">
      <c r="A14" s="4">
        <v>4560</v>
      </c>
      <c r="B14" s="4"/>
      <c r="C14" s="4">
        <v>-704.65122377704256</v>
      </c>
      <c r="D14" s="4">
        <v>-15.895205701507461</v>
      </c>
      <c r="E14" s="4">
        <v>-10.873903647733375</v>
      </c>
      <c r="F14" s="4">
        <v>-358.36086483731577</v>
      </c>
      <c r="G14" s="4">
        <v>-168.49592552806138</v>
      </c>
      <c r="H14" s="4">
        <v>-343.4490908531584</v>
      </c>
      <c r="I14" s="4">
        <v>-280.14482110713288</v>
      </c>
      <c r="J14" s="4">
        <v>-208.40449653367355</v>
      </c>
      <c r="K14" s="4">
        <v>-15.37106776258136</v>
      </c>
      <c r="L14" s="4">
        <v>-7.8198544217946973</v>
      </c>
      <c r="M14" s="4">
        <v>-0.44482621058394178</v>
      </c>
      <c r="N14" s="4">
        <v>-4.1342322512536923E-2</v>
      </c>
      <c r="O14" s="4">
        <v>-1.0133031377074161E-3</v>
      </c>
      <c r="P14" s="4">
        <v>-3.5123663970889414E-5</v>
      </c>
      <c r="Q14" s="4">
        <v>-1.9932200775955728E-7</v>
      </c>
      <c r="R14" s="4">
        <v>-1.8984876966063983E-9</v>
      </c>
      <c r="S14" s="4">
        <v>-7.7710319100945541E-12</v>
      </c>
      <c r="T14" s="4">
        <v>-1.7271892390425427E-14</v>
      </c>
      <c r="U14" s="4">
        <v>-1.246375567192551E-17</v>
      </c>
      <c r="V14" s="4">
        <v>5.0007567381871594E-20</v>
      </c>
      <c r="W14" s="4">
        <v>5.7155012247397624E-24</v>
      </c>
      <c r="X14" s="4">
        <v>1.5043717450831726E-27</v>
      </c>
      <c r="Y14" s="4">
        <v>1.9241330400714393E-30</v>
      </c>
      <c r="Z14" s="4">
        <v>6.6027031754402809E-34</v>
      </c>
      <c r="AA14" s="4">
        <v>8.7868194523096602E-39</v>
      </c>
      <c r="AB14" s="4">
        <v>6.6696877865627145E-43</v>
      </c>
      <c r="AC14" s="4">
        <v>4.2806722692804735E-48</v>
      </c>
      <c r="AD14" s="4">
        <v>1.3804066105898187E-52</v>
      </c>
      <c r="AE14" s="4">
        <v>2.060237438019184E-58</v>
      </c>
      <c r="AF14" s="4">
        <v>8.7002242939618558E-64</v>
      </c>
      <c r="AG14" s="4"/>
      <c r="AH14" s="4"/>
      <c r="AI14" s="4"/>
      <c r="AJ14" s="4"/>
      <c r="AK14" s="4"/>
      <c r="AL14" s="4"/>
      <c r="AM14" s="4"/>
      <c r="AN14" s="4"/>
      <c r="AO14" s="4"/>
      <c r="AP14" s="4"/>
      <c r="AQ14" s="4"/>
      <c r="AR14" s="4"/>
      <c r="AS14" s="4"/>
      <c r="AT14" s="4"/>
      <c r="AU14" s="4"/>
      <c r="AV14" s="4"/>
      <c r="AW14" s="4"/>
      <c r="AX14" s="4"/>
      <c r="AY14" s="4"/>
      <c r="AZ14" s="4"/>
      <c r="BA14" s="4"/>
      <c r="BB14" s="4"/>
    </row>
    <row r="15" spans="1:54" x14ac:dyDescent="0.3">
      <c r="A15" s="4">
        <v>4550</v>
      </c>
      <c r="B15" s="4"/>
      <c r="C15" s="4">
        <v>-742.71280141478076</v>
      </c>
      <c r="D15" s="4">
        <v>-8.2138894656636658</v>
      </c>
      <c r="E15" s="4">
        <v>-6.6852772243933183</v>
      </c>
      <c r="F15" s="4">
        <v>-262.37032163270777</v>
      </c>
      <c r="G15" s="4">
        <v>-147.04732724315716</v>
      </c>
      <c r="H15" s="4">
        <v>-357.61987108999881</v>
      </c>
      <c r="I15" s="4">
        <v>-348.3821974107754</v>
      </c>
      <c r="J15" s="4">
        <v>-309.82877688043544</v>
      </c>
      <c r="K15" s="4">
        <v>-27.345886286217869</v>
      </c>
      <c r="L15" s="4">
        <v>-16.66467164407619</v>
      </c>
      <c r="M15" s="4">
        <v>-1.1366855471665525</v>
      </c>
      <c r="N15" s="4">
        <v>-0.1268070707384962</v>
      </c>
      <c r="O15" s="4">
        <v>-3.7345516038000326E-3</v>
      </c>
      <c r="P15" s="4">
        <v>-1.5570637496627347E-4</v>
      </c>
      <c r="Q15" s="4">
        <v>-1.0639755058006175E-6</v>
      </c>
      <c r="R15" s="4">
        <v>-1.2215791568993672E-8</v>
      </c>
      <c r="S15" s="4">
        <v>-6.0339690302560978E-11</v>
      </c>
      <c r="T15" s="4">
        <v>-1.6201436484809018E-13</v>
      </c>
      <c r="U15" s="4">
        <v>-1.4139564891751455E-16</v>
      </c>
      <c r="V15" s="4">
        <v>6.8688877644113562E-19</v>
      </c>
      <c r="W15" s="4">
        <v>9.5162203859440716E-23</v>
      </c>
      <c r="X15" s="4">
        <v>3.0396716753697187E-26</v>
      </c>
      <c r="Y15" s="4">
        <v>4.7236299963718451E-29</v>
      </c>
      <c r="Z15" s="4">
        <v>1.9717230652222813E-32</v>
      </c>
      <c r="AA15" s="4">
        <v>3.1956529208285246E-37</v>
      </c>
      <c r="AB15" s="4">
        <v>2.9577670130364912E-41</v>
      </c>
      <c r="AC15" s="4">
        <v>2.3175777341177582E-46</v>
      </c>
      <c r="AD15" s="4">
        <v>9.13551847756257E-51</v>
      </c>
      <c r="AE15" s="4">
        <v>1.668760534336969E-56</v>
      </c>
      <c r="AF15" s="4">
        <v>8.6359755696429256E-62</v>
      </c>
      <c r="AG15" s="4"/>
      <c r="AH15" s="4"/>
      <c r="AI15" s="4"/>
      <c r="AJ15" s="4"/>
      <c r="AK15" s="4"/>
      <c r="AL15" s="4"/>
      <c r="AM15" s="4"/>
      <c r="AN15" s="4"/>
      <c r="AO15" s="4"/>
      <c r="AP15" s="4"/>
      <c r="AQ15" s="4"/>
      <c r="AR15" s="4"/>
      <c r="AS15" s="4"/>
      <c r="AT15" s="4"/>
      <c r="AU15" s="4"/>
      <c r="AV15" s="4"/>
      <c r="AW15" s="4"/>
      <c r="AX15" s="4"/>
      <c r="AY15" s="4"/>
      <c r="AZ15" s="4"/>
      <c r="BA15" s="4"/>
      <c r="BB15" s="4"/>
    </row>
    <row r="16" spans="1:54" x14ac:dyDescent="0.3">
      <c r="A16" s="4">
        <v>4540</v>
      </c>
      <c r="B16" s="4"/>
      <c r="C16" s="4">
        <v>-783.86755624406464</v>
      </c>
      <c r="D16" s="4">
        <v>-3.9479547725848279</v>
      </c>
      <c r="E16" s="4">
        <v>-3.8243707183867168</v>
      </c>
      <c r="F16" s="4">
        <v>-178.80611652653212</v>
      </c>
      <c r="G16" s="4">
        <v>-119.49953548073884</v>
      </c>
      <c r="H16" s="4">
        <v>-346.88937849502702</v>
      </c>
      <c r="I16" s="4">
        <v>-403.74677542875759</v>
      </c>
      <c r="J16" s="4">
        <v>-429.42446667954408</v>
      </c>
      <c r="K16" s="4">
        <v>-45.373459506973418</v>
      </c>
      <c r="L16" s="4">
        <v>-33.135177149270064</v>
      </c>
      <c r="M16" s="4">
        <v>-2.7111793092494727</v>
      </c>
      <c r="N16" s="4">
        <v>-0.36319049951236243</v>
      </c>
      <c r="O16" s="4">
        <v>-1.2857467060258653E-2</v>
      </c>
      <c r="P16" s="4">
        <v>-6.4507071563914557E-4</v>
      </c>
      <c r="Q16" s="4">
        <v>-5.3098206322315244E-6</v>
      </c>
      <c r="R16" s="4">
        <v>-7.3516666297659609E-8</v>
      </c>
      <c r="S16" s="4">
        <v>-4.3838671716475469E-10</v>
      </c>
      <c r="T16" s="4">
        <v>-1.4225831541178975E-12</v>
      </c>
      <c r="U16" s="4">
        <v>-1.5021572006801599E-15</v>
      </c>
      <c r="V16" s="4">
        <v>8.8391822799715264E-18</v>
      </c>
      <c r="W16" s="4">
        <v>1.485024053647039E-21</v>
      </c>
      <c r="X16" s="4">
        <v>5.7589322130324041E-25</v>
      </c>
      <c r="Y16" s="4">
        <v>1.0877935992550478E-27</v>
      </c>
      <c r="Z16" s="4">
        <v>5.5256976059578542E-31</v>
      </c>
      <c r="AA16" s="4">
        <v>1.0911712339498051E-35</v>
      </c>
      <c r="AB16" s="4">
        <v>1.2320187739170872E-39</v>
      </c>
      <c r="AC16" s="4">
        <v>1.1790771645221762E-44</v>
      </c>
      <c r="AD16" s="4">
        <v>5.6837743287909008E-49</v>
      </c>
      <c r="AE16" s="4">
        <v>1.2712802275123169E-54</v>
      </c>
      <c r="AF16" s="4">
        <v>8.0659806651641688E-60</v>
      </c>
      <c r="AG16" s="4"/>
      <c r="AH16" s="4"/>
      <c r="AI16" s="4"/>
      <c r="AJ16" s="4"/>
      <c r="AK16" s="4"/>
      <c r="AL16" s="4"/>
      <c r="AM16" s="4"/>
      <c r="AN16" s="4"/>
      <c r="AO16" s="4"/>
      <c r="AP16" s="4"/>
      <c r="AQ16" s="4"/>
      <c r="AR16" s="4"/>
      <c r="AS16" s="4"/>
      <c r="AT16" s="4"/>
      <c r="AU16" s="4"/>
      <c r="AV16" s="4"/>
      <c r="AW16" s="4"/>
      <c r="AX16" s="4"/>
      <c r="AY16" s="4"/>
      <c r="AZ16" s="4"/>
      <c r="BA16" s="4"/>
      <c r="BB16" s="4"/>
    </row>
    <row r="17" spans="1:54" x14ac:dyDescent="0.3">
      <c r="A17" s="4">
        <v>4530</v>
      </c>
      <c r="B17" s="4"/>
      <c r="C17" s="4">
        <v>-825.00924113560609</v>
      </c>
      <c r="D17" s="4">
        <v>-1.7641247840420353</v>
      </c>
      <c r="E17" s="4">
        <v>-2.0347033823977383</v>
      </c>
      <c r="F17" s="4">
        <v>-113.37524512995172</v>
      </c>
      <c r="G17" s="4">
        <v>-90.388267665676196</v>
      </c>
      <c r="H17" s="4">
        <v>-313.30448268402176</v>
      </c>
      <c r="I17" s="4">
        <v>-435.85179842214581</v>
      </c>
      <c r="J17" s="4">
        <v>-554.62550951282003</v>
      </c>
      <c r="K17" s="4">
        <v>-70.183031247464243</v>
      </c>
      <c r="L17" s="4">
        <v>-61.443430008211074</v>
      </c>
      <c r="M17" s="4">
        <v>-6.0331485756565355</v>
      </c>
      <c r="N17" s="4">
        <v>-0.97088682661385584</v>
      </c>
      <c r="O17" s="4">
        <v>-4.1332506071129337E-2</v>
      </c>
      <c r="P17" s="4">
        <v>-2.4963465444207814E-3</v>
      </c>
      <c r="Q17" s="4">
        <v>-2.4762983056825631E-5</v>
      </c>
      <c r="R17" s="4">
        <v>-4.1362253620463549E-7</v>
      </c>
      <c r="S17" s="4">
        <v>-2.9788336208238786E-9</v>
      </c>
      <c r="T17" s="4">
        <v>-1.168739606242818E-11</v>
      </c>
      <c r="U17" s="4">
        <v>-1.4938024412156476E-14</v>
      </c>
      <c r="V17" s="4">
        <v>1.0651720603236968E-16</v>
      </c>
      <c r="W17" s="4">
        <v>2.1710466324589944E-20</v>
      </c>
      <c r="X17" s="4">
        <v>1.0226091930532168E-23</v>
      </c>
      <c r="Y17" s="4">
        <v>2.3488563325906466E-26</v>
      </c>
      <c r="Z17" s="4">
        <v>1.4526322031337876E-29</v>
      </c>
      <c r="AA17" s="4">
        <v>3.4965741756492771E-34</v>
      </c>
      <c r="AB17" s="4">
        <v>4.8181194878617338E-38</v>
      </c>
      <c r="AC17" s="4">
        <v>5.6344112596061081E-43</v>
      </c>
      <c r="AD17" s="4">
        <v>3.3230093423223693E-47</v>
      </c>
      <c r="AE17" s="4">
        <v>9.1048668060489062E-53</v>
      </c>
      <c r="AF17" s="4">
        <v>7.085705962683811E-58</v>
      </c>
      <c r="AG17" s="4"/>
      <c r="AH17" s="4"/>
      <c r="AI17" s="4"/>
      <c r="AJ17" s="4"/>
      <c r="AK17" s="4"/>
      <c r="AL17" s="4"/>
      <c r="AM17" s="4"/>
      <c r="AN17" s="4"/>
      <c r="AO17" s="4"/>
      <c r="AP17" s="4"/>
      <c r="AQ17" s="4"/>
      <c r="AR17" s="4"/>
      <c r="AS17" s="4"/>
      <c r="AT17" s="4"/>
      <c r="AU17" s="4"/>
      <c r="AV17" s="4"/>
      <c r="AW17" s="4"/>
      <c r="AX17" s="4"/>
      <c r="AY17" s="4"/>
      <c r="AZ17" s="4"/>
      <c r="BA17" s="4"/>
      <c r="BB17" s="4"/>
    </row>
    <row r="18" spans="1:54" x14ac:dyDescent="0.3">
      <c r="A18" s="4">
        <v>4520</v>
      </c>
      <c r="B18" s="4"/>
      <c r="C18" s="4">
        <v>-861.62701388105916</v>
      </c>
      <c r="D18" s="4">
        <v>-0.73250700988268125</v>
      </c>
      <c r="E18" s="4">
        <v>-1.0063175794253114</v>
      </c>
      <c r="F18" s="4">
        <v>-66.852141429028421</v>
      </c>
      <c r="G18" s="4">
        <v>-63.604585819031392</v>
      </c>
      <c r="H18" s="4">
        <v>-263.35584811306529</v>
      </c>
      <c r="I18" s="4">
        <v>-438.06700046048775</v>
      </c>
      <c r="J18" s="4">
        <v>-667.20137944448084</v>
      </c>
      <c r="K18" s="4">
        <v>-101.15316264728074</v>
      </c>
      <c r="L18" s="4">
        <v>-106.20690883920352</v>
      </c>
      <c r="M18" s="4">
        <v>-12.519759576861752</v>
      </c>
      <c r="N18" s="4">
        <v>-2.4212796120003808</v>
      </c>
      <c r="O18" s="4">
        <v>-0.12400730960811956</v>
      </c>
      <c r="P18" s="4">
        <v>-9.0198577243373653E-3</v>
      </c>
      <c r="Q18" s="4">
        <v>-1.0787042699107667E-4</v>
      </c>
      <c r="R18" s="4">
        <v>-2.1745981238462587E-6</v>
      </c>
      <c r="S18" s="4">
        <v>-1.8922246034390856E-8</v>
      </c>
      <c r="T18" s="4">
        <v>-8.9800272110844727E-11</v>
      </c>
      <c r="U18" s="4">
        <v>-1.3898694995291697E-13</v>
      </c>
      <c r="V18" s="4">
        <v>1.2014754384185252E-15</v>
      </c>
      <c r="W18" s="4">
        <v>2.9721980595352372E-19</v>
      </c>
      <c r="X18" s="4">
        <v>1.7011277915289887E-22</v>
      </c>
      <c r="Y18" s="4">
        <v>4.7535016382308978E-25</v>
      </c>
      <c r="Z18" s="4">
        <v>3.5806371957154353E-28</v>
      </c>
      <c r="AA18" s="4">
        <v>1.0510386698962165E-32</v>
      </c>
      <c r="AB18" s="4">
        <v>1.7682965586716665E-36</v>
      </c>
      <c r="AC18" s="4">
        <v>2.5279269538088902E-41</v>
      </c>
      <c r="AD18" s="4">
        <v>1.8248598936455359E-45</v>
      </c>
      <c r="AE18" s="4">
        <v>6.1277904991201597E-51</v>
      </c>
      <c r="AF18" s="4">
        <v>5.8519834833464648E-56</v>
      </c>
      <c r="AG18" s="4"/>
      <c r="AH18" s="4"/>
      <c r="AI18" s="4"/>
      <c r="AJ18" s="4"/>
      <c r="AK18" s="4"/>
      <c r="AL18" s="4"/>
      <c r="AM18" s="4"/>
      <c r="AN18" s="4"/>
      <c r="AO18" s="4"/>
      <c r="AP18" s="4"/>
      <c r="AQ18" s="4"/>
      <c r="AR18" s="4"/>
      <c r="AS18" s="4"/>
      <c r="AT18" s="4"/>
      <c r="AU18" s="4"/>
      <c r="AV18" s="4"/>
      <c r="AW18" s="4"/>
      <c r="AX18" s="4"/>
      <c r="AY18" s="4"/>
      <c r="AZ18" s="4"/>
      <c r="BA18" s="4"/>
      <c r="BB18" s="4"/>
    </row>
    <row r="19" spans="1:54" x14ac:dyDescent="0.3">
      <c r="A19" s="4">
        <v>4510</v>
      </c>
      <c r="B19" s="4"/>
      <c r="C19" s="4">
        <v>-889.4755537878624</v>
      </c>
      <c r="D19" s="4">
        <v>-0.2824941535452743</v>
      </c>
      <c r="E19" s="4">
        <v>-0.46243684300050564</v>
      </c>
      <c r="F19" s="4">
        <v>-36.640800687095791</v>
      </c>
      <c r="G19" s="4">
        <v>-41.618593265653239</v>
      </c>
      <c r="H19" s="4">
        <v>-205.92681975388328</v>
      </c>
      <c r="I19" s="4">
        <v>-409.73942267949411</v>
      </c>
      <c r="J19" s="4">
        <v>-747.22677626907546</v>
      </c>
      <c r="K19" s="4">
        <v>-135.78101452586128</v>
      </c>
      <c r="L19" s="4">
        <v>-171.04766207861178</v>
      </c>
      <c r="M19" s="4">
        <v>-24.216468838132201</v>
      </c>
      <c r="N19" s="4">
        <v>-5.6306811987258731</v>
      </c>
      <c r="O19" s="4">
        <v>-0.34707257294572358</v>
      </c>
      <c r="P19" s="4">
        <v>-3.0415207775409181E-2</v>
      </c>
      <c r="Q19" s="4">
        <v>-4.3871044858321949E-4</v>
      </c>
      <c r="R19" s="4">
        <v>-1.0678515085863625E-5</v>
      </c>
      <c r="S19" s="4">
        <v>-1.1231509189317308E-7</v>
      </c>
      <c r="T19" s="4">
        <v>-6.4499976619482055E-10</v>
      </c>
      <c r="U19" s="4">
        <v>-1.209375029973065E-12</v>
      </c>
      <c r="V19" s="4">
        <v>1.2679476799563652E-14</v>
      </c>
      <c r="W19" s="4">
        <v>3.8085875582219182E-18</v>
      </c>
      <c r="X19" s="4">
        <v>2.6498983050315618E-21</v>
      </c>
      <c r="Y19" s="4">
        <v>9.0120669954815698E-24</v>
      </c>
      <c r="Z19" s="4">
        <v>8.2719563723220455E-27</v>
      </c>
      <c r="AA19" s="4">
        <v>2.9622981352630119E-31</v>
      </c>
      <c r="AB19" s="4">
        <v>6.0877777444962849E-35</v>
      </c>
      <c r="AC19" s="4">
        <v>1.0643877520164734E-39</v>
      </c>
      <c r="AD19" s="4">
        <v>9.4089526816940106E-44</v>
      </c>
      <c r="AE19" s="4">
        <v>3.8738576400111702E-49</v>
      </c>
      <c r="AF19" s="4">
        <v>4.5418142588697974E-54</v>
      </c>
      <c r="AG19" s="4"/>
      <c r="AH19" s="4"/>
      <c r="AI19" s="4"/>
      <c r="AJ19" s="4"/>
      <c r="AK19" s="4"/>
      <c r="AL19" s="4"/>
      <c r="AM19" s="4"/>
      <c r="AN19" s="4"/>
      <c r="AO19" s="4"/>
      <c r="AP19" s="4"/>
      <c r="AQ19" s="4"/>
      <c r="AR19" s="4"/>
      <c r="AS19" s="4"/>
      <c r="AT19" s="4"/>
      <c r="AU19" s="4"/>
      <c r="AV19" s="4"/>
      <c r="AW19" s="4"/>
      <c r="AX19" s="4"/>
      <c r="AY19" s="4"/>
      <c r="AZ19" s="4"/>
      <c r="BA19" s="4"/>
      <c r="BB19" s="4"/>
    </row>
    <row r="20" spans="1:54" x14ac:dyDescent="0.3">
      <c r="A20" s="4">
        <v>4500</v>
      </c>
      <c r="B20" s="4"/>
      <c r="C20" s="4">
        <v>-906.11871660784323</v>
      </c>
      <c r="D20" s="4">
        <v>-0.1011370953683103</v>
      </c>
      <c r="E20" s="4">
        <v>-0.19735225655154004</v>
      </c>
      <c r="F20" s="4">
        <v>-18.657642677375915</v>
      </c>
      <c r="G20" s="4">
        <v>-25.310420306962111</v>
      </c>
      <c r="H20" s="4">
        <v>-149.71578634233904</v>
      </c>
      <c r="I20" s="4">
        <v>-356.47772034702007</v>
      </c>
      <c r="J20" s="4">
        <v>-778.71581164406086</v>
      </c>
      <c r="K20" s="4">
        <v>-169.66971262970878</v>
      </c>
      <c r="L20" s="4">
        <v>-256.5445548839437</v>
      </c>
      <c r="M20" s="4">
        <v>-43.63987631370032</v>
      </c>
      <c r="N20" s="4">
        <v>-12.204286200416448</v>
      </c>
      <c r="O20" s="4">
        <v>-0.9057479325320088</v>
      </c>
      <c r="P20" s="4">
        <v>-9.5669951242933746E-2</v>
      </c>
      <c r="Q20" s="4">
        <v>-1.6650522887240011E-3</v>
      </c>
      <c r="R20" s="4">
        <v>-4.8955190130741203E-5</v>
      </c>
      <c r="S20" s="4">
        <v>-6.2264761459392342E-7</v>
      </c>
      <c r="T20" s="4">
        <v>-4.3287656469770229E-9</v>
      </c>
      <c r="U20" s="4">
        <v>-9.8368375680950752E-12</v>
      </c>
      <c r="V20" s="4">
        <v>1.2513572494030235E-13</v>
      </c>
      <c r="W20" s="4">
        <v>4.5659464276399428E-17</v>
      </c>
      <c r="X20" s="4">
        <v>3.8635843046239845E-20</v>
      </c>
      <c r="Y20" s="4">
        <v>1.5999023628892936E-22</v>
      </c>
      <c r="Z20" s="4">
        <v>1.7902141843076793E-25</v>
      </c>
      <c r="AA20" s="4">
        <v>7.8249105334212102E-30</v>
      </c>
      <c r="AB20" s="4">
        <v>1.965150895213678E-33</v>
      </c>
      <c r="AC20" s="4">
        <v>4.2040001367169922E-38</v>
      </c>
      <c r="AD20" s="4">
        <v>4.5527712892599812E-42</v>
      </c>
      <c r="AE20" s="4">
        <v>2.2993374181939672E-47</v>
      </c>
      <c r="AF20" s="4">
        <v>3.3111030687664408E-52</v>
      </c>
      <c r="AG20" s="4"/>
      <c r="AH20" s="4"/>
      <c r="AI20" s="4"/>
      <c r="AJ20" s="4"/>
      <c r="AK20" s="4"/>
      <c r="AL20" s="4"/>
      <c r="AM20" s="4"/>
      <c r="AN20" s="4"/>
      <c r="AO20" s="4"/>
      <c r="AP20" s="4"/>
      <c r="AQ20" s="4"/>
      <c r="AR20" s="4"/>
      <c r="AS20" s="4"/>
      <c r="AT20" s="4"/>
      <c r="AU20" s="4"/>
      <c r="AV20" s="4"/>
      <c r="AW20" s="4"/>
      <c r="AX20" s="4"/>
      <c r="AY20" s="4"/>
      <c r="AZ20" s="4"/>
      <c r="BA20" s="4"/>
      <c r="BB20" s="4"/>
    </row>
    <row r="21" spans="1:54" x14ac:dyDescent="0.3">
      <c r="A21" s="4">
        <v>4490</v>
      </c>
      <c r="B21" s="4"/>
      <c r="C21" s="4">
        <v>-911.6627776147817</v>
      </c>
      <c r="D21" s="4">
        <v>-3.3597057105172891E-2</v>
      </c>
      <c r="E21" s="4">
        <v>-7.8179201956509403E-2</v>
      </c>
      <c r="F21" s="4">
        <v>-8.8222364583212265</v>
      </c>
      <c r="G21" s="4">
        <v>-14.299241232158817</v>
      </c>
      <c r="H21" s="4">
        <v>-101.15712160173253</v>
      </c>
      <c r="I21" s="4">
        <v>-288.3398553809688</v>
      </c>
      <c r="J21" s="4">
        <v>-754.79258341868547</v>
      </c>
      <c r="K21" s="4">
        <v>-197.27273039702598</v>
      </c>
      <c r="L21" s="4">
        <v>-358.16429642924101</v>
      </c>
      <c r="M21" s="4">
        <v>-73.233097799817543</v>
      </c>
      <c r="N21" s="4">
        <v>-24.642990023915175</v>
      </c>
      <c r="O21" s="4">
        <v>-2.2029435569563116</v>
      </c>
      <c r="P21" s="4">
        <v>-0.28057546925439197</v>
      </c>
      <c r="Q21" s="4">
        <v>-5.8945222714183645E-3</v>
      </c>
      <c r="R21" s="4">
        <v>-2.0943051715015531E-4</v>
      </c>
      <c r="S21" s="4">
        <v>-3.2224297746433118E-6</v>
      </c>
      <c r="T21" s="4">
        <v>-2.7132521961994653E-8</v>
      </c>
      <c r="U21" s="4">
        <v>-7.4757938041399828E-11</v>
      </c>
      <c r="V21" s="4">
        <v>1.1543976875333769E-12</v>
      </c>
      <c r="W21" s="4">
        <v>5.1189370649941656E-16</v>
      </c>
      <c r="X21" s="4">
        <v>5.2701475768339148E-19</v>
      </c>
      <c r="Y21" s="4">
        <v>2.6584223215112247E-21</v>
      </c>
      <c r="Z21" s="4">
        <v>3.6278937944056645E-24</v>
      </c>
      <c r="AA21" s="4">
        <v>1.9363121230515414E-28</v>
      </c>
      <c r="AB21" s="4">
        <v>5.9452774630612035E-32</v>
      </c>
      <c r="AC21" s="4">
        <v>1.5568960772893275E-36</v>
      </c>
      <c r="AD21" s="4">
        <v>2.0665246422422096E-40</v>
      </c>
      <c r="AE21" s="4">
        <v>1.2808236763317854E-45</v>
      </c>
      <c r="AF21" s="4">
        <v>2.2664296894536042E-50</v>
      </c>
      <c r="AG21" s="4"/>
      <c r="AH21" s="4"/>
      <c r="AI21" s="4"/>
      <c r="AJ21" s="4"/>
      <c r="AK21" s="4"/>
      <c r="AL21" s="4"/>
      <c r="AM21" s="4"/>
      <c r="AN21" s="4"/>
      <c r="AO21" s="4"/>
      <c r="AP21" s="4"/>
      <c r="AQ21" s="4"/>
      <c r="AR21" s="4"/>
      <c r="AS21" s="4"/>
      <c r="AT21" s="4"/>
      <c r="AU21" s="4"/>
      <c r="AV21" s="4"/>
      <c r="AW21" s="4"/>
      <c r="AX21" s="4"/>
      <c r="AY21" s="4"/>
      <c r="AZ21" s="4"/>
      <c r="BA21" s="4"/>
      <c r="BB21" s="4"/>
    </row>
    <row r="22" spans="1:54" x14ac:dyDescent="0.3">
      <c r="A22" s="4">
        <v>4480</v>
      </c>
      <c r="B22" s="4"/>
      <c r="C22" s="4">
        <v>-908.39469726598213</v>
      </c>
      <c r="D22" s="4">
        <v>-1.0350621344418429E-2</v>
      </c>
      <c r="E22" s="4">
        <v>-2.8733284158603972E-2</v>
      </c>
      <c r="F22" s="4">
        <v>-3.8718356533241289</v>
      </c>
      <c r="G22" s="4">
        <v>-7.5009325647467406</v>
      </c>
      <c r="H22" s="4">
        <v>-63.487356068626482</v>
      </c>
      <c r="I22" s="4">
        <v>-216.72704239703302</v>
      </c>
      <c r="J22" s="4">
        <v>-680.12321192704621</v>
      </c>
      <c r="K22" s="4">
        <v>-213.31298989721304</v>
      </c>
      <c r="L22" s="4">
        <v>-465.22865689271788</v>
      </c>
      <c r="M22" s="4">
        <v>-114.38633273811571</v>
      </c>
      <c r="N22" s="4">
        <v>-46.333640464266203</v>
      </c>
      <c r="O22" s="4">
        <v>-4.9911610528526964</v>
      </c>
      <c r="P22" s="4">
        <v>-0.76684441822292071</v>
      </c>
      <c r="Q22" s="4">
        <v>-1.9455170163796911E-2</v>
      </c>
      <c r="R22" s="4">
        <v>-8.3566111952217636E-4</v>
      </c>
      <c r="S22" s="4">
        <v>-1.5561734261252337E-5</v>
      </c>
      <c r="T22" s="4">
        <v>-1.587578197359941E-7</v>
      </c>
      <c r="U22" s="4">
        <v>-5.305967315654323E-10</v>
      </c>
      <c r="V22" s="4">
        <v>9.9499912698626535E-12</v>
      </c>
      <c r="W22" s="4">
        <v>5.3642706516502084E-15</v>
      </c>
      <c r="X22" s="4">
        <v>6.7224410592126165E-18</v>
      </c>
      <c r="Y22" s="4">
        <v>4.1325430848973774E-20</v>
      </c>
      <c r="Z22" s="4">
        <v>6.8811225851813618E-23</v>
      </c>
      <c r="AA22" s="4">
        <v>4.4866265518756437E-27</v>
      </c>
      <c r="AB22" s="4">
        <v>1.6849675082907214E-30</v>
      </c>
      <c r="AC22" s="4">
        <v>5.403753327910937E-35</v>
      </c>
      <c r="AD22" s="4">
        <v>8.795111741437678E-39</v>
      </c>
      <c r="AE22" s="4">
        <v>6.6928373525632261E-44</v>
      </c>
      <c r="AF22" s="4">
        <v>1.4559471193943892E-48</v>
      </c>
      <c r="AG22" s="4"/>
      <c r="AH22" s="4"/>
      <c r="AI22" s="4"/>
      <c r="AJ22" s="4"/>
      <c r="AK22" s="4"/>
      <c r="AL22" s="4"/>
      <c r="AM22" s="4"/>
      <c r="AN22" s="4"/>
      <c r="AO22" s="4"/>
      <c r="AP22" s="4"/>
      <c r="AQ22" s="4"/>
      <c r="AR22" s="4"/>
      <c r="AS22" s="4"/>
      <c r="AT22" s="4"/>
      <c r="AU22" s="4"/>
      <c r="AV22" s="4"/>
      <c r="AW22" s="4"/>
      <c r="AX22" s="4"/>
      <c r="AY22" s="4"/>
      <c r="AZ22" s="4"/>
      <c r="BA22" s="4"/>
      <c r="BB22" s="4"/>
    </row>
    <row r="23" spans="1:54" x14ac:dyDescent="0.3">
      <c r="A23" s="4">
        <v>4470</v>
      </c>
      <c r="B23" s="4"/>
      <c r="C23" s="4">
        <v>-899.59133232670285</v>
      </c>
      <c r="D23" s="4">
        <v>-2.9558945952623851E-3</v>
      </c>
      <c r="E23" s="4">
        <v>-9.792822421687615E-3</v>
      </c>
      <c r="F23" s="4">
        <v>-1.5763617124601486</v>
      </c>
      <c r="G23" s="4">
        <v>-3.6516687573013744</v>
      </c>
      <c r="H23" s="4">
        <v>-36.993542271953878</v>
      </c>
      <c r="I23" s="4">
        <v>-151.30192144073149</v>
      </c>
      <c r="J23" s="4">
        <v>-569.43802226065827</v>
      </c>
      <c r="K23" s="4">
        <v>-214.4091940355396</v>
      </c>
      <c r="L23" s="4">
        <v>-561.95874301527249</v>
      </c>
      <c r="M23" s="4">
        <v>-166.21630750810212</v>
      </c>
      <c r="N23" s="4">
        <v>-81.079708649987452</v>
      </c>
      <c r="O23" s="4">
        <v>-10.529155133215752</v>
      </c>
      <c r="P23" s="4">
        <v>-1.9522731560423146</v>
      </c>
      <c r="Q23" s="4">
        <v>-5.9838444431846112E-2</v>
      </c>
      <c r="R23" s="4">
        <v>-3.1085897521360897E-3</v>
      </c>
      <c r="S23" s="4">
        <v>-7.0090753334656539E-5</v>
      </c>
      <c r="T23" s="4">
        <v>-8.6675147892697366E-7</v>
      </c>
      <c r="U23" s="4">
        <v>-3.5153917658586537E-9</v>
      </c>
      <c r="V23" s="4">
        <v>8.0090382889237995E-11</v>
      </c>
      <c r="W23" s="4">
        <v>5.2519626849060236E-14</v>
      </c>
      <c r="X23" s="4">
        <v>8.0149730488390324E-17</v>
      </c>
      <c r="Y23" s="4">
        <v>6.0072205011166125E-19</v>
      </c>
      <c r="Z23" s="4">
        <v>1.2210118839941858E-21</v>
      </c>
      <c r="AA23" s="4">
        <v>9.7300399867774338E-26</v>
      </c>
      <c r="AB23" s="4">
        <v>4.4715341668172772E-29</v>
      </c>
      <c r="AC23" s="4">
        <v>1.7570078934184266E-33</v>
      </c>
      <c r="AD23" s="4">
        <v>3.5081838920493406E-37</v>
      </c>
      <c r="AE23" s="4">
        <v>3.2792200588490046E-42</v>
      </c>
      <c r="AF23" s="4">
        <v>8.7738201345831669E-47</v>
      </c>
      <c r="AG23" s="4"/>
      <c r="AH23" s="4"/>
      <c r="AI23" s="4"/>
      <c r="AJ23" s="4"/>
      <c r="AK23" s="4"/>
      <c r="AL23" s="4"/>
      <c r="AM23" s="4"/>
      <c r="AN23" s="4"/>
      <c r="AO23" s="4"/>
      <c r="AP23" s="4"/>
      <c r="AQ23" s="4"/>
      <c r="AR23" s="4"/>
      <c r="AS23" s="4"/>
      <c r="AT23" s="4"/>
      <c r="AU23" s="4"/>
      <c r="AV23" s="4"/>
      <c r="AW23" s="4"/>
      <c r="AX23" s="4"/>
      <c r="AY23" s="4"/>
      <c r="AZ23" s="4"/>
      <c r="BA23" s="4"/>
      <c r="BB23" s="4"/>
    </row>
    <row r="24" spans="1:54" x14ac:dyDescent="0.3">
      <c r="A24" s="4">
        <v>4460</v>
      </c>
      <c r="B24" s="4"/>
      <c r="C24" s="4">
        <v>-888.15791666556743</v>
      </c>
      <c r="D24" s="4">
        <v>-7.8207777481912688E-4</v>
      </c>
      <c r="E24" s="4">
        <v>-3.0934348513451367E-3</v>
      </c>
      <c r="F24" s="4">
        <v>-0.5950839837006302</v>
      </c>
      <c r="G24" s="4">
        <v>-1.6490157001995593</v>
      </c>
      <c r="H24" s="4">
        <v>-20.00307338988755</v>
      </c>
      <c r="I24" s="4">
        <v>-98.05815333145199</v>
      </c>
      <c r="J24" s="4">
        <v>-442.78206857790298</v>
      </c>
      <c r="K24" s="4">
        <v>-200.23129552472287</v>
      </c>
      <c r="L24" s="4">
        <v>-630.9335306316641</v>
      </c>
      <c r="M24" s="4">
        <v>-224.59189676469535</v>
      </c>
      <c r="N24" s="4">
        <v>-131.98654765247434</v>
      </c>
      <c r="O24" s="4">
        <v>-20.671357868517784</v>
      </c>
      <c r="P24" s="4">
        <v>-4.6274346340879973</v>
      </c>
      <c r="Q24" s="4">
        <v>-0.17142566617902472</v>
      </c>
      <c r="R24" s="4">
        <v>-1.0775362331164242E-2</v>
      </c>
      <c r="S24" s="4">
        <v>-2.9429627419019755E-4</v>
      </c>
      <c r="T24" s="4">
        <v>-4.4132903156634397E-6</v>
      </c>
      <c r="U24" s="4">
        <v>-2.1730993088711295E-8</v>
      </c>
      <c r="V24" s="4">
        <v>6.0176105914829407E-10</v>
      </c>
      <c r="W24" s="4">
        <v>4.8018557674438383E-13</v>
      </c>
      <c r="X24" s="4">
        <v>8.9278172551103491E-16</v>
      </c>
      <c r="Y24" s="4">
        <v>8.1618894916108027E-18</v>
      </c>
      <c r="Z24" s="4">
        <v>2.0259811654171301E-20</v>
      </c>
      <c r="AA24" s="4">
        <v>1.9740556602033834E-24</v>
      </c>
      <c r="AB24" s="4">
        <v>1.1106263998158098E-27</v>
      </c>
      <c r="AC24" s="4">
        <v>5.3492869023116786E-32</v>
      </c>
      <c r="AD24" s="4">
        <v>1.3108896000138486E-35</v>
      </c>
      <c r="AE24" s="4">
        <v>1.5058221298726639E-40</v>
      </c>
      <c r="AF24" s="4">
        <v>4.9576513406383081E-45</v>
      </c>
      <c r="AG24" s="4"/>
      <c r="AH24" s="4"/>
      <c r="AI24" s="4"/>
      <c r="AJ24" s="4"/>
      <c r="AK24" s="4"/>
      <c r="AL24" s="4"/>
      <c r="AM24" s="4"/>
      <c r="AN24" s="4"/>
      <c r="AO24" s="4"/>
      <c r="AP24" s="4"/>
      <c r="AQ24" s="4"/>
      <c r="AR24" s="4"/>
      <c r="AS24" s="4"/>
      <c r="AT24" s="4"/>
      <c r="AU24" s="4"/>
      <c r="AV24" s="4"/>
      <c r="AW24" s="4"/>
      <c r="AX24" s="4"/>
      <c r="AY24" s="4"/>
      <c r="AZ24" s="4"/>
      <c r="BA24" s="4"/>
      <c r="BB24" s="4"/>
    </row>
    <row r="25" spans="1:54" x14ac:dyDescent="0.3">
      <c r="A25" s="4">
        <v>4450</v>
      </c>
      <c r="B25" s="4"/>
      <c r="C25" s="4">
        <v>-875.75489768305499</v>
      </c>
      <c r="D25" s="4">
        <v>-1.9161467598753561E-4</v>
      </c>
      <c r="E25" s="4">
        <v>-9.0524194686102707E-4</v>
      </c>
      <c r="F25" s="4">
        <v>-0.20819244232753276</v>
      </c>
      <c r="G25" s="4">
        <v>-0.69039427282988575</v>
      </c>
      <c r="H25" s="4">
        <v>-10.031875413056476</v>
      </c>
      <c r="I25" s="4">
        <v>-58.967695253697258</v>
      </c>
      <c r="J25" s="4">
        <v>-319.59673009144336</v>
      </c>
      <c r="K25" s="4">
        <v>-173.64720703408753</v>
      </c>
      <c r="L25" s="4">
        <v>-658.09657275619145</v>
      </c>
      <c r="M25" s="4">
        <v>-282.04729865616764</v>
      </c>
      <c r="N25" s="4">
        <v>-199.77270731747001</v>
      </c>
      <c r="O25" s="4">
        <v>-37.749926024345413</v>
      </c>
      <c r="P25" s="4">
        <v>-10.20693359367111</v>
      </c>
      <c r="Q25" s="4">
        <v>-0.45720546222816494</v>
      </c>
      <c r="R25" s="4">
        <v>-3.4787736015916122E-2</v>
      </c>
      <c r="S25" s="4">
        <v>-1.1513874541451486E-3</v>
      </c>
      <c r="T25" s="4">
        <v>-2.0947445701132666E-5</v>
      </c>
      <c r="U25" s="4">
        <v>-1.252781042693961E-7</v>
      </c>
      <c r="V25" s="4">
        <v>4.2183999811330717E-9</v>
      </c>
      <c r="W25" s="4">
        <v>4.0979617454286116E-12</v>
      </c>
      <c r="X25" s="4">
        <v>9.2865055091689922E-15</v>
      </c>
      <c r="Y25" s="4">
        <v>1.0360132424983167E-16</v>
      </c>
      <c r="Z25" s="4">
        <v>3.1419785048312275E-19</v>
      </c>
      <c r="AA25" s="4">
        <v>3.7450056846852858E-23</v>
      </c>
      <c r="AB25" s="4">
        <v>2.5806254857938827E-26</v>
      </c>
      <c r="AC25" s="4">
        <v>1.5242706018064411E-30</v>
      </c>
      <c r="AD25" s="4">
        <v>4.5866286421166714E-34</v>
      </c>
      <c r="AE25" s="4">
        <v>6.4777088360188599E-39</v>
      </c>
      <c r="AF25" s="4">
        <v>2.6254882433827762E-43</v>
      </c>
      <c r="AG25" s="4"/>
      <c r="AH25" s="4"/>
      <c r="AI25" s="4"/>
      <c r="AJ25" s="4"/>
      <c r="AK25" s="4"/>
      <c r="AL25" s="4"/>
      <c r="AM25" s="4"/>
      <c r="AN25" s="4"/>
      <c r="AO25" s="4"/>
      <c r="AP25" s="4"/>
      <c r="AQ25" s="4"/>
      <c r="AR25" s="4"/>
      <c r="AS25" s="4"/>
      <c r="AT25" s="4"/>
      <c r="AU25" s="4"/>
      <c r="AV25" s="4"/>
      <c r="AW25" s="4"/>
      <c r="AX25" s="4"/>
      <c r="AY25" s="4"/>
      <c r="AZ25" s="4"/>
      <c r="BA25" s="4"/>
      <c r="BB25" s="4"/>
    </row>
    <row r="26" spans="1:54" x14ac:dyDescent="0.3">
      <c r="A26" s="4">
        <v>4440</v>
      </c>
      <c r="B26" s="4"/>
      <c r="C26" s="4">
        <v>-862.70023786445188</v>
      </c>
      <c r="D26" s="4">
        <v>-4.3451317675492121E-5</v>
      </c>
      <c r="E26" s="4">
        <v>-2.4527725510540231E-4</v>
      </c>
      <c r="F26" s="4">
        <v>-6.7467569462533628E-2</v>
      </c>
      <c r="G26" s="4">
        <v>-0.26784800877317166</v>
      </c>
      <c r="H26" s="4">
        <v>-4.6640456401274477</v>
      </c>
      <c r="I26" s="4">
        <v>-32.886468285860374</v>
      </c>
      <c r="J26" s="4">
        <v>-214.02555452990143</v>
      </c>
      <c r="K26" s="4">
        <v>-139.7764494938902</v>
      </c>
      <c r="L26" s="4">
        <v>-637.39164638004343</v>
      </c>
      <c r="M26" s="4">
        <v>-329.0348509998642</v>
      </c>
      <c r="N26" s="4">
        <v>-281.0070007063818</v>
      </c>
      <c r="O26" s="4">
        <v>-64.094556408413041</v>
      </c>
      <c r="P26" s="4">
        <v>-20.940773657926783</v>
      </c>
      <c r="Q26" s="4">
        <v>-1.1346841014157383</v>
      </c>
      <c r="R26" s="4">
        <v>-0.10455265797123454</v>
      </c>
      <c r="S26" s="4">
        <v>-4.1952763442006311E-3</v>
      </c>
      <c r="T26" s="4">
        <v>-9.263835273233793E-5</v>
      </c>
      <c r="U26" s="4">
        <v>-6.732120546272483E-7</v>
      </c>
      <c r="V26" s="4">
        <v>2.7576783428658678E-8</v>
      </c>
      <c r="W26" s="4">
        <v>3.2628046312755908E-11</v>
      </c>
      <c r="X26" s="4">
        <v>9.0160661662337201E-14</v>
      </c>
      <c r="Y26" s="4">
        <v>1.2279824830712387E-15</v>
      </c>
      <c r="Z26" s="4">
        <v>4.5521754749808357E-18</v>
      </c>
      <c r="AA26" s="4">
        <v>6.6403421178766721E-22</v>
      </c>
      <c r="AB26" s="4">
        <v>5.6069279730756897E-25</v>
      </c>
      <c r="AC26" s="4">
        <v>4.0632225259608384E-29</v>
      </c>
      <c r="AD26" s="4">
        <v>1.5019794101159695E-32</v>
      </c>
      <c r="AE26" s="4">
        <v>2.6092395708480431E-37</v>
      </c>
      <c r="AF26" s="4">
        <v>1.3025430305449652E-41</v>
      </c>
      <c r="AG26" s="4"/>
      <c r="AH26" s="4"/>
      <c r="AI26" s="4"/>
      <c r="AJ26" s="4"/>
      <c r="AK26" s="4"/>
      <c r="AL26" s="4"/>
      <c r="AM26" s="4"/>
      <c r="AN26" s="4"/>
      <c r="AO26" s="4"/>
      <c r="AP26" s="4"/>
      <c r="AQ26" s="4"/>
      <c r="AR26" s="4"/>
      <c r="AS26" s="4"/>
      <c r="AT26" s="4"/>
      <c r="AU26" s="4"/>
      <c r="AV26" s="4"/>
      <c r="AW26" s="4"/>
      <c r="AX26" s="4"/>
      <c r="AY26" s="4"/>
      <c r="AZ26" s="4"/>
      <c r="BA26" s="4"/>
      <c r="BB26" s="4"/>
    </row>
    <row r="27" spans="1:54" x14ac:dyDescent="0.3">
      <c r="A27" s="4">
        <v>4430</v>
      </c>
      <c r="B27" s="4"/>
      <c r="C27" s="4">
        <v>-848.45981156595985</v>
      </c>
      <c r="D27" s="4">
        <v>-9.1148220032424774E-6</v>
      </c>
      <c r="E27" s="4">
        <v>-6.1502855610887162E-5</v>
      </c>
      <c r="F27" s="4">
        <v>-2.0241647045513438E-2</v>
      </c>
      <c r="G27" s="4">
        <v>-9.624464599132429E-2</v>
      </c>
      <c r="H27" s="4">
        <v>-2.0091741010150312</v>
      </c>
      <c r="I27" s="4">
        <v>-17.000927559949648</v>
      </c>
      <c r="J27" s="4">
        <v>-132.91083867101662</v>
      </c>
      <c r="K27" s="4">
        <v>-104.37868834371032</v>
      </c>
      <c r="L27" s="4">
        <v>-572.94892341216644</v>
      </c>
      <c r="M27" s="4">
        <v>-356.39930859201172</v>
      </c>
      <c r="N27" s="4">
        <v>-367.16083382312411</v>
      </c>
      <c r="O27" s="4">
        <v>-101.12736278892666</v>
      </c>
      <c r="P27" s="4">
        <v>-39.940912008547194</v>
      </c>
      <c r="Q27" s="4">
        <v>-2.6191040106192385</v>
      </c>
      <c r="R27" s="4">
        <v>-0.29237866728163564</v>
      </c>
      <c r="S27" s="4">
        <v>-1.4229508980565584E-2</v>
      </c>
      <c r="T27" s="4">
        <v>-3.8153159654806627E-4</v>
      </c>
      <c r="U27" s="4">
        <v>-3.3705387461378346E-6</v>
      </c>
      <c r="V27" s="4">
        <v>1.6803591518492468E-7</v>
      </c>
      <c r="W27" s="4">
        <v>2.4225344810274296E-10</v>
      </c>
      <c r="X27" s="4">
        <v>8.16642199846735E-13</v>
      </c>
      <c r="Y27" s="4">
        <v>1.3585148824446255E-14</v>
      </c>
      <c r="Z27" s="4">
        <v>6.1585253927042288E-17</v>
      </c>
      <c r="AA27" s="4">
        <v>1.0999379374984421E-20</v>
      </c>
      <c r="AB27" s="4">
        <v>1.1385804881696517E-23</v>
      </c>
      <c r="AC27" s="4">
        <v>1.0127870765751698E-27</v>
      </c>
      <c r="AD27" s="4">
        <v>4.6012399486137865E-31</v>
      </c>
      <c r="AE27" s="4">
        <v>9.8367072670946545E-36</v>
      </c>
      <c r="AF27" s="4">
        <v>6.0509194836660797E-40</v>
      </c>
      <c r="AG27" s="4"/>
      <c r="AH27" s="4"/>
      <c r="AI27" s="4"/>
      <c r="AJ27" s="4"/>
      <c r="AK27" s="4"/>
      <c r="AL27" s="4"/>
      <c r="AM27" s="4"/>
      <c r="AN27" s="4"/>
      <c r="AO27" s="4"/>
      <c r="AP27" s="4"/>
      <c r="AQ27" s="4"/>
      <c r="AR27" s="4"/>
      <c r="AS27" s="4"/>
      <c r="AT27" s="4"/>
      <c r="AU27" s="4"/>
      <c r="AV27" s="4"/>
      <c r="AW27" s="4"/>
      <c r="AX27" s="4"/>
      <c r="AY27" s="4"/>
      <c r="AZ27" s="4"/>
      <c r="BA27" s="4"/>
      <c r="BB27" s="4"/>
    </row>
    <row r="28" spans="1:54" x14ac:dyDescent="0.3">
      <c r="A28" s="4">
        <v>4420</v>
      </c>
      <c r="B28" s="4"/>
      <c r="C28" s="4">
        <v>-832.27593791192498</v>
      </c>
      <c r="D28" s="4">
        <v>-1.7678212254166399E-6</v>
      </c>
      <c r="E28" s="4">
        <v>-1.4264393806897751E-5</v>
      </c>
      <c r="F28" s="4">
        <v>-5.6194361494171828E-3</v>
      </c>
      <c r="G28" s="4">
        <v>-3.2013848156799737E-2</v>
      </c>
      <c r="H28" s="4">
        <v>-0.80153685994065405</v>
      </c>
      <c r="I28" s="4">
        <v>-8.1425067915361211</v>
      </c>
      <c r="J28" s="4">
        <v>-76.500676283599631</v>
      </c>
      <c r="K28" s="4">
        <v>-72.273777251918446</v>
      </c>
      <c r="L28" s="4">
        <v>-477.74761557630802</v>
      </c>
      <c r="M28" s="4">
        <v>-358.25140594756101</v>
      </c>
      <c r="N28" s="4">
        <v>-445.38512511364092</v>
      </c>
      <c r="O28" s="4">
        <v>-148.19770366246019</v>
      </c>
      <c r="P28" s="4">
        <v>-70.787186827300317</v>
      </c>
      <c r="Q28" s="4">
        <v>-5.6199076653648756</v>
      </c>
      <c r="R28" s="4">
        <v>-0.76040203073822599</v>
      </c>
      <c r="S28" s="4">
        <v>-4.4905098953239672E-2</v>
      </c>
      <c r="T28" s="4">
        <v>-1.4626389369972663E-3</v>
      </c>
      <c r="U28" s="4">
        <v>-1.5714673235170526E-5</v>
      </c>
      <c r="V28" s="4">
        <v>9.5392011630363485E-7</v>
      </c>
      <c r="W28" s="4">
        <v>1.6764638515309506E-9</v>
      </c>
      <c r="X28" s="4">
        <v>6.8974249661702145E-12</v>
      </c>
      <c r="Y28" s="4">
        <v>1.4020818127774354E-13</v>
      </c>
      <c r="Z28" s="4">
        <v>7.7762226420155058E-16</v>
      </c>
      <c r="AA28" s="4">
        <v>1.7012917856309581E-19</v>
      </c>
      <c r="AB28" s="4">
        <v>2.15990826678698E-22</v>
      </c>
      <c r="AC28" s="4">
        <v>2.3593895644786559E-26</v>
      </c>
      <c r="AD28" s="4">
        <v>1.3180204456435499E-29</v>
      </c>
      <c r="AE28" s="4">
        <v>3.4691699314367119E-34</v>
      </c>
      <c r="AF28" s="4">
        <v>2.6308474188667972E-38</v>
      </c>
      <c r="AG28" s="4"/>
      <c r="AH28" s="4"/>
      <c r="AI28" s="4"/>
      <c r="AJ28" s="4"/>
      <c r="AK28" s="4"/>
      <c r="AL28" s="4"/>
      <c r="AM28" s="4"/>
      <c r="AN28" s="4"/>
      <c r="AO28" s="4"/>
      <c r="AP28" s="4"/>
      <c r="AQ28" s="4"/>
      <c r="AR28" s="4"/>
      <c r="AS28" s="4"/>
      <c r="AT28" s="4"/>
      <c r="AU28" s="4"/>
      <c r="AV28" s="4"/>
      <c r="AW28" s="4"/>
      <c r="AX28" s="4"/>
      <c r="AY28" s="4"/>
      <c r="AZ28" s="4"/>
      <c r="BA28" s="4"/>
      <c r="BB28" s="4"/>
    </row>
    <row r="29" spans="1:54" x14ac:dyDescent="0.3">
      <c r="A29" s="4">
        <v>4410</v>
      </c>
      <c r="B29" s="4"/>
      <c r="C29" s="4">
        <v>-813.55352363528959</v>
      </c>
      <c r="D29" s="4">
        <v>-3.1684392892892338E-7</v>
      </c>
      <c r="E29" s="4">
        <v>-3.0584696278081944E-6</v>
      </c>
      <c r="F29" s="4">
        <v>-1.4428105802897066E-3</v>
      </c>
      <c r="G29" s="4">
        <v>-9.8525058654089521E-3</v>
      </c>
      <c r="H29" s="4">
        <v>-0.29597549573630366</v>
      </c>
      <c r="I29" s="4">
        <v>-3.6111852485281277</v>
      </c>
      <c r="J29" s="4">
        <v>-40.790315784656926</v>
      </c>
      <c r="K29" s="4">
        <v>-46.378680272087202</v>
      </c>
      <c r="L29" s="4">
        <v>-369.34538896710302</v>
      </c>
      <c r="M29" s="4">
        <v>-334.0214323422353</v>
      </c>
      <c r="N29" s="4">
        <v>-501.34344175081878</v>
      </c>
      <c r="O29" s="4">
        <v>-201.61390325775398</v>
      </c>
      <c r="P29" s="4">
        <v>-116.51572665035322</v>
      </c>
      <c r="Q29" s="4">
        <v>-11.204356513740208</v>
      </c>
      <c r="R29" s="4">
        <v>-1.8382786123828927</v>
      </c>
      <c r="S29" s="4">
        <v>-0.13178384087279779</v>
      </c>
      <c r="T29" s="4">
        <v>-5.2167005274176429E-3</v>
      </c>
      <c r="U29" s="4">
        <v>-6.8195554486118282E-5</v>
      </c>
      <c r="V29" s="4">
        <v>5.0426664784683048E-6</v>
      </c>
      <c r="W29" s="4">
        <v>1.0808155608322975E-8</v>
      </c>
      <c r="X29" s="4">
        <v>5.4296434732214726E-11</v>
      </c>
      <c r="Y29" s="4">
        <v>1.3493004061058958E-12</v>
      </c>
      <c r="Z29" s="4">
        <v>9.1597865277631182E-15</v>
      </c>
      <c r="AA29" s="4">
        <v>2.455917276629594E-18</v>
      </c>
      <c r="AB29" s="4">
        <v>3.8258857730250795E-21</v>
      </c>
      <c r="AC29" s="4">
        <v>5.1346203976236292E-25</v>
      </c>
      <c r="AD29" s="4">
        <v>3.5285795856719852E-28</v>
      </c>
      <c r="AE29" s="4">
        <v>1.1440275922085877E-32</v>
      </c>
      <c r="AF29" s="4">
        <v>1.0700669066811398E-36</v>
      </c>
      <c r="AG29" s="4"/>
      <c r="AH29" s="4"/>
      <c r="AI29" s="4"/>
      <c r="AJ29" s="4"/>
      <c r="AK29" s="4"/>
      <c r="AL29" s="4"/>
      <c r="AM29" s="4"/>
      <c r="AN29" s="4"/>
      <c r="AO29" s="4"/>
      <c r="AP29" s="4"/>
      <c r="AQ29" s="4"/>
      <c r="AR29" s="4"/>
      <c r="AS29" s="4"/>
      <c r="AT29" s="4"/>
      <c r="AU29" s="4"/>
      <c r="AV29" s="4"/>
      <c r="AW29" s="4"/>
      <c r="AX29" s="4"/>
      <c r="AY29" s="4"/>
      <c r="AZ29" s="4"/>
      <c r="BA29" s="4"/>
      <c r="BB29" s="4"/>
    </row>
    <row r="30" spans="1:54" x14ac:dyDescent="0.3">
      <c r="A30" s="4">
        <v>4400</v>
      </c>
      <c r="B30" s="4"/>
      <c r="C30" s="4">
        <v>-791.89461192829674</v>
      </c>
      <c r="D30" s="4">
        <v>-5.2449267242827224E-8</v>
      </c>
      <c r="E30" s="4">
        <v>-6.0592480279440432E-7</v>
      </c>
      <c r="F30" s="4">
        <v>-3.4242642910424568E-4</v>
      </c>
      <c r="G30" s="4">
        <v>-2.8039841068594365E-3</v>
      </c>
      <c r="H30" s="4">
        <v>-0.10110849843305894</v>
      </c>
      <c r="I30" s="4">
        <v>-1.4822506990817683</v>
      </c>
      <c r="J30" s="4">
        <v>-20.137740069115971</v>
      </c>
      <c r="K30" s="4">
        <v>-27.567698750474744</v>
      </c>
      <c r="L30" s="4">
        <v>-264.6031295400328</v>
      </c>
      <c r="M30" s="4">
        <v>-288.71781876034942</v>
      </c>
      <c r="N30" s="4">
        <v>-523.39976034978645</v>
      </c>
      <c r="O30" s="4">
        <v>-254.49826102195368</v>
      </c>
      <c r="P30" s="4">
        <v>-178.02772321010281</v>
      </c>
      <c r="Q30" s="4">
        <v>-20.744682532905575</v>
      </c>
      <c r="R30" s="4">
        <v>-4.128873434628626</v>
      </c>
      <c r="S30" s="4">
        <v>-0.35947771868608441</v>
      </c>
      <c r="T30" s="4">
        <v>-1.7301758999658093E-2</v>
      </c>
      <c r="U30" s="4">
        <v>-2.7531872526050452E-4</v>
      </c>
      <c r="V30" s="4">
        <v>2.4810299325794658E-5</v>
      </c>
      <c r="W30" s="4">
        <v>6.4882595260455166E-8</v>
      </c>
      <c r="X30" s="4">
        <v>3.9817295143822885E-10</v>
      </c>
      <c r="Y30" s="4">
        <v>1.2102027380523628E-11</v>
      </c>
      <c r="Z30" s="4">
        <v>1.0060405363218353E-13</v>
      </c>
      <c r="AA30" s="4">
        <v>3.3072164600994529E-17</v>
      </c>
      <c r="AB30" s="4">
        <v>6.3247647869789186E-20</v>
      </c>
      <c r="AC30" s="4">
        <v>1.0433636321670188E-23</v>
      </c>
      <c r="AD30" s="4">
        <v>8.8247131195383306E-27</v>
      </c>
      <c r="AE30" s="4">
        <v>3.5259476272347354E-31</v>
      </c>
      <c r="AF30" s="4">
        <v>4.0696912101551701E-35</v>
      </c>
      <c r="AG30" s="4"/>
      <c r="AH30" s="4"/>
      <c r="AI30" s="4"/>
      <c r="AJ30" s="4"/>
      <c r="AK30" s="4"/>
      <c r="AL30" s="4"/>
      <c r="AM30" s="4"/>
      <c r="AN30" s="4"/>
      <c r="AO30" s="4"/>
      <c r="AP30" s="4"/>
      <c r="AQ30" s="4"/>
      <c r="AR30" s="4"/>
      <c r="AS30" s="4"/>
      <c r="AT30" s="4"/>
      <c r="AU30" s="4"/>
      <c r="AV30" s="4"/>
      <c r="AW30" s="4"/>
      <c r="AX30" s="4"/>
      <c r="AY30" s="4"/>
      <c r="AZ30" s="4"/>
      <c r="BA30" s="4"/>
      <c r="BB30" s="4"/>
    </row>
    <row r="31" spans="1:54" x14ac:dyDescent="0.3">
      <c r="A31" s="4">
        <v>4390</v>
      </c>
      <c r="B31" s="4"/>
      <c r="C31" s="4">
        <v>-766.91974701457082</v>
      </c>
      <c r="D31" s="4">
        <v>-8.0147252094232327E-9</v>
      </c>
      <c r="E31" s="4">
        <v>-1.1085773118667669E-7</v>
      </c>
      <c r="F31" s="4">
        <v>-7.5082100983183008E-5</v>
      </c>
      <c r="G31" s="4">
        <v>-7.3755605148580162E-4</v>
      </c>
      <c r="H31" s="4">
        <v>-3.1936744328733016E-2</v>
      </c>
      <c r="I31" s="4">
        <v>-0.56278960910467968</v>
      </c>
      <c r="J31" s="4">
        <v>-9.200243954660543</v>
      </c>
      <c r="K31" s="4">
        <v>-15.170540229667429</v>
      </c>
      <c r="L31" s="4">
        <v>-175.57398178607792</v>
      </c>
      <c r="M31" s="4">
        <v>-231.23908988081021</v>
      </c>
      <c r="N31" s="4">
        <v>-506.53176271367073</v>
      </c>
      <c r="O31" s="4">
        <v>-297.92831468863079</v>
      </c>
      <c r="P31" s="4">
        <v>-252.37251660591309</v>
      </c>
      <c r="Q31" s="4">
        <v>-35.650678288404343</v>
      </c>
      <c r="R31" s="4">
        <v>-8.6115997500745589</v>
      </c>
      <c r="S31" s="4">
        <v>-0.91097369348267565</v>
      </c>
      <c r="T31" s="4">
        <v>-5.3333709697610338E-2</v>
      </c>
      <c r="U31" s="4">
        <v>-1.0335390636753462E-3</v>
      </c>
      <c r="V31" s="4">
        <v>1.1355614873902658E-4</v>
      </c>
      <c r="W31" s="4">
        <v>3.6250026446667902E-7</v>
      </c>
      <c r="X31" s="4">
        <v>2.7187762325663175E-9</v>
      </c>
      <c r="Y31" s="4">
        <v>1.0111319995351832E-10</v>
      </c>
      <c r="Z31" s="4">
        <v>1.0297837514027503E-12</v>
      </c>
      <c r="AA31" s="4">
        <v>4.1525353915376716E-16</v>
      </c>
      <c r="AB31" s="4">
        <v>9.7535169146239249E-19</v>
      </c>
      <c r="AC31" s="4">
        <v>1.9786611775648714E-22</v>
      </c>
      <c r="AD31" s="4">
        <v>2.060700290601719E-25</v>
      </c>
      <c r="AE31" s="4">
        <v>1.0151617181134398E-29</v>
      </c>
      <c r="AF31" s="4">
        <v>1.4465710243140998E-33</v>
      </c>
      <c r="AG31" s="4"/>
      <c r="AH31" s="4"/>
      <c r="AI31" s="4"/>
      <c r="AJ31" s="4"/>
      <c r="AK31" s="4"/>
      <c r="AL31" s="4"/>
      <c r="AM31" s="4"/>
      <c r="AN31" s="4"/>
      <c r="AO31" s="4"/>
      <c r="AP31" s="4"/>
      <c r="AQ31" s="4"/>
      <c r="AR31" s="4"/>
      <c r="AS31" s="4"/>
      <c r="AT31" s="4"/>
      <c r="AU31" s="4"/>
      <c r="AV31" s="4"/>
      <c r="AW31" s="4"/>
      <c r="AX31" s="4"/>
      <c r="AY31" s="4"/>
      <c r="AZ31" s="4"/>
      <c r="BA31" s="4"/>
      <c r="BB31" s="4"/>
    </row>
    <row r="32" spans="1:54" x14ac:dyDescent="0.3">
      <c r="A32" s="4">
        <v>4380</v>
      </c>
      <c r="B32" s="4"/>
      <c r="C32" s="4">
        <v>-738.10617800354657</v>
      </c>
      <c r="D32" s="4">
        <v>-1.1299501528884933E-9</v>
      </c>
      <c r="E32" s="4">
        <v>-1.8720308854245238E-8</v>
      </c>
      <c r="F32" s="4">
        <v>-1.5201436219466603E-5</v>
      </c>
      <c r="G32" s="4">
        <v>-1.79214792326966E-4</v>
      </c>
      <c r="H32" s="4">
        <v>-9.3225393355015149E-3</v>
      </c>
      <c r="I32" s="4">
        <v>-0.19755741739295402</v>
      </c>
      <c r="J32" s="4">
        <v>-3.8877120425744871</v>
      </c>
      <c r="K32" s="4">
        <v>-7.7248846762012491</v>
      </c>
      <c r="L32" s="4">
        <v>-107.84526721090693</v>
      </c>
      <c r="M32" s="4">
        <v>-171.51852510676579</v>
      </c>
      <c r="N32" s="4">
        <v>-454.18144811871252</v>
      </c>
      <c r="O32" s="4">
        <v>-323.27846553002189</v>
      </c>
      <c r="P32" s="4">
        <v>-331.76004938096816</v>
      </c>
      <c r="Q32" s="4">
        <v>-56.839084509476955</v>
      </c>
      <c r="R32" s="4">
        <v>-16.670404810985648</v>
      </c>
      <c r="S32" s="4">
        <v>-2.143594464438153</v>
      </c>
      <c r="T32" s="4">
        <v>-0.15272505105311612</v>
      </c>
      <c r="U32" s="4">
        <v>-3.6058707716270272E-3</v>
      </c>
      <c r="V32" s="4">
        <v>4.8325654605115302E-4</v>
      </c>
      <c r="W32" s="4">
        <v>1.8839717091994094E-6</v>
      </c>
      <c r="X32" s="4">
        <v>1.7276660160656379E-8</v>
      </c>
      <c r="Y32" s="4">
        <v>7.8657850764878664E-10</v>
      </c>
      <c r="Z32" s="4">
        <v>9.8188852303028385E-12</v>
      </c>
      <c r="AA32" s="4">
        <v>4.8590569021281269E-15</v>
      </c>
      <c r="AB32" s="4">
        <v>1.4023925505982028E-17</v>
      </c>
      <c r="AC32" s="4">
        <v>3.5002857130032009E-21</v>
      </c>
      <c r="AD32" s="4">
        <v>4.4908805308105552E-24</v>
      </c>
      <c r="AE32" s="4">
        <v>2.7290056874946478E-28</v>
      </c>
      <c r="AF32" s="4">
        <v>4.8032656697090962E-32</v>
      </c>
      <c r="AG32" s="4"/>
      <c r="AH32" s="4"/>
      <c r="AI32" s="4"/>
      <c r="AJ32" s="4"/>
      <c r="AK32" s="4"/>
      <c r="AL32" s="4"/>
      <c r="AM32" s="4"/>
      <c r="AN32" s="4"/>
      <c r="AO32" s="4"/>
      <c r="AP32" s="4"/>
      <c r="AQ32" s="4"/>
      <c r="AR32" s="4"/>
      <c r="AS32" s="4"/>
      <c r="AT32" s="4"/>
      <c r="AU32" s="4"/>
      <c r="AV32" s="4"/>
      <c r="AW32" s="4"/>
      <c r="AX32" s="4"/>
      <c r="AY32" s="4"/>
      <c r="AZ32" s="4"/>
      <c r="BA32" s="4"/>
      <c r="BB32" s="4"/>
    </row>
    <row r="33" spans="1:54" x14ac:dyDescent="0.3">
      <c r="A33" s="4">
        <v>4370</v>
      </c>
      <c r="B33" s="4"/>
      <c r="C33" s="4">
        <v>-704.81823838212847</v>
      </c>
      <c r="D33" s="4">
        <v>-1.4689793243471208E-10</v>
      </c>
      <c r="E33" s="4">
        <v>-2.9162511887884119E-9</v>
      </c>
      <c r="F33" s="4">
        <v>-2.8403891135877203E-6</v>
      </c>
      <c r="G33" s="4">
        <v>-4.0204881605972168E-5</v>
      </c>
      <c r="H33" s="4">
        <v>-2.5135412105449606E-3</v>
      </c>
      <c r="I33" s="4">
        <v>-6.4081387529876924E-2</v>
      </c>
      <c r="J33" s="4">
        <v>-1.5186728956791402</v>
      </c>
      <c r="K33" s="4">
        <v>-3.637839235689218</v>
      </c>
      <c r="L33" s="4">
        <v>-61.289874869837909</v>
      </c>
      <c r="M33" s="4">
        <v>-117.75917312642133</v>
      </c>
      <c r="N33" s="4">
        <v>-377.1154374126296</v>
      </c>
      <c r="O33" s="4">
        <v>-324.97753419769037</v>
      </c>
      <c r="P33" s="4">
        <v>-404.210994056191</v>
      </c>
      <c r="Q33" s="4">
        <v>-84.027200423877119</v>
      </c>
      <c r="R33" s="4">
        <v>-29.936060334887333</v>
      </c>
      <c r="S33" s="4">
        <v>-4.6812235173883927</v>
      </c>
      <c r="T33" s="4">
        <v>-0.40606319974592664</v>
      </c>
      <c r="U33" s="4">
        <v>-1.1685958634761866E-2</v>
      </c>
      <c r="V33" s="4">
        <v>1.9112301175923576E-3</v>
      </c>
      <c r="W33" s="4">
        <v>9.1034700593402532E-6</v>
      </c>
      <c r="X33" s="4">
        <v>1.0212033904138775E-7</v>
      </c>
      <c r="Y33" s="4">
        <v>5.6943377543574341E-9</v>
      </c>
      <c r="Z33" s="4">
        <v>8.7166031812491511E-11</v>
      </c>
      <c r="AA33" s="4">
        <v>5.2961810341162681E-14</v>
      </c>
      <c r="AB33" s="4">
        <v>1.8791205747140833E-16</v>
      </c>
      <c r="AC33" s="4">
        <v>5.7732188836020945E-20</v>
      </c>
      <c r="AD33" s="4">
        <v>9.1293043897752035E-23</v>
      </c>
      <c r="AE33" s="4">
        <v>6.8465457500783769E-27</v>
      </c>
      <c r="AF33" s="4">
        <v>1.4891587004825487E-30</v>
      </c>
      <c r="AG33" s="4"/>
      <c r="AH33" s="4"/>
      <c r="AI33" s="4"/>
      <c r="AJ33" s="4"/>
      <c r="AK33" s="4"/>
      <c r="AL33" s="4"/>
      <c r="AM33" s="4"/>
      <c r="AN33" s="4"/>
      <c r="AO33" s="4"/>
      <c r="AP33" s="4"/>
      <c r="AQ33" s="4"/>
      <c r="AR33" s="4"/>
      <c r="AS33" s="4"/>
      <c r="AT33" s="4"/>
      <c r="AU33" s="4"/>
      <c r="AV33" s="4"/>
      <c r="AW33" s="4"/>
      <c r="AX33" s="4"/>
      <c r="AY33" s="4"/>
      <c r="AZ33" s="4"/>
      <c r="BA33" s="4"/>
      <c r="BB33" s="4"/>
    </row>
    <row r="34" spans="1:54" x14ac:dyDescent="0.3">
      <c r="A34" s="4">
        <v>4360</v>
      </c>
      <c r="B34" s="4"/>
      <c r="C34" s="4">
        <v>-666.57442397131751</v>
      </c>
      <c r="D34" s="4">
        <v>-1.7600304279491828E-11</v>
      </c>
      <c r="E34" s="4">
        <v>-4.1885616301027609E-10</v>
      </c>
      <c r="F34" s="4">
        <v>-4.8953084496980826E-7</v>
      </c>
      <c r="G34" s="4">
        <v>-8.3228995789484782E-6</v>
      </c>
      <c r="H34" s="4">
        <v>-6.2562148360704821E-4</v>
      </c>
      <c r="I34" s="4">
        <v>-1.9196774566639947E-2</v>
      </c>
      <c r="J34" s="4">
        <v>-0.54812187894908782</v>
      </c>
      <c r="K34" s="4">
        <v>-1.5835206349942579</v>
      </c>
      <c r="L34" s="4">
        <v>-32.210104171478712</v>
      </c>
      <c r="M34" s="4">
        <v>-74.796674710820028</v>
      </c>
      <c r="N34" s="4">
        <v>-289.80922390861207</v>
      </c>
      <c r="O34" s="4">
        <v>-302.49144506499971</v>
      </c>
      <c r="P34" s="4">
        <v>-456.21195567841181</v>
      </c>
      <c r="Q34" s="4">
        <v>-115.12234688900125</v>
      </c>
      <c r="R34" s="4">
        <v>-49.842933545672821</v>
      </c>
      <c r="S34" s="4">
        <v>-9.4826831167381833</v>
      </c>
      <c r="T34" s="4">
        <v>-1.001908115633104</v>
      </c>
      <c r="U34" s="4">
        <v>-3.5161419097456556E-2</v>
      </c>
      <c r="V34" s="4">
        <v>7.0209228860292367E-3</v>
      </c>
      <c r="W34" s="4">
        <v>4.0877549571843574E-5</v>
      </c>
      <c r="X34" s="4">
        <v>5.6119074958296844E-7</v>
      </c>
      <c r="Y34" s="4">
        <v>3.8343511646070789E-8</v>
      </c>
      <c r="Z34" s="4">
        <v>7.2008343827015304E-10</v>
      </c>
      <c r="AA34" s="4">
        <v>5.3743790892585343E-13</v>
      </c>
      <c r="AB34" s="4">
        <v>2.3453074160417554E-15</v>
      </c>
      <c r="AC34" s="4">
        <v>8.8735896354542734E-19</v>
      </c>
      <c r="AD34" s="4">
        <v>1.7302890593982518E-21</v>
      </c>
      <c r="AE34" s="4">
        <v>1.6022219612822356E-25</v>
      </c>
      <c r="AF34" s="4">
        <v>4.3086386621711352E-29</v>
      </c>
      <c r="AG34" s="4"/>
      <c r="AH34" s="4"/>
      <c r="AI34" s="4"/>
      <c r="AJ34" s="4"/>
      <c r="AK34" s="4"/>
      <c r="AL34" s="4"/>
      <c r="AM34" s="4"/>
      <c r="AN34" s="4"/>
      <c r="AO34" s="4"/>
      <c r="AP34" s="4"/>
      <c r="AQ34" s="4"/>
      <c r="AR34" s="4"/>
      <c r="AS34" s="4"/>
      <c r="AT34" s="4"/>
      <c r="AU34" s="4"/>
      <c r="AV34" s="4"/>
      <c r="AW34" s="4"/>
      <c r="AX34" s="4"/>
      <c r="AY34" s="4"/>
      <c r="AZ34" s="4"/>
      <c r="BA34" s="4"/>
      <c r="BB34" s="4"/>
    </row>
    <row r="35" spans="1:54" x14ac:dyDescent="0.3">
      <c r="A35" s="4">
        <v>4350</v>
      </c>
      <c r="B35" s="4"/>
      <c r="C35" s="4">
        <v>-623.44622730688184</v>
      </c>
      <c r="D35" s="4">
        <v>-1.9423751862788606E-12</v>
      </c>
      <c r="E35" s="4">
        <v>-5.5436287317662739E-11</v>
      </c>
      <c r="F35" s="4">
        <v>-7.7777378826171919E-8</v>
      </c>
      <c r="G35" s="4">
        <v>-1.5890014916710675E-6</v>
      </c>
      <c r="H35" s="4">
        <v>-1.4367289611066694E-4</v>
      </c>
      <c r="I35" s="4">
        <v>-5.3081959892527578E-3</v>
      </c>
      <c r="J35" s="4">
        <v>-0.18268301130559855</v>
      </c>
      <c r="K35" s="4">
        <v>-0.63679393201768475</v>
      </c>
      <c r="L35" s="4">
        <v>-15.645101046470277</v>
      </c>
      <c r="M35" s="4">
        <v>-43.928019545115546</v>
      </c>
      <c r="N35" s="4">
        <v>-206.0211939448188</v>
      </c>
      <c r="O35" s="4">
        <v>-260.57080345320855</v>
      </c>
      <c r="P35" s="4">
        <v>-476.72759487823987</v>
      </c>
      <c r="Q35" s="4">
        <v>-146.09581016671399</v>
      </c>
      <c r="R35" s="4">
        <v>-76.903366112543992</v>
      </c>
      <c r="S35" s="4">
        <v>-17.808668701235472</v>
      </c>
      <c r="T35" s="4">
        <v>-2.2929110778863082</v>
      </c>
      <c r="U35" s="4">
        <v>-9.8172841277511705E-2</v>
      </c>
      <c r="V35" s="4">
        <v>2.3944037008016502E-2</v>
      </c>
      <c r="W35" s="4">
        <v>1.7048450433855181E-4</v>
      </c>
      <c r="X35" s="4">
        <v>2.8657107694167363E-6</v>
      </c>
      <c r="Y35" s="4">
        <v>2.4003069589028493E-7</v>
      </c>
      <c r="Z35" s="4">
        <v>5.5328447104265363E-9</v>
      </c>
      <c r="AA35" s="4">
        <v>5.0749177043854428E-12</v>
      </c>
      <c r="AB35" s="4">
        <v>2.7251255848598018E-14</v>
      </c>
      <c r="AC35" s="4">
        <v>1.2703691355254265E-17</v>
      </c>
      <c r="AD35" s="4">
        <v>3.0560317819835765E-20</v>
      </c>
      <c r="AE35" s="4">
        <v>3.4957658958418307E-24</v>
      </c>
      <c r="AF35" s="4">
        <v>1.1628380966191009E-27</v>
      </c>
      <c r="AG35" s="4"/>
      <c r="AH35" s="4"/>
      <c r="AI35" s="4"/>
      <c r="AJ35" s="4"/>
      <c r="AK35" s="4"/>
      <c r="AL35" s="4"/>
      <c r="AM35" s="4"/>
      <c r="AN35" s="4"/>
      <c r="AO35" s="4"/>
      <c r="AP35" s="4"/>
      <c r="AQ35" s="4"/>
      <c r="AR35" s="4"/>
      <c r="AS35" s="4"/>
      <c r="AT35" s="4"/>
      <c r="AU35" s="4"/>
      <c r="AV35" s="4"/>
      <c r="AW35" s="4"/>
      <c r="AX35" s="4"/>
      <c r="AY35" s="4"/>
      <c r="AZ35" s="4"/>
      <c r="BA35" s="4"/>
      <c r="BB35" s="4"/>
    </row>
    <row r="36" spans="1:54" x14ac:dyDescent="0.3">
      <c r="A36" s="4">
        <v>4340</v>
      </c>
      <c r="B36" s="4"/>
      <c r="C36" s="4">
        <v>-576.36824805965614</v>
      </c>
      <c r="D36" s="4">
        <v>-1.9733897482079434E-13</v>
      </c>
      <c r="E36" s="4">
        <v>-6.7572780656244952E-12</v>
      </c>
      <c r="F36" s="4">
        <v>-1.138564349412546E-8</v>
      </c>
      <c r="G36" s="4">
        <v>-2.7963311287403645E-7</v>
      </c>
      <c r="H36" s="4">
        <v>-3.0425469739063813E-5</v>
      </c>
      <c r="I36" s="4">
        <v>-1.3540993076208633E-3</v>
      </c>
      <c r="J36" s="4">
        <v>-5.619410059065795E-2</v>
      </c>
      <c r="K36" s="4">
        <v>-0.23644674576826588</v>
      </c>
      <c r="L36" s="4">
        <v>-7.019603782062144</v>
      </c>
      <c r="M36" s="4">
        <v>-23.841784201230556</v>
      </c>
      <c r="N36" s="4">
        <v>-135.40673865790745</v>
      </c>
      <c r="O36" s="4">
        <v>-207.61516115704055</v>
      </c>
      <c r="P36" s="4">
        <v>-460.98591110017043</v>
      </c>
      <c r="Q36" s="4">
        <v>-171.64209534012701</v>
      </c>
      <c r="R36" s="4">
        <v>-109.89813879347481</v>
      </c>
      <c r="S36" s="4">
        <v>-30.990697945796992</v>
      </c>
      <c r="T36" s="4">
        <v>-4.8645628726890804</v>
      </c>
      <c r="U36" s="4">
        <v>-0.25422156424970488</v>
      </c>
      <c r="V36" s="4">
        <v>7.57698727338912E-2</v>
      </c>
      <c r="W36" s="4">
        <v>6.600580363579422E-4</v>
      </c>
      <c r="X36" s="4">
        <v>1.3591072028088605E-5</v>
      </c>
      <c r="Y36" s="4">
        <v>1.3961907759379812E-6</v>
      </c>
      <c r="Z36" s="4">
        <v>3.9520463794092962E-8</v>
      </c>
      <c r="AA36" s="4">
        <v>4.4570106200342625E-11</v>
      </c>
      <c r="AB36" s="4">
        <v>2.946419335036251E-13</v>
      </c>
      <c r="AC36" s="4">
        <v>1.693130502684381E-16</v>
      </c>
      <c r="AD36" s="4">
        <v>5.0273242222778248E-19</v>
      </c>
      <c r="AE36" s="4">
        <v>7.1074376420162663E-23</v>
      </c>
      <c r="AF36" s="4">
        <v>2.9259173233761186E-26</v>
      </c>
      <c r="AG36" s="4"/>
      <c r="AH36" s="4"/>
      <c r="AI36" s="4"/>
      <c r="AJ36" s="4"/>
      <c r="AK36" s="4"/>
      <c r="AL36" s="4"/>
      <c r="AM36" s="4"/>
      <c r="AN36" s="4"/>
      <c r="AO36" s="4"/>
      <c r="AP36" s="4"/>
      <c r="AQ36" s="4"/>
      <c r="AR36" s="4"/>
      <c r="AS36" s="4"/>
      <c r="AT36" s="4"/>
      <c r="AU36" s="4"/>
      <c r="AV36" s="4"/>
      <c r="AW36" s="4"/>
      <c r="AX36" s="4"/>
      <c r="AY36" s="4"/>
      <c r="AZ36" s="4"/>
      <c r="BA36" s="4"/>
      <c r="BB36" s="4"/>
    </row>
    <row r="37" spans="1:54" x14ac:dyDescent="0.3">
      <c r="A37" s="4">
        <v>4330</v>
      </c>
      <c r="B37" s="4"/>
      <c r="C37" s="4">
        <v>-527.1274840719002</v>
      </c>
      <c r="D37" s="4">
        <v>-1.8446574673317109E-14</v>
      </c>
      <c r="E37" s="4">
        <v>-7.5814980623680797E-13</v>
      </c>
      <c r="F37" s="4">
        <v>-1.5347968377121927E-9</v>
      </c>
      <c r="G37" s="4">
        <v>-4.5334244064531429E-8</v>
      </c>
      <c r="H37" s="4">
        <v>-5.938252901213358E-6</v>
      </c>
      <c r="I37" s="4">
        <v>-3.1849272684920504E-4</v>
      </c>
      <c r="J37" s="4">
        <v>-1.5944695945267224E-2</v>
      </c>
      <c r="K37" s="4">
        <v>-8.101944863504007E-2</v>
      </c>
      <c r="L37" s="4">
        <v>-2.9077560137071661</v>
      </c>
      <c r="M37" s="4">
        <v>-11.951920765917006</v>
      </c>
      <c r="N37" s="4">
        <v>-82.236051134901189</v>
      </c>
      <c r="O37" s="4">
        <v>-152.92511986743705</v>
      </c>
      <c r="P37" s="4">
        <v>-412.27351049238735</v>
      </c>
      <c r="Q37" s="4">
        <v>-186.58870710477905</v>
      </c>
      <c r="R37" s="4">
        <v>-145.38079557366433</v>
      </c>
      <c r="S37" s="4">
        <v>-49.945956459537626</v>
      </c>
      <c r="T37" s="4">
        <v>-9.562424518131289</v>
      </c>
      <c r="U37" s="4">
        <v>-0.61024002789612619</v>
      </c>
      <c r="V37" s="4">
        <v>0.2223636997202606</v>
      </c>
      <c r="W37" s="4">
        <v>2.3710982903741721E-3</v>
      </c>
      <c r="X37" s="4">
        <v>5.9834074844627834E-5</v>
      </c>
      <c r="Y37" s="4">
        <v>7.5422472681645678E-6</v>
      </c>
      <c r="Z37" s="4">
        <v>2.6228856846889372E-7</v>
      </c>
      <c r="AA37" s="4">
        <v>3.6387241054605562E-10</v>
      </c>
      <c r="AB37" s="4">
        <v>2.9627954834300227E-12</v>
      </c>
      <c r="AC37" s="4">
        <v>2.0997113534613261E-15</v>
      </c>
      <c r="AD37" s="4">
        <v>7.6990203993055112E-18</v>
      </c>
      <c r="AE37" s="4">
        <v>1.3459084802822194E-21</v>
      </c>
      <c r="AF37" s="4">
        <v>6.8604112344235876E-25</v>
      </c>
      <c r="AG37" s="4"/>
      <c r="AH37" s="4"/>
      <c r="AI37" s="4"/>
      <c r="AJ37" s="4"/>
      <c r="AK37" s="4"/>
      <c r="AL37" s="4"/>
      <c r="AM37" s="4"/>
      <c r="AN37" s="4"/>
      <c r="AO37" s="4"/>
      <c r="AP37" s="4"/>
      <c r="AQ37" s="4"/>
      <c r="AR37" s="4"/>
      <c r="AS37" s="4"/>
      <c r="AT37" s="4"/>
      <c r="AU37" s="4"/>
      <c r="AV37" s="4"/>
      <c r="AW37" s="4"/>
      <c r="AX37" s="4"/>
      <c r="AY37" s="4"/>
      <c r="AZ37" s="4"/>
      <c r="BA37" s="4"/>
      <c r="BB37" s="4"/>
    </row>
    <row r="38" spans="1:54" x14ac:dyDescent="0.3">
      <c r="A38" s="4">
        <v>4320</v>
      </c>
      <c r="B38" s="4"/>
      <c r="C38" s="4">
        <v>-477.93572847005674</v>
      </c>
      <c r="D38" s="4">
        <v>-1.5856085872210067E-15</v>
      </c>
      <c r="E38" s="4">
        <v>-7.8252633408239804E-14</v>
      </c>
      <c r="F38" s="4">
        <v>-1.9040976058323477E-10</v>
      </c>
      <c r="G38" s="4">
        <v>-6.766973277005533E-9</v>
      </c>
      <c r="H38" s="4">
        <v>-1.0675708571447834E-6</v>
      </c>
      <c r="I38" s="4">
        <v>-6.9032323654280283E-5</v>
      </c>
      <c r="J38" s="4">
        <v>-4.1709416510543095E-3</v>
      </c>
      <c r="K38" s="4">
        <v>-2.5605131772218809E-2</v>
      </c>
      <c r="L38" s="4">
        <v>-1.111413356176512</v>
      </c>
      <c r="M38" s="4">
        <v>-5.5309599381444299</v>
      </c>
      <c r="N38" s="4">
        <v>-46.125461788717686</v>
      </c>
      <c r="O38" s="4">
        <v>-104.07558387316776</v>
      </c>
      <c r="P38" s="4">
        <v>-340.82256015515821</v>
      </c>
      <c r="Q38" s="4">
        <v>-187.58064001520435</v>
      </c>
      <c r="R38" s="4">
        <v>-177.93524344590503</v>
      </c>
      <c r="S38" s="4">
        <v>-74.508499024411719</v>
      </c>
      <c r="T38" s="4">
        <v>-17.407169439548809</v>
      </c>
      <c r="U38" s="4">
        <v>-1.3571427910663831</v>
      </c>
      <c r="V38" s="4">
        <v>0.60488048672704475</v>
      </c>
      <c r="W38" s="4">
        <v>7.8987496231377515E-3</v>
      </c>
      <c r="X38" s="4">
        <v>2.4439314939821226E-4</v>
      </c>
      <c r="Y38" s="4">
        <v>3.7818805634964783E-5</v>
      </c>
      <c r="Z38" s="4">
        <v>1.616569729394651E-6</v>
      </c>
      <c r="AA38" s="4">
        <v>2.760071348598842E-9</v>
      </c>
      <c r="AB38" s="4">
        <v>2.7693877491086779E-11</v>
      </c>
      <c r="AC38" s="4">
        <v>2.4216662105931162E-14</v>
      </c>
      <c r="AD38" s="4">
        <v>1.0970626486155832E-16</v>
      </c>
      <c r="AE38" s="4">
        <v>2.3726221056937342E-20</v>
      </c>
      <c r="AF38" s="4">
        <v>1.4981777863955176E-23</v>
      </c>
      <c r="AG38" s="4"/>
      <c r="AH38" s="4"/>
      <c r="AI38" s="4"/>
      <c r="AJ38" s="4"/>
      <c r="AK38" s="4"/>
      <c r="AL38" s="4"/>
      <c r="AM38" s="4"/>
      <c r="AN38" s="4"/>
      <c r="AO38" s="4"/>
      <c r="AP38" s="4"/>
      <c r="AQ38" s="4"/>
      <c r="AR38" s="4"/>
      <c r="AS38" s="4"/>
      <c r="AT38" s="4"/>
      <c r="AU38" s="4"/>
      <c r="AV38" s="4"/>
      <c r="AW38" s="4"/>
      <c r="AX38" s="4"/>
      <c r="AY38" s="4"/>
      <c r="AZ38" s="4"/>
      <c r="BA38" s="4"/>
      <c r="BB38" s="4"/>
    </row>
    <row r="39" spans="1:54" x14ac:dyDescent="0.3">
      <c r="A39" s="4">
        <v>4310</v>
      </c>
      <c r="B39" s="4"/>
      <c r="C39" s="4">
        <v>-430.71776815034264</v>
      </c>
      <c r="D39" s="4">
        <v>-1.2525810242756542E-16</v>
      </c>
      <c r="E39" s="4">
        <v>-7.4260289167071777E-15</v>
      </c>
      <c r="F39" s="4">
        <v>-2.1728333299221051E-11</v>
      </c>
      <c r="G39" s="4">
        <v>-9.2949617069819849E-10</v>
      </c>
      <c r="H39" s="4">
        <v>-1.7668796738385803E-7</v>
      </c>
      <c r="I39" s="4">
        <v>-1.3780530143643423E-5</v>
      </c>
      <c r="J39" s="4">
        <v>-1.0053139417181849E-3</v>
      </c>
      <c r="K39" s="4">
        <v>-7.4594151518196962E-3</v>
      </c>
      <c r="L39" s="4">
        <v>-0.39176413114715131</v>
      </c>
      <c r="M39" s="4">
        <v>-2.3614958544610856</v>
      </c>
      <c r="N39" s="4">
        <v>-23.880126398767182</v>
      </c>
      <c r="O39" s="4">
        <v>-65.408011711403503</v>
      </c>
      <c r="P39" s="4">
        <v>-260.30293712243196</v>
      </c>
      <c r="Q39" s="4">
        <v>-174.29920101669339</v>
      </c>
      <c r="R39" s="4">
        <v>-201.38154724024002</v>
      </c>
      <c r="S39" s="4">
        <v>-102.8284397139</v>
      </c>
      <c r="T39" s="4">
        <v>-29.328550740772581</v>
      </c>
      <c r="U39" s="4">
        <v>-2.7948226054374565</v>
      </c>
      <c r="V39" s="4">
        <v>1.5243399955485826</v>
      </c>
      <c r="W39" s="4">
        <v>2.4388083431248837E-2</v>
      </c>
      <c r="X39" s="4">
        <v>9.2564653943849249E-4</v>
      </c>
      <c r="Y39" s="4">
        <v>1.759288119430293E-4</v>
      </c>
      <c r="Z39" s="4">
        <v>9.2478186849420381E-6</v>
      </c>
      <c r="AA39" s="4">
        <v>1.9441519757463298E-8</v>
      </c>
      <c r="AB39" s="4">
        <v>2.4049984627545365E-10</v>
      </c>
      <c r="AC39" s="4">
        <v>2.5961479320775032E-13</v>
      </c>
      <c r="AD39" s="4">
        <v>1.453786720704954E-15</v>
      </c>
      <c r="AE39" s="4">
        <v>3.891608127052032E-19</v>
      </c>
      <c r="AF39" s="4">
        <v>3.0456470410368813E-22</v>
      </c>
      <c r="AG39" s="4"/>
      <c r="AH39" s="4"/>
      <c r="AI39" s="4"/>
      <c r="AJ39" s="4"/>
      <c r="AK39" s="4"/>
      <c r="AL39" s="4"/>
      <c r="AM39" s="4"/>
      <c r="AN39" s="4"/>
      <c r="AO39" s="4"/>
      <c r="AP39" s="4"/>
      <c r="AQ39" s="4"/>
      <c r="AR39" s="4"/>
      <c r="AS39" s="4"/>
      <c r="AT39" s="4"/>
      <c r="AU39" s="4"/>
      <c r="AV39" s="4"/>
      <c r="AW39" s="4"/>
      <c r="AX39" s="4"/>
      <c r="AY39" s="4"/>
      <c r="AZ39" s="4"/>
      <c r="BA39" s="4"/>
      <c r="BB39" s="4"/>
    </row>
    <row r="40" spans="1:54" x14ac:dyDescent="0.3">
      <c r="A40" s="4">
        <v>4300</v>
      </c>
      <c r="B40" s="4"/>
      <c r="C40" s="4">
        <v>-386.4242490500464</v>
      </c>
      <c r="D40" s="4">
        <v>-9.0885657355345903E-18</v>
      </c>
      <c r="E40" s="4">
        <v>-6.4755850022383769E-16</v>
      </c>
      <c r="F40" s="4">
        <v>-2.2793674147975797E-12</v>
      </c>
      <c r="G40" s="4">
        <v>-1.1741903069798024E-10</v>
      </c>
      <c r="H40" s="4">
        <v>-2.6905621967468325E-8</v>
      </c>
      <c r="I40" s="4">
        <v>-2.5321780805923164E-6</v>
      </c>
      <c r="J40" s="4">
        <v>-2.2313840295134279E-4</v>
      </c>
      <c r="K40" s="4">
        <v>-2.0020677152503756E-3</v>
      </c>
      <c r="L40" s="4">
        <v>-0.12728060138528874</v>
      </c>
      <c r="M40" s="4">
        <v>-0.92972755419738995</v>
      </c>
      <c r="N40" s="4">
        <v>-11.405354852888138</v>
      </c>
      <c r="O40" s="4">
        <v>-37.938912721811683</v>
      </c>
      <c r="P40" s="4">
        <v>-183.56856765028257</v>
      </c>
      <c r="Q40" s="4">
        <v>-149.61292196276679</v>
      </c>
      <c r="R40" s="4">
        <v>-210.64087533092479</v>
      </c>
      <c r="S40" s="4">
        <v>-131.21578237295947</v>
      </c>
      <c r="T40" s="4">
        <v>-45.710896147589757</v>
      </c>
      <c r="U40" s="4">
        <v>-5.3266248854174698</v>
      </c>
      <c r="V40" s="4">
        <v>3.5568615187441655</v>
      </c>
      <c r="W40" s="4">
        <v>6.9754902008872632E-2</v>
      </c>
      <c r="X40" s="4">
        <v>3.2492654854932414E-3</v>
      </c>
      <c r="Y40" s="4">
        <v>7.5885248915062643E-4</v>
      </c>
      <c r="Z40" s="4">
        <v>4.9077681063696634E-5</v>
      </c>
      <c r="AA40" s="4">
        <v>1.2710126831316443E-7</v>
      </c>
      <c r="AB40" s="4">
        <v>1.9393974030372204E-9</v>
      </c>
      <c r="AC40" s="4">
        <v>2.5856995864983509E-12</v>
      </c>
      <c r="AD40" s="4">
        <v>1.7906770768243732E-14</v>
      </c>
      <c r="AE40" s="4">
        <v>5.9359756455211961E-18</v>
      </c>
      <c r="AF40" s="4">
        <v>5.7606938902698246E-21</v>
      </c>
      <c r="AG40" s="4"/>
      <c r="AH40" s="4"/>
      <c r="AI40" s="4"/>
      <c r="AJ40" s="4"/>
      <c r="AK40" s="4"/>
      <c r="AL40" s="4"/>
      <c r="AM40" s="4"/>
      <c r="AN40" s="4"/>
      <c r="AO40" s="4"/>
      <c r="AP40" s="4"/>
      <c r="AQ40" s="4"/>
      <c r="AR40" s="4"/>
      <c r="AS40" s="4"/>
      <c r="AT40" s="4"/>
      <c r="AU40" s="4"/>
      <c r="AV40" s="4"/>
      <c r="AW40" s="4"/>
      <c r="AX40" s="4"/>
      <c r="AY40" s="4"/>
      <c r="AZ40" s="4"/>
      <c r="BA40" s="4"/>
      <c r="BB40" s="4"/>
    </row>
    <row r="41" spans="1:54" x14ac:dyDescent="0.3">
      <c r="A41" s="4">
        <v>4290</v>
      </c>
      <c r="B41" s="4"/>
      <c r="C41" s="4">
        <v>-344.67900805942588</v>
      </c>
      <c r="D41" s="4">
        <v>-6.0535836505154866E-19</v>
      </c>
      <c r="E41" s="4">
        <v>-5.185789999885057E-17</v>
      </c>
      <c r="F41" s="4">
        <v>-2.1968615245660431E-13</v>
      </c>
      <c r="G41" s="4">
        <v>-1.3633824625078594E-11</v>
      </c>
      <c r="H41" s="4">
        <v>-3.7675268242046943E-9</v>
      </c>
      <c r="I41" s="4">
        <v>-4.2804535749683497E-7</v>
      </c>
      <c r="J41" s="4">
        <v>-4.5583239345915626E-5</v>
      </c>
      <c r="K41" s="4">
        <v>-4.9476968594006673E-4</v>
      </c>
      <c r="L41" s="4">
        <v>-3.8092832449254016E-2</v>
      </c>
      <c r="M41" s="4">
        <v>-0.33733543881662814</v>
      </c>
      <c r="N41" s="4">
        <v>-5.0224322408613329</v>
      </c>
      <c r="O41" s="4">
        <v>-20.298707342129632</v>
      </c>
      <c r="P41" s="4">
        <v>-119.46611200010635</v>
      </c>
      <c r="Q41" s="4">
        <v>-118.56833009661177</v>
      </c>
      <c r="R41" s="4">
        <v>-203.51264579212423</v>
      </c>
      <c r="S41" s="4">
        <v>-154.73398914857432</v>
      </c>
      <c r="T41" s="4">
        <v>-65.868521376728538</v>
      </c>
      <c r="U41" s="4">
        <v>-9.390364412559185</v>
      </c>
      <c r="V41" s="4">
        <v>7.6804941412764798</v>
      </c>
      <c r="W41" s="4">
        <v>0.18472034701933224</v>
      </c>
      <c r="X41" s="4">
        <v>1.0565139601584958E-2</v>
      </c>
      <c r="Y41" s="4">
        <v>3.0334449609864737E-3</v>
      </c>
      <c r="Z41" s="4">
        <v>2.4148865233623233E-4</v>
      </c>
      <c r="AA41" s="4">
        <v>7.708118960262874E-7</v>
      </c>
      <c r="AB41" s="4">
        <v>1.4514759688814946E-8</v>
      </c>
      <c r="AC41" s="4">
        <v>2.3912843765326668E-11</v>
      </c>
      <c r="AD41" s="4">
        <v>2.0490530722101565E-13</v>
      </c>
      <c r="AE41" s="4">
        <v>8.4157078235170852E-17</v>
      </c>
      <c r="AF41" s="4">
        <v>1.0132651191553101E-19</v>
      </c>
      <c r="AG41" s="4"/>
      <c r="AH41" s="4"/>
      <c r="AI41" s="4"/>
      <c r="AJ41" s="4"/>
      <c r="AK41" s="4"/>
      <c r="AL41" s="4"/>
      <c r="AM41" s="4"/>
      <c r="AN41" s="4"/>
      <c r="AO41" s="4"/>
      <c r="AP41" s="4"/>
      <c r="AQ41" s="4"/>
      <c r="AR41" s="4"/>
      <c r="AS41" s="4"/>
      <c r="AT41" s="4"/>
      <c r="AU41" s="4"/>
      <c r="AV41" s="4"/>
      <c r="AW41" s="4"/>
      <c r="AX41" s="4"/>
      <c r="AY41" s="4"/>
      <c r="AZ41" s="4"/>
      <c r="BA41" s="4"/>
      <c r="BB41" s="4"/>
    </row>
    <row r="42" spans="1:54" x14ac:dyDescent="0.3">
      <c r="A42" s="4">
        <v>4280</v>
      </c>
      <c r="B42" s="4"/>
      <c r="C42" s="4">
        <v>-303.90510709531151</v>
      </c>
      <c r="D42" s="4">
        <v>-3.6991612290473151E-20</v>
      </c>
      <c r="E42" s="4">
        <v>-3.8116332095638753E-18</v>
      </c>
      <c r="F42" s="4">
        <v>-1.9441915122852107E-14</v>
      </c>
      <c r="G42" s="4">
        <v>-1.4542320279704744E-12</v>
      </c>
      <c r="H42" s="4">
        <v>-4.8483757611197694E-10</v>
      </c>
      <c r="I42" s="4">
        <v>-6.6527743842665651E-8</v>
      </c>
      <c r="J42" s="4">
        <v>-8.5653560766874702E-6</v>
      </c>
      <c r="K42" s="4">
        <v>-1.1252000948824767E-4</v>
      </c>
      <c r="L42" s="4">
        <v>-1.049592541149622E-2</v>
      </c>
      <c r="M42" s="4">
        <v>-0.11273527129220481</v>
      </c>
      <c r="N42" s="4">
        <v>-2.0380142399032799</v>
      </c>
      <c r="O42" s="4">
        <v>-10.01237505860418</v>
      </c>
      <c r="P42" s="4">
        <v>-71.70920038676816</v>
      </c>
      <c r="Q42" s="4">
        <v>-86.706508548660679</v>
      </c>
      <c r="R42" s="4">
        <v>-181.51994939624916</v>
      </c>
      <c r="S42" s="4">
        <v>-168.52780629331269</v>
      </c>
      <c r="T42" s="4">
        <v>-87.705223922473223</v>
      </c>
      <c r="U42" s="4">
        <v>-15.304054953410756</v>
      </c>
      <c r="V42" s="4">
        <v>15.33948175867949</v>
      </c>
      <c r="W42" s="4">
        <v>0.45264827317668221</v>
      </c>
      <c r="X42" s="4">
        <v>3.1803832931548141E-2</v>
      </c>
      <c r="Y42" s="4">
        <v>1.1231515624617815E-2</v>
      </c>
      <c r="Z42" s="4">
        <v>1.1011424174437263E-3</v>
      </c>
      <c r="AA42" s="4">
        <v>4.3340395757826648E-6</v>
      </c>
      <c r="AB42" s="4">
        <v>1.0076553218150673E-7</v>
      </c>
      <c r="AC42" s="4">
        <v>2.052381033216353E-10</v>
      </c>
      <c r="AD42" s="4">
        <v>2.1771009897609716E-12</v>
      </c>
      <c r="AE42" s="4">
        <v>1.1083981839769846E-15</v>
      </c>
      <c r="AF42" s="4">
        <v>1.6565195171023892E-18</v>
      </c>
      <c r="AG42" s="4"/>
      <c r="AH42" s="4"/>
      <c r="AI42" s="4"/>
      <c r="AJ42" s="4"/>
      <c r="AK42" s="4"/>
      <c r="AL42" s="4"/>
      <c r="AM42" s="4"/>
      <c r="AN42" s="4"/>
      <c r="AO42" s="4"/>
      <c r="AP42" s="4"/>
      <c r="AQ42" s="4"/>
      <c r="AR42" s="4"/>
      <c r="AS42" s="4"/>
      <c r="AT42" s="4"/>
      <c r="AU42" s="4"/>
      <c r="AV42" s="4"/>
      <c r="AW42" s="4"/>
      <c r="AX42" s="4"/>
      <c r="AY42" s="4"/>
      <c r="AZ42" s="4"/>
      <c r="BA42" s="4"/>
      <c r="BB42" s="4"/>
    </row>
    <row r="43" spans="1:54" x14ac:dyDescent="0.3">
      <c r="A43" s="4">
        <v>4270</v>
      </c>
      <c r="B43" s="4"/>
      <c r="C43" s="4">
        <v>-261.86810151609308</v>
      </c>
      <c r="D43" s="4">
        <v>-2.0725793921528225E-21</v>
      </c>
      <c r="E43" s="4">
        <v>-2.5698755718201276E-19</v>
      </c>
      <c r="F43" s="4">
        <v>-1.5789517276516988E-15</v>
      </c>
      <c r="G43" s="4">
        <v>-1.4240748526824518E-13</v>
      </c>
      <c r="H43" s="4">
        <v>-5.7307306820476607E-11</v>
      </c>
      <c r="I43" s="4">
        <v>-9.5012634284551551E-9</v>
      </c>
      <c r="J43" s="4">
        <v>-1.4795990072982235E-6</v>
      </c>
      <c r="K43" s="4">
        <v>-2.3534701580348665E-5</v>
      </c>
      <c r="L43" s="4">
        <v>-2.6610034426062163E-3</v>
      </c>
      <c r="M43" s="4">
        <v>-3.4681746755222738E-2</v>
      </c>
      <c r="N43" s="4">
        <v>-0.76162436103024478</v>
      </c>
      <c r="O43" s="4">
        <v>-4.5503481664749774</v>
      </c>
      <c r="P43" s="4">
        <v>-39.677405158851286</v>
      </c>
      <c r="Q43" s="4">
        <v>-58.475442653119444</v>
      </c>
      <c r="R43" s="4">
        <v>-149.38187346260156</v>
      </c>
      <c r="S43" s="4">
        <v>-169.43414004913586</v>
      </c>
      <c r="T43" s="4">
        <v>-107.85012172443912</v>
      </c>
      <c r="U43" s="4">
        <v>-23.045362436806517</v>
      </c>
      <c r="V43" s="4">
        <v>28.319899798459126</v>
      </c>
      <c r="W43" s="4">
        <v>1.0258273577431865</v>
      </c>
      <c r="X43" s="4">
        <v>8.8584959074848479E-2</v>
      </c>
      <c r="Y43" s="4">
        <v>3.8497027890749352E-2</v>
      </c>
      <c r="Z43" s="4">
        <v>4.6503796931838216E-3</v>
      </c>
      <c r="AA43" s="4">
        <v>2.2581269475171635E-5</v>
      </c>
      <c r="AB43" s="4">
        <v>6.4854384607491534E-7</v>
      </c>
      <c r="AC43" s="4">
        <v>1.6338998836987526E-9</v>
      </c>
      <c r="AD43" s="4">
        <v>2.1466511110966848E-11</v>
      </c>
      <c r="AE43" s="4">
        <v>1.3554287169256566E-14</v>
      </c>
      <c r="AF43" s="4">
        <v>2.5157374652803571E-17</v>
      </c>
      <c r="AG43" s="4"/>
      <c r="AH43" s="4"/>
      <c r="AI43" s="4"/>
      <c r="AJ43" s="4"/>
      <c r="AK43" s="4"/>
      <c r="AL43" s="4"/>
      <c r="AM43" s="4"/>
      <c r="AN43" s="4"/>
      <c r="AO43" s="4"/>
      <c r="AP43" s="4"/>
      <c r="AQ43" s="4"/>
      <c r="AR43" s="4"/>
      <c r="AS43" s="4"/>
      <c r="AT43" s="4"/>
      <c r="AU43" s="4"/>
      <c r="AV43" s="4"/>
      <c r="AW43" s="4"/>
      <c r="AX43" s="4"/>
      <c r="AY43" s="4"/>
      <c r="AZ43" s="4"/>
      <c r="BA43" s="4"/>
      <c r="BB43" s="4"/>
    </row>
    <row r="44" spans="1:54" x14ac:dyDescent="0.3">
      <c r="A44" s="4">
        <v>4260</v>
      </c>
      <c r="B44" s="4"/>
      <c r="C44" s="4">
        <v>-216.45111640108311</v>
      </c>
      <c r="D44" s="4">
        <v>-1.0640886088858523E-22</v>
      </c>
      <c r="E44" s="4">
        <v>-1.5884015007290129E-20</v>
      </c>
      <c r="F44" s="4">
        <v>-1.1760759743824138E-16</v>
      </c>
      <c r="G44" s="4">
        <v>-1.2795556957401782E-14</v>
      </c>
      <c r="H44" s="4">
        <v>-6.2178835652185289E-12</v>
      </c>
      <c r="I44" s="4">
        <v>-1.2461531824819833E-9</v>
      </c>
      <c r="J44" s="4">
        <v>-2.3482691072503811E-7</v>
      </c>
      <c r="K44" s="4">
        <v>-4.524677725650022E-6</v>
      </c>
      <c r="L44" s="4">
        <v>-6.2039179328718646E-4</v>
      </c>
      <c r="M44" s="4">
        <v>-9.8160103801717951E-3</v>
      </c>
      <c r="N44" s="4">
        <v>-0.26197837502547089</v>
      </c>
      <c r="O44" s="4">
        <v>-1.9043307746027329</v>
      </c>
      <c r="P44" s="4">
        <v>-20.225639502667867</v>
      </c>
      <c r="Q44" s="4">
        <v>-36.348583182455641</v>
      </c>
      <c r="R44" s="4">
        <v>-113.36168490617413</v>
      </c>
      <c r="S44" s="4">
        <v>-157.15529233355966</v>
      </c>
      <c r="T44" s="4">
        <v>-122.41076971485485</v>
      </c>
      <c r="U44" s="4">
        <v>-32.045766835118805</v>
      </c>
      <c r="V44" s="4">
        <v>48.304806804323377</v>
      </c>
      <c r="W44" s="4">
        <v>2.1488893307172567</v>
      </c>
      <c r="X44" s="4">
        <v>0.22817963593471502</v>
      </c>
      <c r="Y44" s="4">
        <v>0.1220853859292171</v>
      </c>
      <c r="Z44" s="4">
        <v>1.817998562632403E-2</v>
      </c>
      <c r="AA44" s="4">
        <v>1.0896270943460001E-4</v>
      </c>
      <c r="AB44" s="4">
        <v>3.8677279299353355E-6</v>
      </c>
      <c r="AC44" s="4">
        <v>1.2058648392967206E-8</v>
      </c>
      <c r="AD44" s="4">
        <v>1.96321540267865E-10</v>
      </c>
      <c r="AE44" s="4">
        <v>1.5381559800115832E-13</v>
      </c>
      <c r="AF44" s="4">
        <v>3.5472965889366371E-16</v>
      </c>
      <c r="AG44" s="4"/>
      <c r="AH44" s="4"/>
      <c r="AI44" s="4"/>
      <c r="AJ44" s="4"/>
      <c r="AK44" s="4"/>
      <c r="AL44" s="4"/>
      <c r="AM44" s="4"/>
      <c r="AN44" s="4"/>
      <c r="AO44" s="4"/>
      <c r="AP44" s="4"/>
      <c r="AQ44" s="4"/>
      <c r="AR44" s="4"/>
      <c r="AS44" s="4"/>
      <c r="AT44" s="4"/>
      <c r="AU44" s="4"/>
      <c r="AV44" s="4"/>
      <c r="AW44" s="4"/>
      <c r="AX44" s="4"/>
      <c r="AY44" s="4"/>
      <c r="AZ44" s="4"/>
      <c r="BA44" s="4"/>
      <c r="BB44" s="4"/>
    </row>
    <row r="45" spans="1:54" x14ac:dyDescent="0.3">
      <c r="A45" s="4">
        <v>4250</v>
      </c>
      <c r="B45" s="4"/>
      <c r="C45" s="4">
        <v>-166.45042524039005</v>
      </c>
      <c r="D45" s="4">
        <v>-5.0031371640164298E-24</v>
      </c>
      <c r="E45" s="4">
        <v>-8.9948900543391997E-22</v>
      </c>
      <c r="F45" s="4">
        <v>-8.0293370502280416E-18</v>
      </c>
      <c r="G45" s="4">
        <v>-1.0542771697339379E-15</v>
      </c>
      <c r="H45" s="4">
        <v>-6.1892339113913788E-13</v>
      </c>
      <c r="I45" s="4">
        <v>-1.5000881566818453E-10</v>
      </c>
      <c r="J45" s="4">
        <v>-3.4221701996063545E-8</v>
      </c>
      <c r="K45" s="4">
        <v>-7.9912041499752735E-7</v>
      </c>
      <c r="L45" s="4">
        <v>-1.3293185895780097E-4</v>
      </c>
      <c r="M45" s="4">
        <v>-2.5545205334155576E-3</v>
      </c>
      <c r="N45" s="4">
        <v>-8.289521110515341E-2</v>
      </c>
      <c r="O45" s="4">
        <v>-0.73346551000322402</v>
      </c>
      <c r="P45" s="4">
        <v>-9.4929705617853379</v>
      </c>
      <c r="Q45" s="4">
        <v>-20.813485177289202</v>
      </c>
      <c r="R45" s="4">
        <v>-79.28329435201637</v>
      </c>
      <c r="S45" s="4">
        <v>-134.40299438484053</v>
      </c>
      <c r="T45" s="4">
        <v>-128.16708468092091</v>
      </c>
      <c r="U45" s="4">
        <v>-41.126612571223404</v>
      </c>
      <c r="V45" s="4">
        <v>76.07861893925238</v>
      </c>
      <c r="W45" s="4">
        <v>4.1585046207168759</v>
      </c>
      <c r="X45" s="4">
        <v>0.54323549046458863</v>
      </c>
      <c r="Y45" s="4">
        <v>0.35801958494384856</v>
      </c>
      <c r="Z45" s="4">
        <v>6.5753494821870165E-2</v>
      </c>
      <c r="AA45" s="4">
        <v>4.8667885863897182E-4</v>
      </c>
      <c r="AB45" s="4">
        <v>2.1361105419653517E-5</v>
      </c>
      <c r="AC45" s="4">
        <v>8.2459477730716643E-8</v>
      </c>
      <c r="AD45" s="4">
        <v>1.6644167476582872E-9</v>
      </c>
      <c r="AE45" s="4">
        <v>1.618944509657476E-12</v>
      </c>
      <c r="AF45" s="4">
        <v>4.6415092068443072E-15</v>
      </c>
      <c r="AG45" s="4"/>
      <c r="AH45" s="4"/>
      <c r="AI45" s="4"/>
      <c r="AJ45" s="4"/>
      <c r="AK45" s="4"/>
      <c r="AL45" s="4"/>
      <c r="AM45" s="4"/>
      <c r="AN45" s="4"/>
      <c r="AO45" s="4"/>
      <c r="AP45" s="4"/>
      <c r="AQ45" s="4"/>
      <c r="AR45" s="4"/>
      <c r="AS45" s="4"/>
      <c r="AT45" s="4"/>
      <c r="AU45" s="4"/>
      <c r="AV45" s="4"/>
      <c r="AW45" s="4"/>
      <c r="AX45" s="4"/>
      <c r="AY45" s="4"/>
      <c r="AZ45" s="4"/>
      <c r="BA45" s="4"/>
      <c r="BB45" s="4"/>
    </row>
    <row r="46" spans="1:54" x14ac:dyDescent="0.3">
      <c r="A46" s="4">
        <v>4240</v>
      </c>
      <c r="B46" s="4"/>
      <c r="C46" s="4">
        <v>-112.18285271177544</v>
      </c>
      <c r="D46" s="4">
        <v>-2.1529903555777243E-25</v>
      </c>
      <c r="E46" s="4">
        <v>-4.6639808938418954E-23</v>
      </c>
      <c r="F46" s="4">
        <v>-5.0215829037866182E-19</v>
      </c>
      <c r="G46" s="4">
        <v>-7.9608491451470541E-17</v>
      </c>
      <c r="H46" s="4">
        <v>-5.6485059853349035E-14</v>
      </c>
      <c r="I46" s="4">
        <v>-1.6563762169288315E-11</v>
      </c>
      <c r="J46" s="4">
        <v>-4.5766504325668704E-9</v>
      </c>
      <c r="K46" s="4">
        <v>-1.2957637608980747E-7</v>
      </c>
      <c r="L46" s="4">
        <v>-2.6162478054441513E-5</v>
      </c>
      <c r="M46" s="4">
        <v>-6.1089898143465513E-4</v>
      </c>
      <c r="N46" s="4">
        <v>-2.4114542649362317E-2</v>
      </c>
      <c r="O46" s="4">
        <v>-0.25983862691702048</v>
      </c>
      <c r="P46" s="4">
        <v>-4.1000672367334987</v>
      </c>
      <c r="Q46" s="4">
        <v>-10.972220711250786</v>
      </c>
      <c r="R46" s="4">
        <v>-51.073321407027819</v>
      </c>
      <c r="S46" s="4">
        <v>-105.92334895300138</v>
      </c>
      <c r="T46" s="4">
        <v>-123.72094285061407</v>
      </c>
      <c r="U46" s="4">
        <v>-48.684788072919901</v>
      </c>
      <c r="V46" s="4">
        <v>110.57639665487835</v>
      </c>
      <c r="W46" s="4">
        <v>7.4301672635279701</v>
      </c>
      <c r="X46" s="4">
        <v>1.1946746198957541</v>
      </c>
      <c r="Y46" s="4">
        <v>0.97031647631970819</v>
      </c>
      <c r="Z46" s="4">
        <v>0.2198984794737385</v>
      </c>
      <c r="AA46" s="4">
        <v>2.0109488518760994E-3</v>
      </c>
      <c r="AB46" s="4">
        <v>1.0919498451022122E-4</v>
      </c>
      <c r="AC46" s="4">
        <v>5.2217038597088504E-7</v>
      </c>
      <c r="AD46" s="4">
        <v>1.3073919995078851E-8</v>
      </c>
      <c r="AE46" s="4">
        <v>1.579553934740438E-11</v>
      </c>
      <c r="AF46" s="4">
        <v>5.6326728607930463E-14</v>
      </c>
      <c r="AG46" s="4"/>
      <c r="AH46" s="4"/>
      <c r="AI46" s="4"/>
      <c r="AJ46" s="4"/>
      <c r="AK46" s="4"/>
      <c r="AL46" s="4"/>
      <c r="AM46" s="4"/>
      <c r="AN46" s="4"/>
      <c r="AO46" s="4"/>
      <c r="AP46" s="4"/>
      <c r="AQ46" s="4"/>
      <c r="AR46" s="4"/>
      <c r="AS46" s="4"/>
      <c r="AT46" s="4"/>
      <c r="AU46" s="4"/>
      <c r="AV46" s="4"/>
      <c r="AW46" s="4"/>
      <c r="AX46" s="4"/>
      <c r="AY46" s="4"/>
      <c r="AZ46" s="4"/>
      <c r="BA46" s="4"/>
      <c r="BB46" s="4"/>
    </row>
    <row r="47" spans="1:54" x14ac:dyDescent="0.3">
      <c r="A47" s="4">
        <v>4230</v>
      </c>
      <c r="B47" s="4"/>
      <c r="C47" s="4">
        <v>-55.680003602587632</v>
      </c>
      <c r="D47" s="4">
        <v>-8.474452045272027E-27</v>
      </c>
      <c r="E47" s="4">
        <v>-2.2129861970373158E-24</v>
      </c>
      <c r="F47" s="4">
        <v>-2.875112431595858E-20</v>
      </c>
      <c r="G47" s="4">
        <v>-5.5056739589039987E-18</v>
      </c>
      <c r="H47" s="4">
        <v>-4.7235781754867016E-15</v>
      </c>
      <c r="I47" s="4">
        <v>-1.6766306153020526E-12</v>
      </c>
      <c r="J47" s="4">
        <v>-5.6134072178759929E-10</v>
      </c>
      <c r="K47" s="4">
        <v>-1.9278341344873817E-8</v>
      </c>
      <c r="L47" s="4">
        <v>-4.7266949715552916E-6</v>
      </c>
      <c r="M47" s="4">
        <v>-1.3417082589056693E-4</v>
      </c>
      <c r="N47" s="4">
        <v>-6.4455239489972062E-3</v>
      </c>
      <c r="O47" s="4">
        <v>-8.4617346554583389E-2</v>
      </c>
      <c r="P47" s="4">
        <v>-1.6286010870198204</v>
      </c>
      <c r="Q47" s="4">
        <v>-5.3221064058941883</v>
      </c>
      <c r="R47" s="4">
        <v>-30.286660307350786</v>
      </c>
      <c r="S47" s="4">
        <v>-76.882254522820418</v>
      </c>
      <c r="T47" s="4">
        <v>-110.0448125556792</v>
      </c>
      <c r="U47" s="4">
        <v>-53.129103087921102</v>
      </c>
      <c r="V47" s="4">
        <v>148.23186158336432</v>
      </c>
      <c r="W47" s="4">
        <v>12.250421292432168</v>
      </c>
      <c r="X47" s="4">
        <v>2.4255775194825517</v>
      </c>
      <c r="Y47" s="4">
        <v>2.4290604382889969</v>
      </c>
      <c r="Z47" s="4">
        <v>0.67960956514410054</v>
      </c>
      <c r="AA47" s="4">
        <v>7.6826373684867012E-3</v>
      </c>
      <c r="AB47" s="4">
        <v>5.1635769699085127E-4</v>
      </c>
      <c r="AC47" s="4">
        <v>3.0603596967180267E-6</v>
      </c>
      <c r="AD47" s="4">
        <v>9.5095309554728443E-8</v>
      </c>
      <c r="AE47" s="4">
        <v>1.4278047375295204E-10</v>
      </c>
      <c r="AF47" s="4">
        <v>6.3361498707046053E-13</v>
      </c>
      <c r="AG47" s="4"/>
      <c r="AH47" s="4"/>
      <c r="AI47" s="4"/>
      <c r="AJ47" s="4"/>
      <c r="AK47" s="4"/>
      <c r="AL47" s="4"/>
      <c r="AM47" s="4"/>
      <c r="AN47" s="4"/>
      <c r="AO47" s="4"/>
      <c r="AP47" s="4"/>
      <c r="AQ47" s="4"/>
      <c r="AR47" s="4"/>
      <c r="AS47" s="4"/>
      <c r="AT47" s="4"/>
      <c r="AU47" s="4"/>
      <c r="AV47" s="4"/>
      <c r="AW47" s="4"/>
      <c r="AX47" s="4"/>
      <c r="AY47" s="4"/>
      <c r="AZ47" s="4"/>
      <c r="BA47" s="4"/>
      <c r="BB47" s="4"/>
    </row>
    <row r="48" spans="1:54" x14ac:dyDescent="0.3">
      <c r="A48" s="4">
        <v>4220</v>
      </c>
      <c r="B48" s="4"/>
      <c r="C48" s="4">
        <v>-0.25803721253585771</v>
      </c>
      <c r="D48" s="4">
        <v>-3.0491835246438863E-28</v>
      </c>
      <c r="E48" s="4">
        <v>-9.6027388988413911E-26</v>
      </c>
      <c r="F48" s="4">
        <v>-1.5061097454534204E-21</v>
      </c>
      <c r="G48" s="4">
        <v>-3.4853255131395873E-19</v>
      </c>
      <c r="H48" s="4">
        <v>-3.617309066083234E-16</v>
      </c>
      <c r="I48" s="4">
        <v>-1.554852168216442E-13</v>
      </c>
      <c r="J48" s="4">
        <v>-6.3106785439809348E-11</v>
      </c>
      <c r="K48" s="4">
        <v>-2.6301632298100169E-9</v>
      </c>
      <c r="L48" s="4">
        <v>-7.8343881792668864E-7</v>
      </c>
      <c r="M48" s="4">
        <v>-2.7046827344606698E-5</v>
      </c>
      <c r="N48" s="4">
        <v>-1.5820085923116251E-3</v>
      </c>
      <c r="O48" s="4">
        <v>-2.5315675994221118E-2</v>
      </c>
      <c r="P48" s="4">
        <v>-0.59458929111033998</v>
      </c>
      <c r="Q48" s="4">
        <v>-2.3738679354807424</v>
      </c>
      <c r="R48" s="4">
        <v>-16.523392012947671</v>
      </c>
      <c r="S48" s="4">
        <v>-51.363996669323363</v>
      </c>
      <c r="T48" s="4">
        <v>-90.13702005723772</v>
      </c>
      <c r="U48" s="4">
        <v>-53.418188964839416</v>
      </c>
      <c r="V48" s="4">
        <v>183.16800823884455</v>
      </c>
      <c r="W48" s="4">
        <v>18.627094045480362</v>
      </c>
      <c r="X48" s="4">
        <v>4.5439790976383119</v>
      </c>
      <c r="Y48" s="4">
        <v>5.6135057132268384</v>
      </c>
      <c r="Z48" s="4">
        <v>1.939922007225525</v>
      </c>
      <c r="AA48" s="4">
        <v>2.7122211433029605E-2</v>
      </c>
      <c r="AB48" s="4">
        <v>2.2574770069164404E-3</v>
      </c>
      <c r="AC48" s="4">
        <v>1.6591209498627167E-5</v>
      </c>
      <c r="AD48" s="4">
        <v>6.4014698275868083E-7</v>
      </c>
      <c r="AE48" s="4">
        <v>1.1950715229231496E-9</v>
      </c>
      <c r="AF48" s="4">
        <v>6.6031607614438797E-12</v>
      </c>
      <c r="AG48" s="4"/>
      <c r="AH48" s="4"/>
      <c r="AI48" s="4"/>
      <c r="AJ48" s="4"/>
      <c r="AK48" s="4"/>
      <c r="AL48" s="4"/>
      <c r="AM48" s="4"/>
      <c r="AN48" s="4"/>
      <c r="AO48" s="4"/>
      <c r="AP48" s="4"/>
      <c r="AQ48" s="4"/>
      <c r="AR48" s="4"/>
      <c r="AS48" s="4"/>
      <c r="AT48" s="4"/>
      <c r="AU48" s="4"/>
      <c r="AV48" s="4"/>
      <c r="AW48" s="4"/>
      <c r="AX48" s="4"/>
      <c r="AY48" s="4"/>
      <c r="AZ48" s="4"/>
      <c r="BA48" s="4"/>
      <c r="BB48" s="4"/>
    </row>
    <row r="49" spans="1:54" x14ac:dyDescent="0.3">
      <c r="A49" s="4">
        <v>4210</v>
      </c>
      <c r="B49" s="4"/>
      <c r="C49" s="4">
        <v>50.603080920675588</v>
      </c>
      <c r="D49" s="4">
        <v>-1.0022778297038606E-29</v>
      </c>
      <c r="E49" s="4">
        <v>-3.8083525490870331E-27</v>
      </c>
      <c r="F49" s="4">
        <v>-7.214031739535282E-23</v>
      </c>
      <c r="G49" s="4">
        <v>-2.0183242446092551E-20</v>
      </c>
      <c r="H49" s="4">
        <v>-2.5351929741269936E-17</v>
      </c>
      <c r="I49" s="4">
        <v>-1.3202280412787386E-14</v>
      </c>
      <c r="J49" s="4">
        <v>-6.4987830658856673E-12</v>
      </c>
      <c r="K49" s="4">
        <v>-3.2885287977047265E-10</v>
      </c>
      <c r="L49" s="4">
        <v>-1.1905813170845933E-7</v>
      </c>
      <c r="M49" s="4">
        <v>-5.0012978350753865E-6</v>
      </c>
      <c r="N49" s="4">
        <v>-3.5634480558628239E-4</v>
      </c>
      <c r="O49" s="4">
        <v>-6.953998979949411E-3</v>
      </c>
      <c r="P49" s="4">
        <v>-0.19940661781707023</v>
      </c>
      <c r="Q49" s="4">
        <v>-0.97309673032473154</v>
      </c>
      <c r="R49" s="4">
        <v>-8.2885968539688744</v>
      </c>
      <c r="S49" s="4">
        <v>-31.567067633044651</v>
      </c>
      <c r="T49" s="4">
        <v>-67.950008718258331</v>
      </c>
      <c r="U49" s="4">
        <v>-49.454947011078694</v>
      </c>
      <c r="V49" s="4">
        <v>208.51343710152224</v>
      </c>
      <c r="W49" s="4">
        <v>26.105335656716719</v>
      </c>
      <c r="X49" s="4">
        <v>7.8498723321359591</v>
      </c>
      <c r="Y49" s="4">
        <v>11.968822600941339</v>
      </c>
      <c r="Z49" s="4">
        <v>5.1114968212570302</v>
      </c>
      <c r="AA49" s="4">
        <v>8.8429639462303367E-2</v>
      </c>
      <c r="AB49" s="4">
        <v>9.1195690079049086E-3</v>
      </c>
      <c r="AC49" s="4">
        <v>8.3154084470365188E-5</v>
      </c>
      <c r="AD49" s="4">
        <v>3.9858717795976407E-6</v>
      </c>
      <c r="AE49" s="4">
        <v>9.2569184771850653E-9</v>
      </c>
      <c r="AF49" s="4">
        <v>6.3716458076990868E-11</v>
      </c>
      <c r="AG49" s="4"/>
      <c r="AH49" s="4"/>
      <c r="AI49" s="4"/>
      <c r="AJ49" s="4"/>
      <c r="AK49" s="4"/>
      <c r="AL49" s="4"/>
      <c r="AM49" s="4"/>
      <c r="AN49" s="4"/>
      <c r="AO49" s="4"/>
      <c r="AP49" s="4"/>
      <c r="AQ49" s="4"/>
      <c r="AR49" s="4"/>
      <c r="AS49" s="4"/>
      <c r="AT49" s="4"/>
      <c r="AU49" s="4"/>
      <c r="AV49" s="4"/>
      <c r="AW49" s="4"/>
      <c r="AX49" s="4"/>
      <c r="AY49" s="4"/>
      <c r="AZ49" s="4"/>
      <c r="BA49" s="4"/>
      <c r="BB49" s="4"/>
    </row>
    <row r="50" spans="1:54" x14ac:dyDescent="0.3">
      <c r="A50" s="4">
        <v>4200</v>
      </c>
      <c r="B50" s="4"/>
      <c r="C50" s="4">
        <v>94.831828612930352</v>
      </c>
      <c r="D50" s="4">
        <v>-3.0078294125751094E-31</v>
      </c>
      <c r="E50" s="4">
        <v>-1.3795377685595114E-28</v>
      </c>
      <c r="F50" s="4">
        <v>-3.1575399980741574E-24</v>
      </c>
      <c r="G50" s="4">
        <v>-1.0685231363651346E-21</v>
      </c>
      <c r="H50" s="4">
        <v>-1.6250956338949534E-18</v>
      </c>
      <c r="I50" s="4">
        <v>-1.0257687797195603E-15</v>
      </c>
      <c r="J50" s="4">
        <v>-6.1267191707233317E-13</v>
      </c>
      <c r="K50" s="4">
        <v>-3.765831958675896E-11</v>
      </c>
      <c r="L50" s="4">
        <v>-1.6578868643349284E-8</v>
      </c>
      <c r="M50" s="4">
        <v>-8.478003740016813E-7</v>
      </c>
      <c r="N50" s="4">
        <v>-7.3617373183392442E-5</v>
      </c>
      <c r="O50" s="4">
        <v>-1.7528024090571323E-3</v>
      </c>
      <c r="P50" s="4">
        <v>-6.1393363327355385E-2</v>
      </c>
      <c r="Q50" s="4">
        <v>-0.36637190631944705</v>
      </c>
      <c r="R50" s="4">
        <v>-3.8206568915566455</v>
      </c>
      <c r="S50" s="4">
        <v>-17.835883177863277</v>
      </c>
      <c r="T50" s="4">
        <v>-47.116361980189041</v>
      </c>
      <c r="U50" s="4">
        <v>-42.134558150583835</v>
      </c>
      <c r="V50" s="4">
        <v>218.54459156199178</v>
      </c>
      <c r="W50" s="4">
        <v>33.701543515490002</v>
      </c>
      <c r="X50" s="4">
        <v>12.498020471759336</v>
      </c>
      <c r="Y50" s="4">
        <v>23.530892490985963</v>
      </c>
      <c r="Z50" s="4">
        <v>12.425111340205701</v>
      </c>
      <c r="AA50" s="4">
        <v>0.26612089662335275</v>
      </c>
      <c r="AB50" s="4">
        <v>3.4021621642587319E-2</v>
      </c>
      <c r="AC50" s="4">
        <v>3.85071667446079E-4</v>
      </c>
      <c r="AD50" s="4">
        <v>2.2942645513085792E-5</v>
      </c>
      <c r="AE50" s="4">
        <v>6.6319469736505968E-8</v>
      </c>
      <c r="AF50" s="4">
        <v>5.6895822949872197E-10</v>
      </c>
      <c r="AG50" s="4"/>
      <c r="AH50" s="4"/>
      <c r="AI50" s="4"/>
      <c r="AJ50" s="4"/>
      <c r="AK50" s="4"/>
      <c r="AL50" s="4"/>
      <c r="AM50" s="4"/>
      <c r="AN50" s="4"/>
      <c r="AO50" s="4"/>
      <c r="AP50" s="4"/>
      <c r="AQ50" s="4"/>
      <c r="AR50" s="4"/>
      <c r="AS50" s="4"/>
      <c r="AT50" s="4"/>
      <c r="AU50" s="4"/>
      <c r="AV50" s="4"/>
      <c r="AW50" s="4"/>
      <c r="AX50" s="4"/>
      <c r="AY50" s="4"/>
      <c r="AZ50" s="4"/>
      <c r="BA50" s="4"/>
      <c r="BB50" s="4"/>
    </row>
    <row r="51" spans="1:54" x14ac:dyDescent="0.3">
      <c r="A51" s="4">
        <v>4190</v>
      </c>
      <c r="B51" s="4"/>
      <c r="C51" s="4">
        <v>133.21114585590956</v>
      </c>
      <c r="D51" s="4">
        <v>-8.2357725162233813E-33</v>
      </c>
      <c r="E51" s="4">
        <v>-4.5615342250616187E-30</v>
      </c>
      <c r="F51" s="4">
        <v>-1.2621078047273881E-25</v>
      </c>
      <c r="G51" s="4">
        <v>-5.1683350162603921E-23</v>
      </c>
      <c r="H51" s="4">
        <v>-9.5217898379882768E-20</v>
      </c>
      <c r="I51" s="4">
        <v>-7.2882102452416383E-17</v>
      </c>
      <c r="J51" s="4">
        <v>-5.2843920118457657E-14</v>
      </c>
      <c r="K51" s="4">
        <v>-3.947232305518193E-12</v>
      </c>
      <c r="L51" s="4">
        <v>-2.11410060968177E-9</v>
      </c>
      <c r="M51" s="4">
        <v>-1.316688476463726E-7</v>
      </c>
      <c r="N51" s="4">
        <v>-1.3940344678170854E-5</v>
      </c>
      <c r="O51" s="4">
        <v>-4.0515438444714921E-4</v>
      </c>
      <c r="P51" s="4">
        <v>-1.7342018288463074E-2</v>
      </c>
      <c r="Q51" s="4">
        <v>-0.12661727898966549</v>
      </c>
      <c r="R51" s="4">
        <v>-1.6173694461962871</v>
      </c>
      <c r="S51" s="4">
        <v>-9.2593373546619784</v>
      </c>
      <c r="T51" s="4">
        <v>-30.032456988198245</v>
      </c>
      <c r="U51" s="4">
        <v>-33.015452210550187</v>
      </c>
      <c r="V51" s="4">
        <v>210.7709095104847</v>
      </c>
      <c r="W51" s="4">
        <v>40.054439610556891</v>
      </c>
      <c r="X51" s="4">
        <v>18.328093493318963</v>
      </c>
      <c r="Y51" s="4">
        <v>42.632535875905987</v>
      </c>
      <c r="Z51" s="4">
        <v>27.84761351164822</v>
      </c>
      <c r="AA51" s="4">
        <v>0.7387825824433889</v>
      </c>
      <c r="AB51" s="4">
        <v>0.11714254630715069</v>
      </c>
      <c r="AC51" s="4">
        <v>1.646653728474147E-3</v>
      </c>
      <c r="AD51" s="4">
        <v>1.2200891953545543E-4</v>
      </c>
      <c r="AE51" s="4">
        <v>4.3920791355739487E-7</v>
      </c>
      <c r="AF51" s="4">
        <v>4.6988509169511559E-9</v>
      </c>
      <c r="AG51" s="4"/>
      <c r="AH51" s="4"/>
      <c r="AI51" s="4"/>
      <c r="AJ51" s="4"/>
      <c r="AK51" s="4"/>
      <c r="AL51" s="4"/>
      <c r="AM51" s="4"/>
      <c r="AN51" s="4"/>
      <c r="AO51" s="4"/>
      <c r="AP51" s="4"/>
      <c r="AQ51" s="4"/>
      <c r="AR51" s="4"/>
      <c r="AS51" s="4"/>
      <c r="AT51" s="4"/>
      <c r="AU51" s="4"/>
      <c r="AV51" s="4"/>
      <c r="AW51" s="4"/>
      <c r="AX51" s="4"/>
      <c r="AY51" s="4"/>
      <c r="AZ51" s="4"/>
      <c r="BA51" s="4"/>
      <c r="BB51" s="4"/>
    </row>
    <row r="52" spans="1:54" x14ac:dyDescent="0.3">
      <c r="A52" s="4">
        <v>4180</v>
      </c>
      <c r="B52" s="4"/>
      <c r="C52" s="4">
        <v>169.97138113706541</v>
      </c>
      <c r="D52" s="4">
        <v>-2.0561969495426284E-34</v>
      </c>
      <c r="E52" s="4">
        <v>-1.3759202740485342E-31</v>
      </c>
      <c r="F52" s="4">
        <v>-4.604111751747098E-27</v>
      </c>
      <c r="G52" s="4">
        <v>-2.2825331411317842E-24</v>
      </c>
      <c r="H52" s="4">
        <v>-5.0963230211042765E-21</v>
      </c>
      <c r="I52" s="4">
        <v>-4.7325048906409753E-18</v>
      </c>
      <c r="J52" s="4">
        <v>-4.1673696892225371E-15</v>
      </c>
      <c r="K52" s="4">
        <v>-3.784658427228689E-13</v>
      </c>
      <c r="L52" s="4">
        <v>-2.4671872062220716E-10</v>
      </c>
      <c r="M52" s="4">
        <v>-1.8723314932230283E-8</v>
      </c>
      <c r="N52" s="4">
        <v>-2.4181471641693055E-6</v>
      </c>
      <c r="O52" s="4">
        <v>-8.5828408928066775E-5</v>
      </c>
      <c r="P52" s="4">
        <v>-4.4916808736679961E-3</v>
      </c>
      <c r="Q52" s="4">
        <v>-4.0142473463756892E-2</v>
      </c>
      <c r="R52" s="4">
        <v>-0.62839292448374617</v>
      </c>
      <c r="S52" s="4">
        <v>-4.4139539065121083</v>
      </c>
      <c r="T52" s="4">
        <v>-17.586748781858496</v>
      </c>
      <c r="U52" s="4">
        <v>-23.778577984383816</v>
      </c>
      <c r="V52" s="4">
        <v>186.93327344166278</v>
      </c>
      <c r="W52" s="4">
        <v>43.799954801724276</v>
      </c>
      <c r="X52" s="4">
        <v>24.741930722643886</v>
      </c>
      <c r="Y52" s="4">
        <v>71.138317062545013</v>
      </c>
      <c r="Z52" s="4">
        <v>57.511683868954336</v>
      </c>
      <c r="AA52" s="4">
        <v>1.8908489098219414</v>
      </c>
      <c r="AB52" s="4">
        <v>0.37204912614544833</v>
      </c>
      <c r="AC52" s="4">
        <v>6.4985105879979358E-3</v>
      </c>
      <c r="AD52" s="4">
        <v>5.9912405172780328E-4</v>
      </c>
      <c r="AE52" s="4">
        <v>2.687224980078826E-6</v>
      </c>
      <c r="AF52" s="4">
        <v>3.5870449434431284E-8</v>
      </c>
      <c r="AG52" s="4"/>
      <c r="AH52" s="4"/>
      <c r="AI52" s="4"/>
      <c r="AJ52" s="4"/>
      <c r="AK52" s="4"/>
      <c r="AL52" s="4"/>
      <c r="AM52" s="4"/>
      <c r="AN52" s="4"/>
      <c r="AO52" s="4"/>
      <c r="AP52" s="4"/>
      <c r="AQ52" s="4"/>
      <c r="AR52" s="4"/>
      <c r="AS52" s="4"/>
      <c r="AT52" s="4"/>
      <c r="AU52" s="4"/>
      <c r="AV52" s="4"/>
      <c r="AW52" s="4"/>
      <c r="AX52" s="4"/>
      <c r="AY52" s="4"/>
      <c r="AZ52" s="4"/>
      <c r="BA52" s="4"/>
      <c r="BB52" s="4"/>
    </row>
    <row r="53" spans="1:54" x14ac:dyDescent="0.3">
      <c r="A53" s="4">
        <v>4170</v>
      </c>
      <c r="B53" s="4"/>
      <c r="C53" s="4">
        <v>212.00233603717635</v>
      </c>
      <c r="D53" s="4">
        <v>-4.6779445268054926E-36</v>
      </c>
      <c r="E53" s="4">
        <v>-3.7835745055662289E-33</v>
      </c>
      <c r="F53" s="4">
        <v>-1.5318622509083633E-28</v>
      </c>
      <c r="G53" s="4">
        <v>-9.1982841998422937E-26</v>
      </c>
      <c r="H53" s="4">
        <v>-2.4901100025608558E-22</v>
      </c>
      <c r="I53" s="4">
        <v>-2.8066322753122108E-19</v>
      </c>
      <c r="J53" s="4">
        <v>-3.0030007644693691E-16</v>
      </c>
      <c r="K53" s="4">
        <v>-3.3173430151757218E-14</v>
      </c>
      <c r="L53" s="4">
        <v>-2.6333746937432413E-11</v>
      </c>
      <c r="M53" s="4">
        <v>-2.43625147728402E-9</v>
      </c>
      <c r="N53" s="4">
        <v>-3.8400629036786238E-7</v>
      </c>
      <c r="O53" s="4">
        <v>-1.6653130407177493E-5</v>
      </c>
      <c r="P53" s="4">
        <v>-1.0660597517657413E-3</v>
      </c>
      <c r="Q53" s="4">
        <v>-1.1667800298164362E-2</v>
      </c>
      <c r="R53" s="4">
        <v>-0.22394355447876188</v>
      </c>
      <c r="S53" s="4">
        <v>-1.9309617254771652</v>
      </c>
      <c r="T53" s="4">
        <v>-9.4556686780419454</v>
      </c>
      <c r="U53" s="4">
        <v>-15.731921315852329</v>
      </c>
      <c r="V53" s="4">
        <v>152.37241630397668</v>
      </c>
      <c r="W53" s="4">
        <v>44.041114851927958</v>
      </c>
      <c r="X53" s="4">
        <v>30.727743351918271</v>
      </c>
      <c r="Y53" s="4">
        <v>109.26152619685669</v>
      </c>
      <c r="Z53" s="4">
        <v>109.38234992702711</v>
      </c>
      <c r="AA53" s="4">
        <v>4.4590592119124413</v>
      </c>
      <c r="AB53" s="4">
        <v>1.0893230421152369</v>
      </c>
      <c r="AC53" s="4">
        <v>2.3654952647427941E-2</v>
      </c>
      <c r="AD53" s="4">
        <v>2.71497584096793E-3</v>
      </c>
      <c r="AE53" s="4">
        <v>1.5180661777993779E-5</v>
      </c>
      <c r="AF53" s="4">
        <v>2.5296764748307772E-7</v>
      </c>
      <c r="AG53" s="4"/>
      <c r="AH53" s="4"/>
      <c r="AI53" s="4"/>
      <c r="AJ53" s="4"/>
      <c r="AK53" s="4"/>
      <c r="AL53" s="4"/>
      <c r="AM53" s="4"/>
      <c r="AN53" s="4"/>
      <c r="AO53" s="4"/>
      <c r="AP53" s="4"/>
      <c r="AQ53" s="4"/>
      <c r="AR53" s="4"/>
      <c r="AS53" s="4"/>
      <c r="AT53" s="4"/>
      <c r="AU53" s="4"/>
      <c r="AV53" s="4"/>
      <c r="AW53" s="4"/>
      <c r="AX53" s="4"/>
      <c r="AY53" s="4"/>
      <c r="AZ53" s="4"/>
      <c r="BA53" s="4"/>
      <c r="BB53" s="4"/>
    </row>
    <row r="54" spans="1:54" x14ac:dyDescent="0.3">
      <c r="A54" s="4">
        <v>4160</v>
      </c>
      <c r="B54" s="4"/>
      <c r="C54" s="4">
        <v>266.67293645590985</v>
      </c>
      <c r="D54" s="4">
        <v>-9.6915612190421463E-38</v>
      </c>
      <c r="E54" s="4">
        <v>-9.478885429371763E-35</v>
      </c>
      <c r="F54" s="4">
        <v>-4.6455618904333458E-30</v>
      </c>
      <c r="G54" s="4">
        <v>-3.3801893754778966E-27</v>
      </c>
      <c r="H54" s="4">
        <v>-1.1100064134296054E-23</v>
      </c>
      <c r="I54" s="4">
        <v>-1.5192432949063495E-20</v>
      </c>
      <c r="J54" s="4">
        <v>-1.9760564426903362E-17</v>
      </c>
      <c r="K54" s="4">
        <v>-2.6564938179341153E-15</v>
      </c>
      <c r="L54" s="4">
        <v>-2.5691138180809798E-12</v>
      </c>
      <c r="M54" s="4">
        <v>-2.8988662258212437E-10</v>
      </c>
      <c r="N54" s="4">
        <v>-5.5791541046663849E-8</v>
      </c>
      <c r="O54" s="4">
        <v>-2.9576311939285588E-6</v>
      </c>
      <c r="P54" s="4">
        <v>-2.317115159771248E-4</v>
      </c>
      <c r="Q54" s="4">
        <v>-3.1072670276071261E-3</v>
      </c>
      <c r="R54" s="4">
        <v>-7.3158217933753822E-2</v>
      </c>
      <c r="S54" s="4">
        <v>-0.77473037845683268</v>
      </c>
      <c r="T54" s="4">
        <v>-4.6649287321554995</v>
      </c>
      <c r="U54" s="4">
        <v>-9.5552055354647383</v>
      </c>
      <c r="V54" s="4">
        <v>114.07909413296494</v>
      </c>
      <c r="W54" s="4">
        <v>40.6950695684544</v>
      </c>
      <c r="X54" s="4">
        <v>35.087045056646097</v>
      </c>
      <c r="Y54" s="4">
        <v>154.37306058959112</v>
      </c>
      <c r="Z54" s="4">
        <v>191.4704979805872</v>
      </c>
      <c r="AA54" s="4">
        <v>9.6831652012966671</v>
      </c>
      <c r="AB54" s="4">
        <v>2.9385047701905984</v>
      </c>
      <c r="AC54" s="4">
        <v>7.9372609571309968E-2</v>
      </c>
      <c r="AD54" s="4">
        <v>1.1347075328702622E-2</v>
      </c>
      <c r="AE54" s="4">
        <v>7.9136346570055487E-5</v>
      </c>
      <c r="AF54" s="4">
        <v>1.6471117828149061E-6</v>
      </c>
      <c r="AG54" s="4"/>
      <c r="AH54" s="4"/>
      <c r="AI54" s="4"/>
      <c r="AJ54" s="4"/>
      <c r="AK54" s="4"/>
      <c r="AL54" s="4"/>
      <c r="AM54" s="4"/>
      <c r="AN54" s="4"/>
      <c r="AO54" s="4"/>
      <c r="AP54" s="4"/>
      <c r="AQ54" s="4"/>
      <c r="AR54" s="4"/>
      <c r="AS54" s="4"/>
      <c r="AT54" s="4"/>
      <c r="AU54" s="4"/>
      <c r="AV54" s="4"/>
      <c r="AW54" s="4"/>
      <c r="AX54" s="4"/>
      <c r="AY54" s="4"/>
      <c r="AZ54" s="4"/>
      <c r="BA54" s="4"/>
      <c r="BB54" s="4"/>
    </row>
    <row r="55" spans="1:54" x14ac:dyDescent="0.3">
      <c r="A55" s="4">
        <v>4150</v>
      </c>
      <c r="B55" s="4"/>
      <c r="C55" s="4">
        <v>338.87708791910126</v>
      </c>
      <c r="D55" s="4">
        <v>-1.82724428373086E-39</v>
      </c>
      <c r="E55" s="4">
        <v>-2.1620963593315801E-36</v>
      </c>
      <c r="F55" s="4">
        <v>-1.2832735596540778E-31</v>
      </c>
      <c r="G55" s="4">
        <v>-1.13197923566339E-28</v>
      </c>
      <c r="H55" s="4">
        <v>-4.5112565223625645E-25</v>
      </c>
      <c r="I55" s="4">
        <v>-7.5013113769150654E-22</v>
      </c>
      <c r="J55" s="4">
        <v>-1.1866301981763275E-18</v>
      </c>
      <c r="K55" s="4">
        <v>-1.9422477241391448E-16</v>
      </c>
      <c r="L55" s="4">
        <v>-2.2894849760565255E-13</v>
      </c>
      <c r="M55" s="4">
        <v>-3.1522855068890766E-11</v>
      </c>
      <c r="N55" s="4">
        <v>-7.4113685522855027E-9</v>
      </c>
      <c r="O55" s="4">
        <v>-4.8050963309035639E-7</v>
      </c>
      <c r="P55" s="4">
        <v>-4.6092976055509933E-5</v>
      </c>
      <c r="Q55" s="4">
        <v>-7.5770744923901983E-4</v>
      </c>
      <c r="R55" s="4">
        <v>-2.1894479333910939E-2</v>
      </c>
      <c r="S55" s="4">
        <v>-0.2848979120274775</v>
      </c>
      <c r="T55" s="4">
        <v>-2.1104526260797329</v>
      </c>
      <c r="U55" s="4">
        <v>-5.3246794825930701</v>
      </c>
      <c r="V55" s="4">
        <v>78.400634011360438</v>
      </c>
      <c r="W55" s="4">
        <v>34.534965380940584</v>
      </c>
      <c r="X55" s="4">
        <v>36.814416296055455</v>
      </c>
      <c r="Y55" s="4">
        <v>200.51799719316719</v>
      </c>
      <c r="Z55" s="4">
        <v>308.28899648713406</v>
      </c>
      <c r="AA55" s="4">
        <v>19.351663376127469</v>
      </c>
      <c r="AB55" s="4">
        <v>7.2987698942181991</v>
      </c>
      <c r="AC55" s="4">
        <v>0.24535838558918768</v>
      </c>
      <c r="AD55" s="4">
        <v>4.3713250970514553E-2</v>
      </c>
      <c r="AE55" s="4">
        <v>3.8045514115601952E-4</v>
      </c>
      <c r="AF55" s="4">
        <v>9.8959105269957904E-6</v>
      </c>
      <c r="AG55" s="4"/>
      <c r="AH55" s="4"/>
      <c r="AI55" s="4"/>
      <c r="AJ55" s="4"/>
      <c r="AK55" s="4"/>
      <c r="AL55" s="4"/>
      <c r="AM55" s="4"/>
      <c r="AN55" s="4"/>
      <c r="AO55" s="4"/>
      <c r="AP55" s="4"/>
      <c r="AQ55" s="4"/>
      <c r="AR55" s="4"/>
      <c r="AS55" s="4"/>
      <c r="AT55" s="4"/>
      <c r="AU55" s="4"/>
      <c r="AV55" s="4"/>
      <c r="AW55" s="4"/>
      <c r="AX55" s="4"/>
      <c r="AY55" s="4"/>
      <c r="AZ55" s="4"/>
      <c r="BA55" s="4"/>
      <c r="BB55" s="4"/>
    </row>
    <row r="56" spans="1:54" x14ac:dyDescent="0.3">
      <c r="A56" s="4">
        <v>4140</v>
      </c>
      <c r="B56" s="4"/>
      <c r="C56" s="4">
        <v>428.40649414672635</v>
      </c>
      <c r="D56" s="4">
        <v>-3.1331202439088382E-41</v>
      </c>
      <c r="E56" s="4">
        <v>-4.4871434407208883E-38</v>
      </c>
      <c r="F56" s="4">
        <v>-3.2268443200948859E-33</v>
      </c>
      <c r="G56" s="4">
        <v>-3.452354533047849E-30</v>
      </c>
      <c r="H56" s="4">
        <v>-1.6705208158227656E-26</v>
      </c>
      <c r="I56" s="4">
        <v>-3.3762402536782928E-23</v>
      </c>
      <c r="J56" s="4">
        <v>-6.498645009868727E-20</v>
      </c>
      <c r="K56" s="4">
        <v>-1.2956808011406098E-17</v>
      </c>
      <c r="L56" s="4">
        <v>-1.862504029353393E-14</v>
      </c>
      <c r="M56" s="4">
        <v>-3.1306638165870575E-12</v>
      </c>
      <c r="N56" s="4">
        <v>-8.9960468862813872E-10</v>
      </c>
      <c r="O56" s="4">
        <v>-7.1366492138647121E-8</v>
      </c>
      <c r="P56" s="4">
        <v>-8.386257346041052E-6</v>
      </c>
      <c r="Q56" s="4">
        <v>-1.6907686912890176E-4</v>
      </c>
      <c r="R56" s="4">
        <v>-5.9990209443349799E-3</v>
      </c>
      <c r="S56" s="4">
        <v>-9.596614366674408E-2</v>
      </c>
      <c r="T56" s="4">
        <v>-0.87501079016792493</v>
      </c>
      <c r="U56" s="4">
        <v>-2.7206489321118816</v>
      </c>
      <c r="V56" s="4">
        <v>49.428606744551999</v>
      </c>
      <c r="W56" s="4">
        <v>26.899396501609715</v>
      </c>
      <c r="X56" s="4">
        <v>35.471344556126866</v>
      </c>
      <c r="Y56" s="4">
        <v>239.30263364540068</v>
      </c>
      <c r="Z56" s="4">
        <v>456.30106935071314</v>
      </c>
      <c r="AA56" s="4">
        <v>35.56992673442894</v>
      </c>
      <c r="AB56" s="4">
        <v>16.6826274938525</v>
      </c>
      <c r="AC56" s="4">
        <v>0.69831580121230541</v>
      </c>
      <c r="AD56" s="4">
        <v>0.15512922722115899</v>
      </c>
      <c r="AE56" s="4">
        <v>1.6858322398849697E-3</v>
      </c>
      <c r="AF56" s="4">
        <v>5.4828382080490447E-5</v>
      </c>
      <c r="AG56" s="4"/>
      <c r="AH56" s="4"/>
      <c r="AI56" s="4"/>
      <c r="AJ56" s="4"/>
      <c r="AK56" s="4"/>
      <c r="AL56" s="4"/>
      <c r="AM56" s="4"/>
      <c r="AN56" s="4"/>
      <c r="AO56" s="4"/>
      <c r="AP56" s="4"/>
      <c r="AQ56" s="4"/>
      <c r="AR56" s="4"/>
      <c r="AS56" s="4"/>
      <c r="AT56" s="4"/>
      <c r="AU56" s="4"/>
      <c r="AV56" s="4"/>
      <c r="AW56" s="4"/>
      <c r="AX56" s="4"/>
      <c r="AY56" s="4"/>
      <c r="AZ56" s="4"/>
      <c r="BA56" s="4"/>
      <c r="BB56" s="4"/>
    </row>
    <row r="57" spans="1:54" x14ac:dyDescent="0.3">
      <c r="A57" s="4">
        <v>4130</v>
      </c>
      <c r="B57" s="4"/>
      <c r="C57" s="4">
        <v>528.85940423502143</v>
      </c>
      <c r="D57" s="4">
        <v>-4.8825418519138108E-43</v>
      </c>
      <c r="E57" s="4">
        <v>-8.4674733852188807E-40</v>
      </c>
      <c r="F57" s="4">
        <v>-7.3812066776123897E-35</v>
      </c>
      <c r="G57" s="4">
        <v>-9.5826495624535857E-32</v>
      </c>
      <c r="H57" s="4">
        <v>-5.6325280774792605E-28</v>
      </c>
      <c r="I57" s="4">
        <v>-1.3843042008053731E-24</v>
      </c>
      <c r="J57" s="4">
        <v>-3.2436825797035448E-21</v>
      </c>
      <c r="K57" s="4">
        <v>-7.8814615996752591E-19</v>
      </c>
      <c r="L57" s="4">
        <v>-1.3822301577240165E-15</v>
      </c>
      <c r="M57" s="4">
        <v>-2.8377922543194725E-13</v>
      </c>
      <c r="N57" s="4">
        <v>-9.971236805589264E-11</v>
      </c>
      <c r="O57" s="4">
        <v>-9.6837276592669351E-9</v>
      </c>
      <c r="P57" s="4">
        <v>-1.3946677052431525E-6</v>
      </c>
      <c r="Q57" s="4">
        <v>-3.4502482867075916E-5</v>
      </c>
      <c r="R57" s="4">
        <v>-1.5039218754371749E-3</v>
      </c>
      <c r="S57" s="4">
        <v>-2.9591218580832791E-2</v>
      </c>
      <c r="T57" s="4">
        <v>-0.33226561408702177</v>
      </c>
      <c r="U57" s="4">
        <v>-1.2738115294553898</v>
      </c>
      <c r="V57" s="4">
        <v>28.570086105714449</v>
      </c>
      <c r="W57" s="4">
        <v>19.218633340242608</v>
      </c>
      <c r="X57" s="4">
        <v>31.365862690552394</v>
      </c>
      <c r="Y57" s="4">
        <v>262.23231162663564</v>
      </c>
      <c r="Z57" s="4">
        <v>620.46268964208059</v>
      </c>
      <c r="AA57" s="4">
        <v>60.09604101988986</v>
      </c>
      <c r="AB57" s="4">
        <v>35.067625138578528</v>
      </c>
      <c r="AC57" s="4">
        <v>1.8287749860184179</v>
      </c>
      <c r="AD57" s="4">
        <v>0.50683120273091631</v>
      </c>
      <c r="AE57" s="4">
        <v>6.880938095141495E-3</v>
      </c>
      <c r="AF57" s="4">
        <v>2.7997043737222008E-4</v>
      </c>
      <c r="AG57" s="4"/>
      <c r="AH57" s="4"/>
      <c r="AI57" s="4"/>
      <c r="AJ57" s="4"/>
      <c r="AK57" s="4"/>
      <c r="AL57" s="4"/>
      <c r="AM57" s="4"/>
      <c r="AN57" s="4"/>
      <c r="AO57" s="4"/>
      <c r="AP57" s="4"/>
      <c r="AQ57" s="4"/>
      <c r="AR57" s="4"/>
      <c r="AS57" s="4"/>
      <c r="AT57" s="4"/>
      <c r="AU57" s="4"/>
      <c r="AV57" s="4"/>
      <c r="AW57" s="4"/>
      <c r="AX57" s="4"/>
      <c r="AY57" s="4"/>
      <c r="AZ57" s="4"/>
      <c r="BA57" s="4"/>
      <c r="BB57" s="4"/>
    </row>
    <row r="58" spans="1:54" x14ac:dyDescent="0.3">
      <c r="A58" s="4">
        <v>4120</v>
      </c>
      <c r="B58" s="4"/>
      <c r="C58" s="4">
        <v>628.88010984664311</v>
      </c>
      <c r="D58" s="4">
        <v>-6.9105352775976823E-45</v>
      </c>
      <c r="E58" s="4">
        <v>-1.4518977106507818E-41</v>
      </c>
      <c r="F58" s="4">
        <v>-1.534891194598097E-36</v>
      </c>
      <c r="G58" s="4">
        <v>-2.4191365731259291E-33</v>
      </c>
      <c r="H58" s="4">
        <v>-1.7280814382078534E-29</v>
      </c>
      <c r="I58" s="4">
        <v>-5.1670781258891517E-26</v>
      </c>
      <c r="J58" s="4">
        <v>-1.4746068711109001E-22</v>
      </c>
      <c r="K58" s="4">
        <v>-4.3686384203978875E-20</v>
      </c>
      <c r="L58" s="4">
        <v>-9.3519784392343135E-17</v>
      </c>
      <c r="M58" s="4">
        <v>-2.3462556200556837E-14</v>
      </c>
      <c r="N58" s="4">
        <v>-1.0085761119250921E-11</v>
      </c>
      <c r="O58" s="4">
        <v>-1.1996818345385866E-9</v>
      </c>
      <c r="P58" s="4">
        <v>-2.1186674560175119E-7</v>
      </c>
      <c r="Q58" s="4">
        <v>-6.4345979979736174E-6</v>
      </c>
      <c r="R58" s="4">
        <v>-3.4474007327946139E-4</v>
      </c>
      <c r="S58" s="4">
        <v>-8.3473224629217069E-3</v>
      </c>
      <c r="T58" s="4">
        <v>-0.11548249040646599</v>
      </c>
      <c r="U58" s="4">
        <v>-0.54615650281498207</v>
      </c>
      <c r="V58" s="4">
        <v>15.130239826090062</v>
      </c>
      <c r="W58" s="4">
        <v>12.587129268067883</v>
      </c>
      <c r="X58" s="4">
        <v>25.438150566129888</v>
      </c>
      <c r="Y58" s="4">
        <v>263.693533368499</v>
      </c>
      <c r="Z58" s="4">
        <v>774.60736208681681</v>
      </c>
      <c r="AA58" s="4">
        <v>93.269387011505387</v>
      </c>
      <c r="AB58" s="4">
        <v>67.749896492390491</v>
      </c>
      <c r="AC58" s="4">
        <v>4.404133634662772</v>
      </c>
      <c r="AD58" s="4">
        <v>1.5235536330829682</v>
      </c>
      <c r="AE58" s="4">
        <v>2.5854727841689195E-2</v>
      </c>
      <c r="AF58" s="4">
        <v>1.3167816317648554E-3</v>
      </c>
      <c r="AG58" s="4"/>
      <c r="AH58" s="4"/>
      <c r="AI58" s="4"/>
      <c r="AJ58" s="4"/>
      <c r="AK58" s="4"/>
      <c r="AL58" s="4"/>
      <c r="AM58" s="4"/>
      <c r="AN58" s="4"/>
      <c r="AO58" s="4"/>
      <c r="AP58" s="4"/>
      <c r="AQ58" s="4"/>
      <c r="AR58" s="4"/>
      <c r="AS58" s="4"/>
      <c r="AT58" s="4"/>
      <c r="AU58" s="4"/>
      <c r="AV58" s="4"/>
      <c r="AW58" s="4"/>
      <c r="AX58" s="4"/>
      <c r="AY58" s="4"/>
      <c r="AZ58" s="4"/>
      <c r="BA58" s="4"/>
      <c r="BB58" s="4"/>
    </row>
    <row r="59" spans="1:54" x14ac:dyDescent="0.3">
      <c r="A59" s="4">
        <v>4110</v>
      </c>
      <c r="B59" s="4"/>
      <c r="C59" s="4">
        <v>715.60224910083662</v>
      </c>
      <c r="D59" s="4">
        <v>-8.8772812256846987E-47</v>
      </c>
      <c r="E59" s="4">
        <v>-2.2605975218369546E-43</v>
      </c>
      <c r="F59" s="4">
        <v>-2.8995889601933081E-38</v>
      </c>
      <c r="G59" s="4">
        <v>-5.5507089995470279E-35</v>
      </c>
      <c r="H59" s="4">
        <v>-4.8210777498018315E-31</v>
      </c>
      <c r="I59" s="4">
        <v>-1.7546259253724902E-27</v>
      </c>
      <c r="J59" s="4">
        <v>-6.1016635906139199E-24</v>
      </c>
      <c r="K59" s="4">
        <v>-2.2051024796348384E-21</v>
      </c>
      <c r="L59" s="4">
        <v>-5.7647486953271648E-18</v>
      </c>
      <c r="M59" s="4">
        <v>-1.7682163369682113E-15</v>
      </c>
      <c r="N59" s="4">
        <v>-9.3035022211893063E-13</v>
      </c>
      <c r="O59" s="4">
        <v>-1.3560688703063919E-10</v>
      </c>
      <c r="P59" s="4">
        <v>-2.9380706046620305E-8</v>
      </c>
      <c r="Q59" s="4">
        <v>-1.0960146157447234E-6</v>
      </c>
      <c r="R59" s="4">
        <v>-7.221041606968355E-5</v>
      </c>
      <c r="S59" s="4">
        <v>-2.152742649908326E-3</v>
      </c>
      <c r="T59" s="4">
        <v>-3.6713665731529066E-2</v>
      </c>
      <c r="U59" s="4">
        <v>-0.21430459916819961</v>
      </c>
      <c r="V59" s="4">
        <v>7.3367787311371364</v>
      </c>
      <c r="W59" s="4">
        <v>7.5523213132998617</v>
      </c>
      <c r="X59" s="4">
        <v>18.909889045118739</v>
      </c>
      <c r="Y59" s="4">
        <v>243.17271545540839</v>
      </c>
      <c r="Z59" s="4">
        <v>887.31531186557106</v>
      </c>
      <c r="AA59" s="4">
        <v>132.89006166082876</v>
      </c>
      <c r="AB59" s="4">
        <v>120.22704284269514</v>
      </c>
      <c r="AC59" s="4">
        <v>9.7473040044748807</v>
      </c>
      <c r="AD59" s="4">
        <v>4.2112397376694766</v>
      </c>
      <c r="AE59" s="4">
        <v>8.9376960453753651E-2</v>
      </c>
      <c r="AF59" s="4">
        <v>5.7009285132583023E-3</v>
      </c>
      <c r="AG59" s="4"/>
      <c r="AH59" s="4"/>
      <c r="AI59" s="4"/>
      <c r="AJ59" s="4"/>
      <c r="AK59" s="4"/>
      <c r="AL59" s="4"/>
      <c r="AM59" s="4"/>
      <c r="AN59" s="4"/>
      <c r="AO59" s="4"/>
      <c r="AP59" s="4"/>
      <c r="AQ59" s="4"/>
      <c r="AR59" s="4"/>
      <c r="AS59" s="4"/>
      <c r="AT59" s="4"/>
      <c r="AU59" s="4"/>
      <c r="AV59" s="4"/>
      <c r="AW59" s="4"/>
      <c r="AX59" s="4"/>
      <c r="AY59" s="4"/>
      <c r="AZ59" s="4"/>
      <c r="BA59" s="4"/>
      <c r="BB59" s="4"/>
    </row>
    <row r="60" spans="1:54" x14ac:dyDescent="0.3">
      <c r="A60" s="4">
        <v>4100</v>
      </c>
      <c r="B60" s="4"/>
      <c r="C60" s="4">
        <v>779.06146356513398</v>
      </c>
      <c r="D60" s="4">
        <v>-1.0343178609436409E-48</v>
      </c>
      <c r="E60" s="4">
        <v>-3.1938880309669811E-45</v>
      </c>
      <c r="F60" s="4">
        <v>-4.9728922932803865E-40</v>
      </c>
      <c r="G60" s="4">
        <v>-1.1567938710422941E-36</v>
      </c>
      <c r="H60" s="4">
        <v>-1.2222226105838384E-32</v>
      </c>
      <c r="I60" s="4">
        <v>-5.4169926304576025E-29</v>
      </c>
      <c r="J60" s="4">
        <v>-2.2964846536639016E-25</v>
      </c>
      <c r="K60" s="4">
        <v>-1.0128963208560678E-22</v>
      </c>
      <c r="L60" s="4">
        <v>-3.2353572101442402E-19</v>
      </c>
      <c r="M60" s="4">
        <v>-1.213872501674935E-16</v>
      </c>
      <c r="N60" s="4">
        <v>-7.8212413312229572E-14</v>
      </c>
      <c r="O60" s="4">
        <v>-1.397667584860369E-11</v>
      </c>
      <c r="P60" s="4">
        <v>-3.7169303719502707E-9</v>
      </c>
      <c r="Q60" s="4">
        <v>-1.7039292797095605E-7</v>
      </c>
      <c r="R60" s="4">
        <v>-1.3812332006526386E-5</v>
      </c>
      <c r="S60" s="4">
        <v>-5.0724314744524177E-4</v>
      </c>
      <c r="T60" s="4">
        <v>-1.0669396717542129E-2</v>
      </c>
      <c r="U60" s="4">
        <v>-7.6907561607593572E-2</v>
      </c>
      <c r="V60" s="4">
        <v>3.2554586442498681</v>
      </c>
      <c r="W60" s="4">
        <v>4.1486490502295723</v>
      </c>
      <c r="X60" s="4">
        <v>12.876314468432371</v>
      </c>
      <c r="Y60" s="4">
        <v>205.52156587081586</v>
      </c>
      <c r="Z60" s="4">
        <v>932.03227689619575</v>
      </c>
      <c r="AA60" s="4">
        <v>173.71340687180395</v>
      </c>
      <c r="AB60" s="4">
        <v>195.84631418629937</v>
      </c>
      <c r="AC60" s="4">
        <v>19.81353355261632</v>
      </c>
      <c r="AD60" s="4">
        <v>10.696722583910104</v>
      </c>
      <c r="AE60" s="4">
        <v>0.28407718929162568</v>
      </c>
      <c r="AF60" s="4">
        <v>2.2706004351731285E-2</v>
      </c>
      <c r="AG60" s="4"/>
      <c r="AH60" s="4"/>
      <c r="AI60" s="4"/>
      <c r="AJ60" s="4"/>
      <c r="AK60" s="4"/>
      <c r="AL60" s="4"/>
      <c r="AM60" s="4"/>
      <c r="AN60" s="4"/>
      <c r="AO60" s="4"/>
      <c r="AP60" s="4"/>
      <c r="AQ60" s="4"/>
      <c r="AR60" s="4"/>
      <c r="AS60" s="4"/>
      <c r="AT60" s="4"/>
      <c r="AU60" s="4"/>
      <c r="AV60" s="4"/>
      <c r="AW60" s="4"/>
      <c r="AX60" s="4"/>
      <c r="AY60" s="4"/>
      <c r="AZ60" s="4"/>
      <c r="BA60" s="4"/>
      <c r="BB60" s="4"/>
    </row>
    <row r="61" spans="1:54" x14ac:dyDescent="0.3">
      <c r="A61" s="4">
        <v>4090</v>
      </c>
      <c r="B61" s="4"/>
      <c r="C61" s="4">
        <v>815.67389732070546</v>
      </c>
      <c r="D61" s="4">
        <v>-1.0922810107839595E-50</v>
      </c>
      <c r="E61" s="4">
        <v>-4.0919177003691889E-47</v>
      </c>
      <c r="F61" s="4">
        <v>-7.7374524097984689E-42</v>
      </c>
      <c r="G61" s="4">
        <v>-2.1881974087367254E-38</v>
      </c>
      <c r="H61" s="4">
        <v>-2.8137616393165683E-34</v>
      </c>
      <c r="I61" s="4">
        <v>-1.5193985805876737E-30</v>
      </c>
      <c r="J61" s="4">
        <v>-7.8564928278843025E-27</v>
      </c>
      <c r="K61" s="4">
        <v>-4.2311885326464588E-24</v>
      </c>
      <c r="L61" s="4">
        <v>-1.652105323122399E-20</v>
      </c>
      <c r="M61" s="4">
        <v>-7.5857416637075876E-18</v>
      </c>
      <c r="N61" s="4">
        <v>-5.9883487392737358E-15</v>
      </c>
      <c r="O61" s="4">
        <v>-1.3126360158017882E-12</v>
      </c>
      <c r="P61" s="4">
        <v>-4.2868889996115891E-10</v>
      </c>
      <c r="Q61" s="4">
        <v>-2.4162451331869388E-8</v>
      </c>
      <c r="R61" s="4">
        <v>-2.4110612064037689E-6</v>
      </c>
      <c r="S61" s="4">
        <v>-1.0912781698676817E-4</v>
      </c>
      <c r="T61" s="4">
        <v>-2.8324980573597859E-3</v>
      </c>
      <c r="U61" s="4">
        <v>-2.5225976401795747E-2</v>
      </c>
      <c r="V61" s="4">
        <v>1.3209470643301531</v>
      </c>
      <c r="W61" s="4">
        <v>2.085094911528854</v>
      </c>
      <c r="X61" s="4">
        <v>8.0262898924704036</v>
      </c>
      <c r="Y61" s="4">
        <v>159.09252928423908</v>
      </c>
      <c r="Z61" s="4">
        <v>897.14844837229987</v>
      </c>
      <c r="AA61" s="4">
        <v>208.2027754885938</v>
      </c>
      <c r="AB61" s="4">
        <v>292.66741411147927</v>
      </c>
      <c r="AC61" s="4">
        <v>36.967486402507767</v>
      </c>
      <c r="AD61" s="4">
        <v>24.952172260278392</v>
      </c>
      <c r="AE61" s="4">
        <v>0.82966311357385747</v>
      </c>
      <c r="AF61" s="4">
        <v>8.3143778039266966E-2</v>
      </c>
      <c r="AG61" s="4"/>
      <c r="AH61" s="4"/>
      <c r="AI61" s="4"/>
      <c r="AJ61" s="4"/>
      <c r="AK61" s="4"/>
      <c r="AL61" s="4"/>
      <c r="AM61" s="4"/>
      <c r="AN61" s="4"/>
      <c r="AO61" s="4"/>
      <c r="AP61" s="4"/>
      <c r="AQ61" s="4"/>
      <c r="AR61" s="4"/>
      <c r="AS61" s="4"/>
      <c r="AT61" s="4"/>
      <c r="AU61" s="4"/>
      <c r="AV61" s="4"/>
      <c r="AW61" s="4"/>
      <c r="AX61" s="4"/>
      <c r="AY61" s="4"/>
      <c r="AZ61" s="4"/>
      <c r="BA61" s="4"/>
      <c r="BB61" s="4"/>
    </row>
    <row r="62" spans="1:54" x14ac:dyDescent="0.3">
      <c r="A62" s="4">
        <v>4080</v>
      </c>
      <c r="B62" s="4"/>
      <c r="C62" s="4">
        <v>829.2027806947134</v>
      </c>
      <c r="D62" s="4">
        <v>-1.0447658320220562E-52</v>
      </c>
      <c r="E62" s="4">
        <v>-4.7505485771487885E-49</v>
      </c>
      <c r="F62" s="4">
        <v>-1.091448286482787E-43</v>
      </c>
      <c r="G62" s="4">
        <v>-3.7544034934789134E-40</v>
      </c>
      <c r="H62" s="4">
        <v>-5.8783717772495141E-36</v>
      </c>
      <c r="I62" s="4">
        <v>-3.8692600700860578E-32</v>
      </c>
      <c r="J62" s="4">
        <v>-2.4414496117866276E-28</v>
      </c>
      <c r="K62" s="4">
        <v>-1.6062973969799513E-25</v>
      </c>
      <c r="L62" s="4">
        <v>-7.670663429654515E-22</v>
      </c>
      <c r="M62" s="4">
        <v>-4.3123841258437699E-19</v>
      </c>
      <c r="N62" s="4">
        <v>-4.173004224832205E-16</v>
      </c>
      <c r="O62" s="4">
        <v>-1.122566920243947E-13</v>
      </c>
      <c r="P62" s="4">
        <v>-4.5044933996553124E-11</v>
      </c>
      <c r="Q62" s="4">
        <v>-3.1231725856887845E-9</v>
      </c>
      <c r="R62" s="4">
        <v>-3.8382738903700896E-7</v>
      </c>
      <c r="S62" s="4">
        <v>-2.1422170400026154E-5</v>
      </c>
      <c r="T62" s="4">
        <v>-6.8648590897523094E-4</v>
      </c>
      <c r="U62" s="4">
        <v>-7.557602099019089E-3</v>
      </c>
      <c r="V62" s="4">
        <v>0.48982609703342772</v>
      </c>
      <c r="W62" s="4">
        <v>0.95819911067575836</v>
      </c>
      <c r="X62" s="4">
        <v>4.5769672959316088</v>
      </c>
      <c r="Y62" s="4">
        <v>112.72289996095697</v>
      </c>
      <c r="Z62" s="4">
        <v>790.85948597803383</v>
      </c>
      <c r="AA62" s="4">
        <v>228.6517070253889</v>
      </c>
      <c r="AB62" s="4">
        <v>400.96145518862647</v>
      </c>
      <c r="AC62" s="4">
        <v>63.267865028084913</v>
      </c>
      <c r="AD62" s="4">
        <v>53.42059381317037</v>
      </c>
      <c r="AE62" s="4">
        <v>2.2250965883433977</v>
      </c>
      <c r="AF62" s="4">
        <v>0.27973120035504889</v>
      </c>
      <c r="AG62" s="4"/>
      <c r="AH62" s="4"/>
      <c r="AI62" s="4"/>
      <c r="AJ62" s="4"/>
      <c r="AK62" s="4"/>
      <c r="AL62" s="4"/>
      <c r="AM62" s="4"/>
      <c r="AN62" s="4"/>
      <c r="AO62" s="4"/>
      <c r="AP62" s="4"/>
      <c r="AQ62" s="4"/>
      <c r="AR62" s="4"/>
      <c r="AS62" s="4"/>
      <c r="AT62" s="4"/>
      <c r="AU62" s="4"/>
      <c r="AV62" s="4"/>
      <c r="AW62" s="4"/>
      <c r="AX62" s="4"/>
      <c r="AY62" s="4"/>
      <c r="AZ62" s="4"/>
      <c r="BA62" s="4"/>
      <c r="BB62" s="4"/>
    </row>
    <row r="63" spans="1:54" x14ac:dyDescent="0.3">
      <c r="A63" s="4">
        <v>4070</v>
      </c>
      <c r="B63" s="4"/>
      <c r="C63" s="4">
        <v>828.89727144224514</v>
      </c>
      <c r="D63" s="4">
        <v>-9.0448835612305713E-55</v>
      </c>
      <c r="E63" s="4">
        <v>-4.9942069899741323E-51</v>
      </c>
      <c r="F63" s="4">
        <v>-1.3948317242834571E-45</v>
      </c>
      <c r="G63" s="4">
        <v>-5.8387190996453754E-42</v>
      </c>
      <c r="H63" s="4">
        <v>-1.1136759443900714E-37</v>
      </c>
      <c r="I63" s="4">
        <v>-8.939787198764794E-34</v>
      </c>
      <c r="J63" s="4">
        <v>-6.8868725482544737E-30</v>
      </c>
      <c r="K63" s="4">
        <v>-5.5380660165891928E-27</v>
      </c>
      <c r="L63" s="4">
        <v>-3.23602057933744E-23</v>
      </c>
      <c r="M63" s="4">
        <v>-2.2286185683048732E-20</v>
      </c>
      <c r="N63" s="4">
        <v>-2.6448830170602943E-17</v>
      </c>
      <c r="O63" s="4">
        <v>-8.7360335196867483E-15</v>
      </c>
      <c r="P63" s="4">
        <v>-4.3092657057558937E-12</v>
      </c>
      <c r="Q63" s="4">
        <v>-3.6772682912921696E-10</v>
      </c>
      <c r="R63" s="4">
        <v>-5.5687798425864909E-8</v>
      </c>
      <c r="S63" s="4">
        <v>-3.8345212233774471E-6</v>
      </c>
      <c r="T63" s="4">
        <v>-1.5178817231331699E-4</v>
      </c>
      <c r="U63" s="4">
        <v>-2.0667612366829925E-3</v>
      </c>
      <c r="V63" s="4">
        <v>0.16588073920231666</v>
      </c>
      <c r="W63" s="4">
        <v>0.40235729664673359</v>
      </c>
      <c r="X63" s="4">
        <v>2.3861458183734658</v>
      </c>
      <c r="Y63" s="4">
        <v>73.057050163862712</v>
      </c>
      <c r="Z63" s="4">
        <v>638.05009156122026</v>
      </c>
      <c r="AA63" s="4">
        <v>229.94133647407631</v>
      </c>
      <c r="AB63" s="4">
        <v>503.29339684967414</v>
      </c>
      <c r="AC63" s="4">
        <v>99.259922179505281</v>
      </c>
      <c r="AD63" s="4">
        <v>104.89992427150324</v>
      </c>
      <c r="AE63" s="4">
        <v>5.4764885091205571</v>
      </c>
      <c r="AF63" s="4">
        <v>0.8641714612950997</v>
      </c>
      <c r="AG63" s="4"/>
      <c r="AH63" s="4"/>
      <c r="AI63" s="4"/>
      <c r="AJ63" s="4"/>
      <c r="AK63" s="4"/>
      <c r="AL63" s="4"/>
      <c r="AM63" s="4"/>
      <c r="AN63" s="4"/>
      <c r="AO63" s="4"/>
      <c r="AP63" s="4"/>
      <c r="AQ63" s="4"/>
      <c r="AR63" s="4"/>
      <c r="AS63" s="4"/>
      <c r="AT63" s="4"/>
      <c r="AU63" s="4"/>
      <c r="AV63" s="4"/>
      <c r="AW63" s="4"/>
      <c r="AX63" s="4"/>
      <c r="AY63" s="4"/>
      <c r="AZ63" s="4"/>
      <c r="BA63" s="4"/>
      <c r="BB63" s="4"/>
    </row>
    <row r="64" spans="1:54" x14ac:dyDescent="0.3">
      <c r="A64" s="4">
        <v>4060</v>
      </c>
      <c r="B64" s="4"/>
      <c r="C64" s="4">
        <v>825.8785348987949</v>
      </c>
      <c r="D64" s="4">
        <v>-7.0823755863125332E-57</v>
      </c>
      <c r="E64" s="4">
        <v>-4.7510406144515605E-53</v>
      </c>
      <c r="F64" s="4">
        <v>-1.6137954987899938E-47</v>
      </c>
      <c r="G64" s="4">
        <v>-8.2245469779422783E-44</v>
      </c>
      <c r="H64" s="4">
        <v>-1.9120061359489635E-39</v>
      </c>
      <c r="I64" s="4">
        <v>-1.8726953926396407E-35</v>
      </c>
      <c r="J64" s="4">
        <v>-1.7621799295122884E-31</v>
      </c>
      <c r="K64" s="4">
        <v>-1.7328406864360139E-28</v>
      </c>
      <c r="L64" s="4">
        <v>-1.2395771711590671E-24</v>
      </c>
      <c r="M64" s="4">
        <v>-1.0462966248007058E-21</v>
      </c>
      <c r="N64" s="4">
        <v>-1.5236420169435278E-18</v>
      </c>
      <c r="O64" s="4">
        <v>-6.1823625518601296E-16</v>
      </c>
      <c r="P64" s="4">
        <v>-3.7507599705557035E-13</v>
      </c>
      <c r="Q64" s="4">
        <v>-3.9412606426519438E-11</v>
      </c>
      <c r="R64" s="4">
        <v>-7.3584739009308984E-9</v>
      </c>
      <c r="S64" s="4">
        <v>-6.2544172778193819E-7</v>
      </c>
      <c r="T64" s="4">
        <v>-3.0598349115027022E-5</v>
      </c>
      <c r="U64" s="4">
        <v>-5.1555785942715069E-4</v>
      </c>
      <c r="V64" s="4">
        <v>5.1269517703520825E-2</v>
      </c>
      <c r="W64" s="4">
        <v>0.1542790653287239</v>
      </c>
      <c r="X64" s="4">
        <v>1.1365441266045586</v>
      </c>
      <c r="Y64" s="4">
        <v>43.282746558628091</v>
      </c>
      <c r="Z64" s="4">
        <v>470.81130664991673</v>
      </c>
      <c r="AA64" s="4">
        <v>211.60781800102885</v>
      </c>
      <c r="AB64" s="4">
        <v>578.42723807937477</v>
      </c>
      <c r="AC64" s="4">
        <v>142.66317510565528</v>
      </c>
      <c r="AD64" s="4">
        <v>188.81158375817509</v>
      </c>
      <c r="AE64" s="4">
        <v>12.36185903756205</v>
      </c>
      <c r="AF64" s="4">
        <v>2.4497966866606307</v>
      </c>
      <c r="AG64" s="4"/>
      <c r="AH64" s="4"/>
      <c r="AI64" s="4"/>
      <c r="AJ64" s="4"/>
      <c r="AK64" s="4"/>
      <c r="AL64" s="4"/>
      <c r="AM64" s="4"/>
      <c r="AN64" s="4"/>
      <c r="AO64" s="4"/>
      <c r="AP64" s="4"/>
      <c r="AQ64" s="4"/>
      <c r="AR64" s="4"/>
      <c r="AS64" s="4"/>
      <c r="AT64" s="4"/>
      <c r="AU64" s="4"/>
      <c r="AV64" s="4"/>
      <c r="AW64" s="4"/>
      <c r="AX64" s="4"/>
      <c r="AY64" s="4"/>
      <c r="AZ64" s="4"/>
      <c r="BA64" s="4"/>
      <c r="BB64" s="4"/>
    </row>
    <row r="65" spans="1:54" x14ac:dyDescent="0.3">
      <c r="A65" s="4">
        <v>4050</v>
      </c>
      <c r="B65" s="4"/>
      <c r="C65" s="4">
        <v>829.42812703705772</v>
      </c>
      <c r="D65" s="4">
        <v>-5.0122953468381393E-59</v>
      </c>
      <c r="E65" s="4">
        <v>-4.0869673902542153E-55</v>
      </c>
      <c r="F65" s="4">
        <v>-1.6891765229901856E-49</v>
      </c>
      <c r="G65" s="4">
        <v>-1.0486172903211635E-45</v>
      </c>
      <c r="H65" s="4">
        <v>-2.9726397153515458E-41</v>
      </c>
      <c r="I65" s="4">
        <v>-3.5542072490924041E-37</v>
      </c>
      <c r="J65" s="4">
        <v>-4.0872233909070482E-33</v>
      </c>
      <c r="K65" s="4">
        <v>-4.9172754039385245E-30</v>
      </c>
      <c r="L65" s="4">
        <v>-4.3084189516380823E-26</v>
      </c>
      <c r="M65" s="4">
        <v>-4.4593736548245996E-23</v>
      </c>
      <c r="N65" s="4">
        <v>-7.9722058389740125E-20</v>
      </c>
      <c r="O65" s="4">
        <v>-3.9758877763634378E-17</v>
      </c>
      <c r="P65" s="4">
        <v>-2.9682220263201084E-14</v>
      </c>
      <c r="Q65" s="4">
        <v>-3.8426340576348545E-12</v>
      </c>
      <c r="R65" s="4">
        <v>-8.849601250689985E-10</v>
      </c>
      <c r="S65" s="4">
        <v>-9.2895852090602753E-8</v>
      </c>
      <c r="T65" s="4">
        <v>-5.6197715861566181E-6</v>
      </c>
      <c r="U65" s="4">
        <v>-1.1723392392673264E-4</v>
      </c>
      <c r="V65" s="4">
        <v>1.4452428245575787E-2</v>
      </c>
      <c r="W65" s="4">
        <v>5.3982294653267759E-2</v>
      </c>
      <c r="X65" s="4">
        <v>0.49426190687569294</v>
      </c>
      <c r="Y65" s="4">
        <v>23.425167363753062</v>
      </c>
      <c r="Z65" s="4">
        <v>317.53333183306438</v>
      </c>
      <c r="AA65" s="4">
        <v>178.08742255852164</v>
      </c>
      <c r="AB65" s="4">
        <v>608.27662868300615</v>
      </c>
      <c r="AC65" s="4">
        <v>187.72158629381019</v>
      </c>
      <c r="AD65" s="4">
        <v>311.30596770590932</v>
      </c>
      <c r="AE65" s="4">
        <v>25.574857953537279</v>
      </c>
      <c r="AF65" s="4">
        <v>6.3687180002190722</v>
      </c>
      <c r="AG65" s="4"/>
      <c r="AH65" s="4"/>
      <c r="AI65" s="4"/>
      <c r="AJ65" s="4"/>
      <c r="AK65" s="4"/>
      <c r="AL65" s="4"/>
      <c r="AM65" s="4"/>
      <c r="AN65" s="4"/>
      <c r="AO65" s="4"/>
      <c r="AP65" s="4"/>
      <c r="AQ65" s="4"/>
      <c r="AR65" s="4"/>
      <c r="AS65" s="4"/>
      <c r="AT65" s="4"/>
      <c r="AU65" s="4"/>
      <c r="AV65" s="4"/>
      <c r="AW65" s="4"/>
      <c r="AX65" s="4"/>
      <c r="AY65" s="4"/>
      <c r="AZ65" s="4"/>
      <c r="BA65" s="4"/>
      <c r="BB65" s="4"/>
    </row>
    <row r="66" spans="1:54" x14ac:dyDescent="0.3">
      <c r="A66" s="4">
        <v>4040</v>
      </c>
      <c r="B66" s="4"/>
      <c r="C66" s="4">
        <v>844.38821949740452</v>
      </c>
      <c r="D66" s="4">
        <v>-3.2037828942816502E-61</v>
      </c>
      <c r="E66" s="4">
        <v>-3.1768145045783099E-57</v>
      </c>
      <c r="F66" s="4">
        <v>-1.5984184880532723E-51</v>
      </c>
      <c r="G66" s="4">
        <v>-1.2092686029910263E-47</v>
      </c>
      <c r="H66" s="4">
        <v>-4.1822402569957189E-43</v>
      </c>
      <c r="I66" s="4">
        <v>-6.1072572028741161E-39</v>
      </c>
      <c r="J66" s="4">
        <v>-8.5871626603845214E-35</v>
      </c>
      <c r="K66" s="4">
        <v>-1.2645911912273916E-31</v>
      </c>
      <c r="L66" s="4">
        <v>-1.3578123543883302E-27</v>
      </c>
      <c r="M66" s="4">
        <v>-1.724206773386277E-24</v>
      </c>
      <c r="N66" s="4">
        <v>-3.7860881752470601E-21</v>
      </c>
      <c r="O66" s="4">
        <v>-2.3219448046630615E-18</v>
      </c>
      <c r="P66" s="4">
        <v>-2.1341962840339863E-15</v>
      </c>
      <c r="Q66" s="4">
        <v>-3.4057109477329013E-13</v>
      </c>
      <c r="R66" s="4">
        <v>-9.6798774342396636E-11</v>
      </c>
      <c r="S66" s="4">
        <v>-1.2555749257235584E-8</v>
      </c>
      <c r="T66" s="4">
        <v>-9.3973226463897393E-7</v>
      </c>
      <c r="U66" s="4">
        <v>-2.4284172259798948E-5</v>
      </c>
      <c r="V66" s="4">
        <v>3.7131901943779329E-3</v>
      </c>
      <c r="W66" s="4">
        <v>1.7224733590344737E-2</v>
      </c>
      <c r="X66" s="4">
        <v>0.19611835818642809</v>
      </c>
      <c r="Y66" s="4">
        <v>11.573793093789195</v>
      </c>
      <c r="Z66" s="4">
        <v>195.61094728037429</v>
      </c>
      <c r="AA66" s="4">
        <v>136.97266666828841</v>
      </c>
      <c r="AB66" s="4">
        <v>584.91375487767766</v>
      </c>
      <c r="AC66" s="4">
        <v>225.99327853396352</v>
      </c>
      <c r="AD66" s="4">
        <v>469.85883914610497</v>
      </c>
      <c r="AE66" s="4">
        <v>48.46268848025008</v>
      </c>
      <c r="AF66" s="4">
        <v>15.173439868947039</v>
      </c>
      <c r="AG66" s="4"/>
      <c r="AH66" s="4"/>
      <c r="AI66" s="4"/>
      <c r="AJ66" s="4"/>
      <c r="AK66" s="4"/>
      <c r="AL66" s="4"/>
      <c r="AM66" s="4"/>
      <c r="AN66" s="4"/>
      <c r="AO66" s="4"/>
      <c r="AP66" s="4"/>
      <c r="AQ66" s="4"/>
      <c r="AR66" s="4"/>
      <c r="AS66" s="4"/>
      <c r="AT66" s="4"/>
      <c r="AU66" s="4"/>
      <c r="AV66" s="4"/>
      <c r="AW66" s="4"/>
      <c r="AX66" s="4"/>
      <c r="AY66" s="4"/>
      <c r="AZ66" s="4"/>
      <c r="BA66" s="4"/>
      <c r="BB66" s="4"/>
    </row>
    <row r="67" spans="1:54" x14ac:dyDescent="0.3">
      <c r="A67" s="4">
        <v>4030</v>
      </c>
      <c r="B67" s="4"/>
      <c r="C67" s="4">
        <v>870.07058175578481</v>
      </c>
      <c r="D67" s="4">
        <v>-1.8481721626165608E-63</v>
      </c>
      <c r="E67" s="4">
        <v>-2.2296979341565207E-59</v>
      </c>
      <c r="F67" s="4">
        <v>-1.3664103763971678E-53</v>
      </c>
      <c r="G67" s="4">
        <v>-1.2604238231451193E-49</v>
      </c>
      <c r="H67" s="4">
        <v>-5.3208102740096499E-45</v>
      </c>
      <c r="I67" s="4">
        <v>-9.4943879735422935E-41</v>
      </c>
      <c r="J67" s="4">
        <v>-1.6330696485125969E-36</v>
      </c>
      <c r="K67" s="4">
        <v>-2.9452833499338196E-33</v>
      </c>
      <c r="L67" s="4">
        <v>-3.8773206714687608E-29</v>
      </c>
      <c r="M67" s="4">
        <v>-6.0435904338285959E-26</v>
      </c>
      <c r="N67" s="4">
        <v>-1.6308516061319654E-22</v>
      </c>
      <c r="O67" s="4">
        <v>-1.2305626625822094E-19</v>
      </c>
      <c r="P67" s="4">
        <v>-1.3932538277081763E-16</v>
      </c>
      <c r="Q67" s="4">
        <v>-2.742013477265862E-14</v>
      </c>
      <c r="R67" s="4">
        <v>-9.6233325427570977E-12</v>
      </c>
      <c r="S67" s="4">
        <v>-1.5432140995356315E-9</v>
      </c>
      <c r="T67" s="4">
        <v>-1.4297362965032257E-7</v>
      </c>
      <c r="U67" s="4">
        <v>-4.5792049767447033E-6</v>
      </c>
      <c r="V67" s="4">
        <v>8.689247279179698E-4</v>
      </c>
      <c r="W67" s="4">
        <v>5.0085898725213147E-3</v>
      </c>
      <c r="X67" s="4">
        <v>7.0953813169992608E-2</v>
      </c>
      <c r="Y67" s="4">
        <v>5.2167631980314635</v>
      </c>
      <c r="Z67" s="4">
        <v>109.99345383141691</v>
      </c>
      <c r="AA67" s="4">
        <v>96.215119274273647</v>
      </c>
      <c r="AB67" s="4">
        <v>513.96276842268355</v>
      </c>
      <c r="AC67" s="4">
        <v>248.7527046414437</v>
      </c>
      <c r="AD67" s="4">
        <v>648.75647540379759</v>
      </c>
      <c r="AE67" s="4">
        <v>84.058380449512626</v>
      </c>
      <c r="AF67" s="4">
        <v>33.108671686370997</v>
      </c>
      <c r="AG67" s="4"/>
      <c r="AH67" s="4"/>
      <c r="AI67" s="4"/>
      <c r="AJ67" s="4"/>
      <c r="AK67" s="4"/>
      <c r="AL67" s="4"/>
      <c r="AM67" s="4"/>
      <c r="AN67" s="4"/>
      <c r="AO67" s="4"/>
      <c r="AP67" s="4"/>
      <c r="AQ67" s="4"/>
      <c r="AR67" s="4"/>
      <c r="AS67" s="4"/>
      <c r="AT67" s="4"/>
      <c r="AU67" s="4"/>
      <c r="AV67" s="4"/>
      <c r="AW67" s="4"/>
      <c r="AX67" s="4"/>
      <c r="AY67" s="4"/>
      <c r="AZ67" s="4"/>
      <c r="BA67" s="4"/>
      <c r="BB67" s="4"/>
    </row>
    <row r="68" spans="1:54" x14ac:dyDescent="0.3">
      <c r="A68" s="4">
        <v>4020</v>
      </c>
      <c r="B68" s="4"/>
      <c r="C68" s="4">
        <v>900.62919998431846</v>
      </c>
      <c r="D68" s="4">
        <v>-9.6151498032073623E-66</v>
      </c>
      <c r="E68" s="4">
        <v>-1.4120370907783704E-61</v>
      </c>
      <c r="F68" s="4">
        <v>-1.0544608719286145E-55</v>
      </c>
      <c r="G68" s="4">
        <v>-1.1865417134238118E-51</v>
      </c>
      <c r="H68" s="4">
        <v>-6.1169403234728006E-47</v>
      </c>
      <c r="I68" s="4">
        <v>-1.3344173865655066E-42</v>
      </c>
      <c r="J68" s="4">
        <v>-2.8091902663274276E-38</v>
      </c>
      <c r="K68" s="4">
        <v>-6.2078916786155481E-35</v>
      </c>
      <c r="L68" s="4">
        <v>-1.0024984657992203E-30</v>
      </c>
      <c r="M68" s="4">
        <v>-1.9190305436356096E-27</v>
      </c>
      <c r="N68" s="4">
        <v>-6.3671012521865879E-24</v>
      </c>
      <c r="O68" s="4">
        <v>-5.9140206577976973E-21</v>
      </c>
      <c r="P68" s="4">
        <v>-8.252363439956659E-18</v>
      </c>
      <c r="Q68" s="4">
        <v>-2.0040559939154425E-15</v>
      </c>
      <c r="R68" s="4">
        <v>-8.689347349595042E-13</v>
      </c>
      <c r="S68" s="4">
        <v>-1.7236324034862351E-10</v>
      </c>
      <c r="T68" s="4">
        <v>-1.9777568535728343E-8</v>
      </c>
      <c r="U68" s="4">
        <v>-7.8551341155800295E-7</v>
      </c>
      <c r="V68" s="4">
        <v>1.8507460197549519E-4</v>
      </c>
      <c r="W68" s="4">
        <v>1.3263021994463914E-3</v>
      </c>
      <c r="X68" s="4">
        <v>2.3390152626206438E-2</v>
      </c>
      <c r="Y68" s="4">
        <v>2.1436977136076423</v>
      </c>
      <c r="Z68" s="4">
        <v>56.417802187970089</v>
      </c>
      <c r="AA68" s="4">
        <v>61.683422811117005</v>
      </c>
      <c r="AB68" s="4">
        <v>412.40961514218759</v>
      </c>
      <c r="AC68" s="4">
        <v>250.17301327442237</v>
      </c>
      <c r="AD68" s="4">
        <v>818.91899721753055</v>
      </c>
      <c r="AE68" s="4">
        <v>133.36613931939223</v>
      </c>
      <c r="AF68" s="4">
        <v>66.120811578446194</v>
      </c>
      <c r="AG68" s="4"/>
      <c r="AH68" s="4"/>
      <c r="AI68" s="4"/>
      <c r="AJ68" s="4"/>
      <c r="AK68" s="4"/>
      <c r="AL68" s="4"/>
      <c r="AM68" s="4"/>
      <c r="AN68" s="4"/>
      <c r="AO68" s="4"/>
      <c r="AP68" s="4"/>
      <c r="AQ68" s="4"/>
      <c r="AR68" s="4"/>
      <c r="AS68" s="4"/>
      <c r="AT68" s="4"/>
      <c r="AU68" s="4"/>
      <c r="AV68" s="4"/>
      <c r="AW68" s="4"/>
      <c r="AX68" s="4"/>
      <c r="AY68" s="4"/>
      <c r="AZ68" s="4"/>
      <c r="BA68" s="4"/>
      <c r="BB68" s="4"/>
    </row>
    <row r="69" spans="1:54" x14ac:dyDescent="0.3">
      <c r="A69" s="4">
        <v>4010</v>
      </c>
      <c r="B69" s="4"/>
      <c r="C69" s="4">
        <v>926.78424690902352</v>
      </c>
      <c r="D69" s="4">
        <v>-4.5079850335129546E-68</v>
      </c>
      <c r="E69" s="4">
        <v>-8.0625352624586182E-64</v>
      </c>
      <c r="F69" s="4">
        <v>-7.3403886854525622E-58</v>
      </c>
      <c r="G69" s="4">
        <v>-1.0081001410614857E-53</v>
      </c>
      <c r="H69" s="4">
        <v>-6.34981592708121E-49</v>
      </c>
      <c r="I69" s="4">
        <v>-1.6943541361064101E-44</v>
      </c>
      <c r="J69" s="4">
        <v>-4.3678120332048921E-40</v>
      </c>
      <c r="K69" s="4">
        <v>-1.1832793725184225E-36</v>
      </c>
      <c r="L69" s="4">
        <v>-2.3452159380001677E-32</v>
      </c>
      <c r="M69" s="4">
        <v>-5.5161761633419482E-29</v>
      </c>
      <c r="N69" s="4">
        <v>-2.2514481934068435E-25</v>
      </c>
      <c r="O69" s="4">
        <v>-2.5756071306679174E-22</v>
      </c>
      <c r="P69" s="4">
        <v>-4.4316984423724084E-19</v>
      </c>
      <c r="Q69" s="4">
        <v>-1.3286826051047568E-16</v>
      </c>
      <c r="R69" s="4">
        <v>-7.1211256683243722E-14</v>
      </c>
      <c r="S69" s="4">
        <v>-1.7482074806302612E-11</v>
      </c>
      <c r="T69" s="4">
        <v>-2.4857136042540621E-9</v>
      </c>
      <c r="U69" s="4">
        <v>-1.2249295290659585E-7</v>
      </c>
      <c r="V69" s="4">
        <v>3.5854163624761736E-5</v>
      </c>
      <c r="W69" s="4">
        <v>3.1961940311353115E-4</v>
      </c>
      <c r="X69" s="4">
        <v>7.0208700749483906E-3</v>
      </c>
      <c r="Y69" s="4">
        <v>0.8025366968868124</v>
      </c>
      <c r="Z69" s="4">
        <v>26.378144352131471</v>
      </c>
      <c r="AA69" s="4">
        <v>36.067300983993995</v>
      </c>
      <c r="AB69" s="4">
        <v>301.98732248797648</v>
      </c>
      <c r="AC69" s="4">
        <v>229.73130932091394</v>
      </c>
      <c r="AD69" s="4">
        <v>944.39365670492612</v>
      </c>
      <c r="AE69" s="4">
        <v>193.42399622580947</v>
      </c>
      <c r="AF69" s="4">
        <v>120.77685082676315</v>
      </c>
      <c r="AG69" s="4"/>
      <c r="AH69" s="4"/>
      <c r="AI69" s="4"/>
      <c r="AJ69" s="4"/>
      <c r="AK69" s="4"/>
      <c r="AL69" s="4"/>
      <c r="AM69" s="4"/>
      <c r="AN69" s="4"/>
      <c r="AO69" s="4"/>
      <c r="AP69" s="4"/>
      <c r="AQ69" s="4"/>
      <c r="AR69" s="4"/>
      <c r="AS69" s="4"/>
      <c r="AT69" s="4"/>
      <c r="AU69" s="4"/>
      <c r="AV69" s="4"/>
      <c r="AW69" s="4"/>
      <c r="AX69" s="4"/>
      <c r="AY69" s="4"/>
      <c r="AZ69" s="4"/>
      <c r="BA69" s="4"/>
      <c r="BB69" s="4"/>
    </row>
    <row r="70" spans="1:54" x14ac:dyDescent="0.3">
      <c r="A70" s="4">
        <v>4000</v>
      </c>
      <c r="B70" s="4"/>
      <c r="C70" s="4">
        <v>938.54913849141462</v>
      </c>
      <c r="D70" s="4">
        <v>-1.9032562050000118E-70</v>
      </c>
      <c r="E70" s="4">
        <v>-4.1476228507462562E-66</v>
      </c>
      <c r="F70" s="4">
        <v>-4.6060075301345583E-60</v>
      </c>
      <c r="G70" s="4">
        <v>-7.7242691643109735E-56</v>
      </c>
      <c r="H70" s="4">
        <v>-5.9475531396627945E-51</v>
      </c>
      <c r="I70" s="4">
        <v>-1.9421618835406223E-46</v>
      </c>
      <c r="J70" s="4">
        <v>-6.1338778246856392E-42</v>
      </c>
      <c r="K70" s="4">
        <v>-2.0381668221816072E-38</v>
      </c>
      <c r="L70" s="4">
        <v>-4.9603616402180734E-34</v>
      </c>
      <c r="M70" s="4">
        <v>-1.4343301063405097E-30</v>
      </c>
      <c r="N70" s="4">
        <v>-7.2054570911076968E-27</v>
      </c>
      <c r="O70" s="4">
        <v>-1.0157379664277384E-23</v>
      </c>
      <c r="P70" s="4">
        <v>-2.1562273223995034E-20</v>
      </c>
      <c r="Q70" s="4">
        <v>-7.9853443685820571E-18</v>
      </c>
      <c r="R70" s="4">
        <v>-5.2929888948751638E-15</v>
      </c>
      <c r="S70" s="4">
        <v>-1.6090269486575106E-12</v>
      </c>
      <c r="T70" s="4">
        <v>-2.8365068317322688E-10</v>
      </c>
      <c r="U70" s="4">
        <v>-1.7352300649817669E-8</v>
      </c>
      <c r="V70" s="4">
        <v>6.3132955706846635E-6</v>
      </c>
      <c r="W70" s="4">
        <v>7.0046144476478375E-5</v>
      </c>
      <c r="X70" s="4">
        <v>1.9175530627727677E-3</v>
      </c>
      <c r="Y70" s="4">
        <v>0.27352963681176984</v>
      </c>
      <c r="Z70" s="4">
        <v>11.23444096544865</v>
      </c>
      <c r="AA70" s="4">
        <v>19.221198442177077</v>
      </c>
      <c r="AB70" s="4">
        <v>201.65744580541457</v>
      </c>
      <c r="AC70" s="4">
        <v>192.49126653651396</v>
      </c>
      <c r="AD70" s="4">
        <v>994.31344793833807</v>
      </c>
      <c r="AE70" s="4">
        <v>256.26059594775899</v>
      </c>
      <c r="AF70" s="4">
        <v>201.644357815501</v>
      </c>
      <c r="AG70" s="4"/>
      <c r="AH70" s="4"/>
      <c r="AI70" s="4"/>
      <c r="AJ70" s="4"/>
      <c r="AK70" s="4"/>
      <c r="AL70" s="4"/>
      <c r="AM70" s="4"/>
      <c r="AN70" s="4"/>
      <c r="AO70" s="4"/>
      <c r="AP70" s="4"/>
      <c r="AQ70" s="4"/>
      <c r="AR70" s="4"/>
      <c r="AS70" s="4"/>
      <c r="AT70" s="4"/>
      <c r="AU70" s="4"/>
      <c r="AV70" s="4"/>
      <c r="AW70" s="4"/>
      <c r="AX70" s="4"/>
      <c r="AY70" s="4"/>
      <c r="AZ70" s="4"/>
      <c r="BA70" s="4"/>
      <c r="BB70" s="4"/>
    </row>
    <row r="71" spans="1:54" x14ac:dyDescent="0.3">
      <c r="A71" s="4">
        <v>3990</v>
      </c>
      <c r="B71" s="4"/>
      <c r="C71" s="4">
        <v>928.05006598904117</v>
      </c>
      <c r="D71" s="4">
        <v>-7.230579212768296E-73</v>
      </c>
      <c r="E71" s="4">
        <v>-1.9208910623285508E-68</v>
      </c>
      <c r="F71" s="4">
        <v>-2.6032869490149841E-62</v>
      </c>
      <c r="G71" s="4">
        <v>-5.3335954983647436E-58</v>
      </c>
      <c r="H71" s="4">
        <v>-5.0227644414352783E-53</v>
      </c>
      <c r="I71" s="4">
        <v>-2.0082301613780121E-48</v>
      </c>
      <c r="J71" s="4">
        <v>-7.7745251527615002E-44</v>
      </c>
      <c r="K71" s="4">
        <v>-3.1701638781427647E-40</v>
      </c>
      <c r="L71" s="4">
        <v>-9.4788711450470553E-36</v>
      </c>
      <c r="M71" s="4">
        <v>-3.3712996790012731E-32</v>
      </c>
      <c r="N71" s="4">
        <v>-2.0855669032738764E-28</v>
      </c>
      <c r="O71" s="4">
        <v>-3.6247144995453149E-25</v>
      </c>
      <c r="P71" s="4">
        <v>-9.4981119092578743E-22</v>
      </c>
      <c r="Q71" s="4">
        <v>-4.3472448461652543E-19</v>
      </c>
      <c r="R71" s="4">
        <v>-3.5655978184546875E-16</v>
      </c>
      <c r="S71" s="4">
        <v>-1.3429042149169046E-13</v>
      </c>
      <c r="T71" s="4">
        <v>-2.9367139914195063E-11</v>
      </c>
      <c r="U71" s="4">
        <v>-2.231429520241535E-9</v>
      </c>
      <c r="V71" s="4">
        <v>1.0096928282446914E-6</v>
      </c>
      <c r="W71" s="4">
        <v>1.3950502208182809E-5</v>
      </c>
      <c r="X71" s="4">
        <v>4.7620907234820594E-4</v>
      </c>
      <c r="Y71" s="4">
        <v>8.4816130726198938E-2</v>
      </c>
      <c r="Z71" s="4">
        <v>4.3554746809126863</v>
      </c>
      <c r="AA71" s="4">
        <v>9.3297022925994764</v>
      </c>
      <c r="AB71" s="4">
        <v>122.71722364757971</v>
      </c>
      <c r="AC71" s="4">
        <v>147.06668485286224</v>
      </c>
      <c r="AD71" s="4">
        <v>955.1118968189611</v>
      </c>
      <c r="AE71" s="4">
        <v>309.93014322739458</v>
      </c>
      <c r="AF71" s="4">
        <v>307.50369916003973</v>
      </c>
      <c r="AG71" s="4"/>
      <c r="AH71" s="4"/>
      <c r="AI71" s="4"/>
      <c r="AJ71" s="4"/>
      <c r="AK71" s="4"/>
      <c r="AL71" s="4"/>
      <c r="AM71" s="4"/>
      <c r="AN71" s="4"/>
      <c r="AO71" s="4"/>
      <c r="AP71" s="4"/>
      <c r="AQ71" s="4"/>
      <c r="AR71" s="4"/>
      <c r="AS71" s="4"/>
      <c r="AT71" s="4"/>
      <c r="AU71" s="4"/>
      <c r="AV71" s="4"/>
      <c r="AW71" s="4"/>
      <c r="AX71" s="4"/>
      <c r="AY71" s="4"/>
      <c r="AZ71" s="4"/>
      <c r="BA71" s="4"/>
      <c r="BB71" s="4"/>
    </row>
    <row r="72" spans="1:54" x14ac:dyDescent="0.3">
      <c r="A72" s="4">
        <v>3980</v>
      </c>
      <c r="B72" s="4"/>
      <c r="C72" s="4">
        <v>891.25713351358445</v>
      </c>
      <c r="D72" s="4">
        <v>-2.4699017053137731E-75</v>
      </c>
      <c r="E72" s="4">
        <v>-8.003000422466439E-71</v>
      </c>
      <c r="F72" s="4">
        <v>-1.3242900446896069E-64</v>
      </c>
      <c r="G72" s="4">
        <v>-3.3163828415017273E-60</v>
      </c>
      <c r="H72" s="4">
        <v>-3.8216298986452447E-55</v>
      </c>
      <c r="I72" s="4">
        <v>-1.8718175544070328E-50</v>
      </c>
      <c r="J72" s="4">
        <v>-8.8870260874849831E-46</v>
      </c>
      <c r="K72" s="4">
        <v>-4.4492890830980692E-42</v>
      </c>
      <c r="L72" s="4">
        <v>-1.6352763993136547E-37</v>
      </c>
      <c r="M72" s="4">
        <v>-7.1575185626583119E-34</v>
      </c>
      <c r="N72" s="4">
        <v>-5.4554487714408951E-30</v>
      </c>
      <c r="O72" s="4">
        <v>-1.1696013739444837E-26</v>
      </c>
      <c r="P72" s="4">
        <v>-3.7851356880901373E-23</v>
      </c>
      <c r="Q72" s="4">
        <v>-2.142233446617592E-20</v>
      </c>
      <c r="R72" s="4">
        <v>-2.1753448750795179E-17</v>
      </c>
      <c r="S72" s="4">
        <v>-1.0156045754215251E-14</v>
      </c>
      <c r="T72" s="4">
        <v>-2.7565903713850203E-12</v>
      </c>
      <c r="U72" s="4">
        <v>-2.6030247988785928E-10</v>
      </c>
      <c r="V72" s="4">
        <v>1.4656460465018658E-7</v>
      </c>
      <c r="W72" s="4">
        <v>2.5231391759976675E-6</v>
      </c>
      <c r="X72" s="4">
        <v>1.074568761500036E-4</v>
      </c>
      <c r="Y72" s="4">
        <v>2.3910065324361802E-2</v>
      </c>
      <c r="Z72" s="4">
        <v>1.5359999355201828</v>
      </c>
      <c r="AA72" s="4">
        <v>4.121655725421034</v>
      </c>
      <c r="AB72" s="4">
        <v>68.007971095277682</v>
      </c>
      <c r="AC72" s="4">
        <v>102.38317040300892</v>
      </c>
      <c r="AD72" s="4">
        <v>836.46100521921301</v>
      </c>
      <c r="AE72" s="4">
        <v>341.94587962964988</v>
      </c>
      <c r="AF72" s="4">
        <v>428.03456482743695</v>
      </c>
      <c r="AG72" s="4"/>
      <c r="AH72" s="4"/>
      <c r="AI72" s="4"/>
      <c r="AJ72" s="4"/>
      <c r="AK72" s="4"/>
      <c r="AL72" s="4"/>
      <c r="AM72" s="4"/>
      <c r="AN72" s="4"/>
      <c r="AO72" s="4"/>
      <c r="AP72" s="4"/>
      <c r="AQ72" s="4"/>
      <c r="AR72" s="4"/>
      <c r="AS72" s="4"/>
      <c r="AT72" s="4"/>
      <c r="AU72" s="4"/>
      <c r="AV72" s="4"/>
      <c r="AW72" s="4"/>
      <c r="AX72" s="4"/>
      <c r="AY72" s="4"/>
      <c r="AZ72" s="4"/>
      <c r="BA72" s="4"/>
      <c r="BB72" s="4"/>
    </row>
    <row r="73" spans="1:54" x14ac:dyDescent="0.3">
      <c r="A73" s="4">
        <v>3970</v>
      </c>
      <c r="B73" s="4"/>
      <c r="C73" s="4">
        <v>828.07688630236669</v>
      </c>
      <c r="D73" s="4">
        <v>-7.580253059000806E-78</v>
      </c>
      <c r="E73" s="4">
        <v>-2.997211301686169E-73</v>
      </c>
      <c r="F73" s="4">
        <v>-6.0586622979263148E-67</v>
      </c>
      <c r="G73" s="4">
        <v>-1.8555007405339207E-62</v>
      </c>
      <c r="H73" s="4">
        <v>-2.617742121622798E-57</v>
      </c>
      <c r="I73" s="4">
        <v>-1.57147585715716E-52</v>
      </c>
      <c r="J73" s="4">
        <v>-9.1549542677839666E-48</v>
      </c>
      <c r="K73" s="4">
        <v>-5.6304213253748188E-44</v>
      </c>
      <c r="L73" s="4">
        <v>-2.545027921980144E-39</v>
      </c>
      <c r="M73" s="4">
        <v>-1.371580126257746E-35</v>
      </c>
      <c r="N73" s="4">
        <v>-1.2887196277909098E-31</v>
      </c>
      <c r="O73" s="4">
        <v>-3.4099881335654383E-28</v>
      </c>
      <c r="P73" s="4">
        <v>-1.3636634427421863E-24</v>
      </c>
      <c r="Q73" s="4">
        <v>-9.5484534811850617E-22</v>
      </c>
      <c r="R73" s="4">
        <v>-1.2010767090207241E-18</v>
      </c>
      <c r="S73" s="4">
        <v>-6.9548184874598388E-16</v>
      </c>
      <c r="T73" s="4">
        <v>-2.3442310267276333E-13</v>
      </c>
      <c r="U73" s="4">
        <v>-2.752507272130995E-11</v>
      </c>
      <c r="V73" s="4">
        <v>1.9295801509555945E-8</v>
      </c>
      <c r="W73" s="4">
        <v>4.1412051467127331E-7</v>
      </c>
      <c r="X73" s="4">
        <v>2.2016417640888023E-5</v>
      </c>
      <c r="Y73" s="4">
        <v>6.1235342496535009E-3</v>
      </c>
      <c r="Z73" s="4">
        <v>0.49239161262558684</v>
      </c>
      <c r="AA73" s="4">
        <v>1.6560961397053557</v>
      </c>
      <c r="AB73" s="4">
        <v>34.2982289051862</v>
      </c>
      <c r="AC73" s="4">
        <v>64.900737385446661</v>
      </c>
      <c r="AD73" s="4">
        <v>667.41304522513462</v>
      </c>
      <c r="AE73" s="4">
        <v>343.9226768137346</v>
      </c>
      <c r="AF73" s="4">
        <v>543.4644505388444</v>
      </c>
      <c r="AG73" s="4"/>
      <c r="AH73" s="4"/>
      <c r="AI73" s="4"/>
      <c r="AJ73" s="4"/>
      <c r="AK73" s="4"/>
      <c r="AL73" s="4"/>
      <c r="AM73" s="4"/>
      <c r="AN73" s="4"/>
      <c r="AO73" s="4"/>
      <c r="AP73" s="4"/>
      <c r="AQ73" s="4"/>
      <c r="AR73" s="4"/>
      <c r="AS73" s="4"/>
      <c r="AT73" s="4"/>
      <c r="AU73" s="4"/>
      <c r="AV73" s="4"/>
      <c r="AW73" s="4"/>
      <c r="AX73" s="4"/>
      <c r="AY73" s="4"/>
      <c r="AZ73" s="4"/>
      <c r="BA73" s="4"/>
      <c r="BB73" s="4"/>
    </row>
    <row r="74" spans="1:54" x14ac:dyDescent="0.3">
      <c r="A74" s="4">
        <v>3960</v>
      </c>
      <c r="B74" s="4"/>
      <c r="C74" s="4">
        <v>741.41383157967618</v>
      </c>
      <c r="D74" s="4">
        <v>-2.0885691769036486E-80</v>
      </c>
      <c r="E74" s="4">
        <v>-1.0082333723322683E-75</v>
      </c>
      <c r="F74" s="4">
        <v>-2.4909717632178934E-69</v>
      </c>
      <c r="G74" s="4">
        <v>-9.3341863541228388E-65</v>
      </c>
      <c r="H74" s="4">
        <v>-1.6130417307629419E-59</v>
      </c>
      <c r="I74" s="4">
        <v>-1.1874498652466158E-54</v>
      </c>
      <c r="J74" s="4">
        <v>-8.4926529121170373E-50</v>
      </c>
      <c r="K74" s="4">
        <v>-6.4195411191576204E-46</v>
      </c>
      <c r="L74" s="4">
        <v>-3.5705355788171284E-41</v>
      </c>
      <c r="M74" s="4">
        <v>-2.3705395367113788E-37</v>
      </c>
      <c r="N74" s="4">
        <v>-2.7471533405496199E-33</v>
      </c>
      <c r="O74" s="4">
        <v>-8.9762480939961408E-30</v>
      </c>
      <c r="P74" s="4">
        <v>-4.4380453001780922E-26</v>
      </c>
      <c r="Q74" s="4">
        <v>-3.8467255881418223E-23</v>
      </c>
      <c r="R74" s="4">
        <v>-5.9970793261337536E-20</v>
      </c>
      <c r="S74" s="4">
        <v>-4.3093248445721054E-17</v>
      </c>
      <c r="T74" s="4">
        <v>-1.8047959609548796E-14</v>
      </c>
      <c r="U74" s="4">
        <v>-2.6364334532670495E-12</v>
      </c>
      <c r="V74" s="4">
        <v>2.302368177934532E-9</v>
      </c>
      <c r="W74" s="4">
        <v>6.1635653512889284E-8</v>
      </c>
      <c r="X74" s="4">
        <v>4.0928116955058301E-6</v>
      </c>
      <c r="Y74" s="4">
        <v>1.4237397683697964E-3</v>
      </c>
      <c r="Z74" s="4">
        <v>0.14337818185751747</v>
      </c>
      <c r="AA74" s="4">
        <v>0.60478324483346213</v>
      </c>
      <c r="AB74" s="4">
        <v>15.730150146399659</v>
      </c>
      <c r="AC74" s="4">
        <v>37.434363309637988</v>
      </c>
      <c r="AD74" s="4">
        <v>484.83668201148794</v>
      </c>
      <c r="AE74" s="4">
        <v>315.115410722354</v>
      </c>
      <c r="AF74" s="4">
        <v>628.96146764626633</v>
      </c>
      <c r="AG74" s="4"/>
      <c r="AH74" s="4"/>
      <c r="AI74" s="4"/>
      <c r="AJ74" s="4"/>
      <c r="AK74" s="4"/>
      <c r="AL74" s="4"/>
      <c r="AM74" s="4"/>
      <c r="AN74" s="4"/>
      <c r="AO74" s="4"/>
      <c r="AP74" s="4"/>
      <c r="AQ74" s="4"/>
      <c r="AR74" s="4"/>
      <c r="AS74" s="4"/>
      <c r="AT74" s="4"/>
      <c r="AU74" s="4"/>
      <c r="AV74" s="4"/>
      <c r="AW74" s="4"/>
      <c r="AX74" s="4"/>
      <c r="AY74" s="4"/>
      <c r="AZ74" s="4"/>
      <c r="BA74" s="4"/>
      <c r="BB74" s="4"/>
    </row>
    <row r="75" spans="1:54" x14ac:dyDescent="0.3">
      <c r="A75" s="4">
        <v>3950</v>
      </c>
      <c r="B75" s="4"/>
      <c r="C75" s="4">
        <v>636.36025267114769</v>
      </c>
      <c r="D75" s="4">
        <v>-5.16221105743548E-83</v>
      </c>
      <c r="E75" s="4">
        <v>-3.0440071607236303E-78</v>
      </c>
      <c r="F75" s="4">
        <v>-9.1964900957995218E-72</v>
      </c>
      <c r="G75" s="4">
        <v>-4.2186607054558634E-67</v>
      </c>
      <c r="H75" s="4">
        <v>-8.9344928421651323E-62</v>
      </c>
      <c r="I75" s="4">
        <v>-8.0696073665601247E-57</v>
      </c>
      <c r="J75" s="4">
        <v>-7.0890062101941054E-52</v>
      </c>
      <c r="K75" s="4">
        <v>-6.589437592230045E-48</v>
      </c>
      <c r="L75" s="4">
        <v>-4.5121466778085651E-43</v>
      </c>
      <c r="M75" s="4">
        <v>-3.6924216840202381E-39</v>
      </c>
      <c r="N75" s="4">
        <v>-5.2805087670796645E-35</v>
      </c>
      <c r="O75" s="4">
        <v>-2.1317530128727783E-31</v>
      </c>
      <c r="P75" s="4">
        <v>-1.3037949646577444E-27</v>
      </c>
      <c r="Q75" s="4">
        <v>-1.3996412463277515E-24</v>
      </c>
      <c r="R75" s="4">
        <v>-2.7059008350299111E-21</v>
      </c>
      <c r="S75" s="4">
        <v>-2.4141972706327976E-18</v>
      </c>
      <c r="T75" s="4">
        <v>-1.2569972933712211E-15</v>
      </c>
      <c r="U75" s="4">
        <v>-2.2857226610147557E-13</v>
      </c>
      <c r="V75" s="4">
        <v>2.4879771095720952E-10</v>
      </c>
      <c r="W75" s="4">
        <v>8.3126526661509834E-9</v>
      </c>
      <c r="X75" s="4">
        <v>6.8983212261848535E-7</v>
      </c>
      <c r="Y75" s="4">
        <v>3.0029719057942094E-4</v>
      </c>
      <c r="Z75" s="4">
        <v>3.7896126378259551E-2</v>
      </c>
      <c r="AA75" s="4">
        <v>0.20058660949313326</v>
      </c>
      <c r="AB75" s="4">
        <v>6.5558982521292251</v>
      </c>
      <c r="AC75" s="4">
        <v>19.632751302669426</v>
      </c>
      <c r="AD75" s="4">
        <v>320.4346292998984</v>
      </c>
      <c r="AE75" s="4">
        <v>262.83098069799354</v>
      </c>
      <c r="AF75" s="4">
        <v>663.02746205814958</v>
      </c>
      <c r="AG75" s="4"/>
      <c r="AH75" s="4"/>
      <c r="AI75" s="4"/>
      <c r="AJ75" s="4"/>
      <c r="AK75" s="4"/>
      <c r="AL75" s="4"/>
      <c r="AM75" s="4"/>
      <c r="AN75" s="4"/>
      <c r="AO75" s="4"/>
      <c r="AP75" s="4"/>
      <c r="AQ75" s="4"/>
      <c r="AR75" s="4"/>
      <c r="AS75" s="4"/>
      <c r="AT75" s="4"/>
      <c r="AU75" s="4"/>
      <c r="AV75" s="4"/>
      <c r="AW75" s="4"/>
      <c r="AX75" s="4"/>
      <c r="AY75" s="4"/>
      <c r="AZ75" s="4"/>
      <c r="BA75" s="4"/>
      <c r="BB75" s="4"/>
    </row>
    <row r="76" spans="1:54" x14ac:dyDescent="0.3">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row>
    <row r="77" spans="1:54" x14ac:dyDescent="0.3">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row>
    <row r="78" spans="1:54"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row>
    <row r="79" spans="1:54"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row>
    <row r="80" spans="1:54"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row>
    <row r="81" spans="1:54"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row>
    <row r="82" spans="1:54"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row>
    <row r="83" spans="1:54"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row>
    <row r="84" spans="1:54"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row>
    <row r="85" spans="1:54"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row>
    <row r="86" spans="1:54"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row>
    <row r="87" spans="1:54"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row>
    <row r="88" spans="1:54"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row>
    <row r="89" spans="1:54"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row>
    <row r="90" spans="1:54"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row>
    <row r="91" spans="1:54" x14ac:dyDescent="0.3">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row>
    <row r="92" spans="1:54" x14ac:dyDescent="0.3">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row>
    <row r="93" spans="1:54" x14ac:dyDescent="0.3">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row>
    <row r="94" spans="1:54" x14ac:dyDescent="0.3">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row>
    <row r="95" spans="1:54" x14ac:dyDescent="0.3">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row>
    <row r="96" spans="1:54" x14ac:dyDescent="0.3">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row>
    <row r="97" spans="1:54" x14ac:dyDescent="0.3">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row>
    <row r="98" spans="1:54" x14ac:dyDescent="0.3">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row>
    <row r="99" spans="1:54" x14ac:dyDescent="0.3">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row>
    <row r="100" spans="1:54" x14ac:dyDescent="0.3">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row>
    <row r="101" spans="1:54" x14ac:dyDescent="0.3">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row>
    <row r="102" spans="1:54" x14ac:dyDescent="0.3">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row>
    <row r="103" spans="1:54" x14ac:dyDescent="0.3">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row>
    <row r="104" spans="1:54" x14ac:dyDescent="0.3">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row>
    <row r="105" spans="1:54"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row>
    <row r="106" spans="1:54"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row>
    <row r="107" spans="1:54"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row>
    <row r="108" spans="1:54" x14ac:dyDescent="0.3">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row>
    <row r="109" spans="1:54"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row>
    <row r="110" spans="1:54"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row>
    <row r="111" spans="1:54"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row>
    <row r="112" spans="1:54"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row>
    <row r="113" spans="1:54"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row>
    <row r="114" spans="1:54"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row>
    <row r="115" spans="1:54" x14ac:dyDescent="0.3">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row>
    <row r="116" spans="1:54"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row>
    <row r="117" spans="1:54"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row>
    <row r="118" spans="1:54"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row>
    <row r="119" spans="1:54"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row>
    <row r="120" spans="1:54"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row>
    <row r="121" spans="1:54"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row>
    <row r="122" spans="1:54"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row>
    <row r="123" spans="1:54"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row>
    <row r="124" spans="1:54"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row>
    <row r="125" spans="1:54"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row>
    <row r="126" spans="1:54"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row>
    <row r="127" spans="1:54"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row>
    <row r="128" spans="1:54"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row>
    <row r="129" spans="1:5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row>
    <row r="130" spans="1:5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row>
    <row r="131" spans="1:5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row>
    <row r="132" spans="1:5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row>
    <row r="133" spans="1:5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row>
    <row r="134" spans="1:5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row>
    <row r="135" spans="1:5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row>
    <row r="136" spans="1:5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row>
    <row r="137" spans="1:5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row>
    <row r="138" spans="1:5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row>
    <row r="139" spans="1:5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row>
    <row r="140" spans="1:5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row>
    <row r="141" spans="1:5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row>
    <row r="142" spans="1:5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row>
    <row r="143" spans="1:5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row>
    <row r="144" spans="1:5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row>
    <row r="145" spans="1:5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row>
    <row r="146" spans="1:5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row>
    <row r="147" spans="1:5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row>
    <row r="148" spans="1:5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row>
    <row r="149" spans="1:5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row>
    <row r="150" spans="1:5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row>
    <row r="151" spans="1:5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row>
    <row r="152" spans="1:5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row>
    <row r="153" spans="1:5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row>
    <row r="154" spans="1:5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row>
    <row r="155" spans="1:5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row>
    <row r="156" spans="1:5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row>
    <row r="157" spans="1:5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row>
    <row r="158" spans="1:5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row>
    <row r="159" spans="1:5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row>
    <row r="160" spans="1:5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row>
    <row r="161" spans="1:5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row>
    <row r="162" spans="1:5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row>
    <row r="163" spans="1:5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row>
    <row r="164" spans="1:5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row>
    <row r="165" spans="1:5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row>
    <row r="166" spans="1:5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row>
    <row r="167" spans="1:5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row>
    <row r="168" spans="1:5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row>
    <row r="169" spans="1:5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row>
    <row r="170" spans="1:5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row>
    <row r="171" spans="1:5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row>
    <row r="172" spans="1:5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row>
    <row r="173" spans="1:5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row>
    <row r="174" spans="1:5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row>
    <row r="175" spans="1:5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row>
    <row r="176" spans="1:5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row>
    <row r="177" spans="1:5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row>
    <row r="178" spans="1:5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row>
    <row r="179" spans="1:5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row>
    <row r="180" spans="1:5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row>
    <row r="181" spans="1:5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row>
    <row r="182" spans="1:5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row>
    <row r="183" spans="1:5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row>
    <row r="184" spans="1:5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row>
    <row r="185" spans="1:5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row>
    <row r="186" spans="1:5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row>
    <row r="187" spans="1:5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row>
    <row r="188" spans="1:5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row>
    <row r="189" spans="1:5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row>
    <row r="190" spans="1:5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row>
    <row r="191" spans="1:5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row>
    <row r="192" spans="1:5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row>
    <row r="193" spans="1:5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row>
    <row r="194" spans="1:5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row>
    <row r="195" spans="1:5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row>
    <row r="196" spans="1:5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row>
    <row r="197" spans="1:5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row>
    <row r="198" spans="1:5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row>
    <row r="199" spans="1:5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row>
    <row r="200" spans="1:5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row>
    <row r="201" spans="1:54" x14ac:dyDescent="0.3">
      <c r="B201" s="4"/>
      <c r="AQ201" s="4"/>
      <c r="AR201" s="4"/>
    </row>
    <row r="202" spans="1:54" x14ac:dyDescent="0.3">
      <c r="B202" s="4"/>
      <c r="AQ202" s="4"/>
      <c r="AR202" s="4"/>
    </row>
    <row r="203" spans="1:54" x14ac:dyDescent="0.3">
      <c r="B203" s="4"/>
      <c r="AQ203" s="4"/>
      <c r="AR203" s="4"/>
    </row>
    <row r="204" spans="1:54" x14ac:dyDescent="0.3">
      <c r="B204" s="4"/>
      <c r="AQ204" s="4"/>
      <c r="AR204" s="4"/>
    </row>
    <row r="205" spans="1:54" x14ac:dyDescent="0.3">
      <c r="B205" s="4"/>
      <c r="AQ205" s="4"/>
      <c r="AR205" s="4"/>
    </row>
    <row r="206" spans="1:54" x14ac:dyDescent="0.3">
      <c r="AR206" s="4"/>
    </row>
  </sheetData>
  <pageMargins left="0.7" right="0.7" top="0.78740157499999996" bottom="0.78740157499999996"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topLeftCell="A3" zoomScaleNormal="100" workbookViewId="0">
      <pane xSplit="1" topLeftCell="B1" activePane="topRight" state="frozen"/>
      <selection pane="topRight" activeCell="C15" sqref="C15"/>
    </sheetView>
  </sheetViews>
  <sheetFormatPr baseColWidth="10" defaultColWidth="11.44140625" defaultRowHeight="14.4" x14ac:dyDescent="0.3"/>
  <cols>
    <col min="1" max="16384" width="11.44140625" style="5"/>
  </cols>
  <sheetData>
    <row r="4" spans="1:54" x14ac:dyDescent="0.3">
      <c r="A4" s="4"/>
      <c r="B4" s="4"/>
      <c r="C4" s="4"/>
      <c r="D4" s="4">
        <v>4650</v>
      </c>
      <c r="E4" s="4">
        <v>4625</v>
      </c>
      <c r="F4" s="4">
        <v>4600</v>
      </c>
      <c r="G4" s="4">
        <v>4575</v>
      </c>
      <c r="H4" s="4">
        <v>4550</v>
      </c>
      <c r="I4" s="4">
        <v>4525</v>
      </c>
      <c r="J4" s="4">
        <v>4500</v>
      </c>
      <c r="K4" s="4">
        <v>4475</v>
      </c>
      <c r="L4" s="4">
        <v>4450</v>
      </c>
      <c r="M4" s="4">
        <v>4425</v>
      </c>
      <c r="N4" s="4">
        <v>4400</v>
      </c>
      <c r="O4" s="4">
        <v>4375</v>
      </c>
      <c r="P4" s="4">
        <v>4350</v>
      </c>
      <c r="Q4" s="4">
        <v>4325</v>
      </c>
      <c r="R4" s="4">
        <v>4300</v>
      </c>
      <c r="S4" s="4">
        <v>4275</v>
      </c>
      <c r="T4" s="4">
        <v>4250</v>
      </c>
      <c r="U4" s="4">
        <v>4225</v>
      </c>
      <c r="V4" s="4">
        <v>4200</v>
      </c>
      <c r="W4" s="4">
        <v>4175</v>
      </c>
      <c r="X4" s="4">
        <v>4150</v>
      </c>
      <c r="Y4" s="4">
        <v>4125</v>
      </c>
      <c r="Z4" s="4">
        <v>4100</v>
      </c>
      <c r="AA4" s="4">
        <v>4075</v>
      </c>
      <c r="AB4" s="4">
        <v>4050</v>
      </c>
      <c r="AC4" s="4">
        <v>4025</v>
      </c>
      <c r="AD4" s="4">
        <v>4000</v>
      </c>
      <c r="AE4" s="4">
        <v>3975</v>
      </c>
      <c r="AF4" s="4">
        <v>3950</v>
      </c>
      <c r="AG4" s="4"/>
      <c r="AH4" s="4"/>
      <c r="AI4" s="4"/>
      <c r="AJ4" s="4"/>
      <c r="AK4" s="4"/>
      <c r="AL4" s="4"/>
      <c r="AM4" s="4"/>
      <c r="AN4" s="4"/>
      <c r="AO4" s="4"/>
      <c r="AP4" s="4"/>
      <c r="AQ4" s="4"/>
      <c r="AR4" s="4"/>
      <c r="AS4" s="4"/>
      <c r="AT4" s="4"/>
      <c r="AU4" s="4"/>
      <c r="AV4" s="4"/>
      <c r="AW4" s="4"/>
      <c r="AX4" s="4"/>
      <c r="AY4" s="4"/>
      <c r="AZ4" s="4"/>
      <c r="BA4" s="4"/>
      <c r="BB4" s="4"/>
    </row>
    <row r="5" spans="1:54" x14ac:dyDescent="0.3">
      <c r="A5" s="4">
        <v>4650</v>
      </c>
      <c r="B5" s="4"/>
      <c r="C5" s="4">
        <v>-89.850785347766461</v>
      </c>
      <c r="D5" s="4">
        <v>-13.449459508298455</v>
      </c>
      <c r="E5" s="4">
        <v>-7.1512337741076575</v>
      </c>
      <c r="F5" s="4">
        <v>-81.052368093240091</v>
      </c>
      <c r="G5" s="4">
        <v>-8.7635566303973302</v>
      </c>
      <c r="H5" s="4">
        <v>-16.596159154462441</v>
      </c>
      <c r="I5" s="4">
        <v>-5.6511399660658395</v>
      </c>
      <c r="J5" s="4">
        <v>-34.646319656688377</v>
      </c>
      <c r="K5" s="4">
        <v>-5.9517819663030105</v>
      </c>
      <c r="L5" s="4">
        <v>-2.0147475766473413</v>
      </c>
      <c r="M5" s="4">
        <v>-1.7324337073127156</v>
      </c>
      <c r="N5" s="4">
        <v>-1.3767436179985366</v>
      </c>
      <c r="O5" s="4">
        <v>-1.0217728176348622</v>
      </c>
      <c r="P5" s="4">
        <v>-0.28047133942085944</v>
      </c>
      <c r="Q5" s="4">
        <v>-2.96740098604357E-3</v>
      </c>
      <c r="R5" s="4">
        <v>-1.0159839048797499E-2</v>
      </c>
      <c r="S5" s="4">
        <v>-2.9135624388883371E-4</v>
      </c>
      <c r="T5" s="4">
        <v>3.3134475965813371E-5</v>
      </c>
      <c r="U5" s="4">
        <v>3.659641031265117E-6</v>
      </c>
      <c r="V5" s="4">
        <v>-1.14527244376941E-6</v>
      </c>
      <c r="W5" s="4">
        <v>2.9920795240569046E-9</v>
      </c>
      <c r="X5" s="4">
        <v>5.4530035192858371E-8</v>
      </c>
      <c r="Y5" s="4">
        <v>1.0956071090994942E-9</v>
      </c>
      <c r="Z5" s="4">
        <v>1.8276015248951299E-9</v>
      </c>
      <c r="AA5" s="4">
        <v>3.015727758935641E-11</v>
      </c>
      <c r="AB5" s="4">
        <v>3.2504499274784784E-12</v>
      </c>
      <c r="AC5" s="4">
        <v>4.3776578714475564E-14</v>
      </c>
      <c r="AD5" s="4">
        <v>2.8442995128535595E-14</v>
      </c>
      <c r="AE5" s="4">
        <v>1.7647922996568191E-16</v>
      </c>
      <c r="AF5" s="4">
        <v>1.9713020254943993E-17</v>
      </c>
      <c r="AG5" s="4"/>
      <c r="AH5" s="4"/>
      <c r="AI5" s="4"/>
      <c r="AJ5" s="4"/>
      <c r="AK5" s="4"/>
      <c r="AL5" s="4"/>
      <c r="AM5" s="4"/>
      <c r="AN5" s="4"/>
      <c r="AO5" s="4"/>
      <c r="AP5" s="4"/>
      <c r="AQ5" s="4"/>
      <c r="AR5" s="4"/>
      <c r="AS5" s="4"/>
      <c r="AT5" s="4"/>
      <c r="AU5" s="4"/>
      <c r="AV5" s="4"/>
      <c r="AW5" s="4"/>
      <c r="AX5" s="4"/>
      <c r="AY5" s="4"/>
      <c r="AZ5" s="4"/>
      <c r="BA5" s="4"/>
      <c r="BB5" s="4"/>
    </row>
    <row r="6" spans="1:54" x14ac:dyDescent="0.3">
      <c r="A6" s="4">
        <v>4640</v>
      </c>
      <c r="B6" s="4"/>
      <c r="C6" s="4">
        <v>-103.98807465052299</v>
      </c>
      <c r="D6" s="4">
        <v>-13.688322699408268</v>
      </c>
      <c r="E6" s="4">
        <v>-7.5523537663085998</v>
      </c>
      <c r="F6" s="4">
        <v>-88.840302449996415</v>
      </c>
      <c r="G6" s="4">
        <v>-9.9713890559784328</v>
      </c>
      <c r="H6" s="4">
        <v>-19.606620192546327</v>
      </c>
      <c r="I6" s="4">
        <v>-6.9333162002194078</v>
      </c>
      <c r="J6" s="4">
        <v>-44.153258777087842</v>
      </c>
      <c r="K6" s="4">
        <v>-7.8803463533435272</v>
      </c>
      <c r="L6" s="4">
        <v>-2.7720721467008569</v>
      </c>
      <c r="M6" s="4">
        <v>-2.4775367795655558</v>
      </c>
      <c r="N6" s="4">
        <v>-2.0468745426537729</v>
      </c>
      <c r="O6" s="4">
        <v>-1.5796588952027584</v>
      </c>
      <c r="P6" s="4">
        <v>-0.45098857020271343</v>
      </c>
      <c r="Q6" s="4">
        <v>-4.9638623905486762E-3</v>
      </c>
      <c r="R6" s="4">
        <v>-1.7684642741528811E-2</v>
      </c>
      <c r="S6" s="4">
        <v>-5.2783773591640742E-4</v>
      </c>
      <c r="T6" s="4">
        <v>6.2492041540163532E-5</v>
      </c>
      <c r="U6" s="4">
        <v>7.1871160049087251E-6</v>
      </c>
      <c r="V6" s="4">
        <v>-2.3426144668858626E-6</v>
      </c>
      <c r="W6" s="4">
        <v>6.3759736390069295E-9</v>
      </c>
      <c r="X6" s="4">
        <v>1.2108694592379543E-7</v>
      </c>
      <c r="Y6" s="4">
        <v>2.5357862473904024E-9</v>
      </c>
      <c r="Z6" s="4">
        <v>4.4100647474152519E-9</v>
      </c>
      <c r="AA6" s="4">
        <v>7.5887802945024621E-11</v>
      </c>
      <c r="AB6" s="4">
        <v>8.5320191168632894E-12</v>
      </c>
      <c r="AC6" s="4">
        <v>1.198925342102856E-13</v>
      </c>
      <c r="AD6" s="4">
        <v>8.1298500913983897E-14</v>
      </c>
      <c r="AE6" s="4">
        <v>5.2659174080267813E-16</v>
      </c>
      <c r="AF6" s="4">
        <v>6.1422099421295004E-17</v>
      </c>
      <c r="AG6" s="4"/>
      <c r="AH6" s="4"/>
      <c r="AI6" s="4"/>
      <c r="AJ6" s="4"/>
      <c r="AK6" s="4"/>
      <c r="AL6" s="4"/>
      <c r="AM6" s="4"/>
      <c r="AN6" s="4"/>
      <c r="AO6" s="4"/>
      <c r="AP6" s="4"/>
      <c r="AQ6" s="4"/>
      <c r="AR6" s="4"/>
      <c r="AS6" s="4"/>
      <c r="AT6" s="4"/>
      <c r="AU6" s="4"/>
      <c r="AV6" s="4"/>
      <c r="AW6" s="4"/>
      <c r="AX6" s="4"/>
      <c r="AY6" s="4"/>
      <c r="AZ6" s="4"/>
      <c r="BA6" s="4"/>
      <c r="BB6" s="4"/>
    </row>
    <row r="7" spans="1:54" x14ac:dyDescent="0.3">
      <c r="A7" s="4">
        <v>4630</v>
      </c>
      <c r="B7" s="4"/>
      <c r="C7" s="4">
        <v>-119.56203741947722</v>
      </c>
      <c r="D7" s="4">
        <v>-13.727118158318993</v>
      </c>
      <c r="E7" s="4">
        <v>-7.8596290424912265</v>
      </c>
      <c r="F7" s="4">
        <v>-95.963825301464254</v>
      </c>
      <c r="G7" s="4">
        <v>-11.181991212941416</v>
      </c>
      <c r="H7" s="4">
        <v>-22.830809597533989</v>
      </c>
      <c r="I7" s="4">
        <v>-8.3850331782521668</v>
      </c>
      <c r="J7" s="4">
        <v>-55.470598637243299</v>
      </c>
      <c r="K7" s="4">
        <v>-10.286646901930231</v>
      </c>
      <c r="L7" s="4">
        <v>-3.7605784195203062</v>
      </c>
      <c r="M7" s="4">
        <v>-3.4937033873911298</v>
      </c>
      <c r="N7" s="4">
        <v>-3.00101536921093</v>
      </c>
      <c r="O7" s="4">
        <v>-2.4085060782819609</v>
      </c>
      <c r="P7" s="4">
        <v>-0.71524505394970428</v>
      </c>
      <c r="Q7" s="4">
        <v>-8.1905402304929473E-3</v>
      </c>
      <c r="R7" s="4">
        <v>-3.0366331073935805E-2</v>
      </c>
      <c r="S7" s="4">
        <v>-9.43410224333241E-4</v>
      </c>
      <c r="T7" s="4">
        <v>1.1628696742108475E-4</v>
      </c>
      <c r="U7" s="4">
        <v>1.3927413111699704E-5</v>
      </c>
      <c r="V7" s="4">
        <v>-4.7285784936381416E-6</v>
      </c>
      <c r="W7" s="4">
        <v>1.3408988828037374E-8</v>
      </c>
      <c r="X7" s="4">
        <v>2.6538330726869711E-7</v>
      </c>
      <c r="Y7" s="4">
        <v>5.7932730555442917E-9</v>
      </c>
      <c r="Z7" s="4">
        <v>1.0505120504727763E-8</v>
      </c>
      <c r="AA7" s="4">
        <v>1.8853142336892043E-10</v>
      </c>
      <c r="AB7" s="4">
        <v>2.2112183206023958E-11</v>
      </c>
      <c r="AC7" s="4">
        <v>3.2423038819893384E-13</v>
      </c>
      <c r="AD7" s="4">
        <v>2.294779902700138E-13</v>
      </c>
      <c r="AE7" s="4">
        <v>1.5518368602596648E-15</v>
      </c>
      <c r="AF7" s="4">
        <v>1.8902892467081232E-16</v>
      </c>
      <c r="AG7" s="4"/>
      <c r="AH7" s="4"/>
      <c r="AI7" s="4"/>
      <c r="AJ7" s="4"/>
      <c r="AK7" s="4"/>
      <c r="AL7" s="4"/>
      <c r="AM7" s="4"/>
      <c r="AN7" s="4"/>
      <c r="AO7" s="4"/>
      <c r="AP7" s="4"/>
      <c r="AQ7" s="4"/>
      <c r="AR7" s="4"/>
      <c r="AS7" s="4"/>
      <c r="AT7" s="4"/>
      <c r="AU7" s="4"/>
      <c r="AV7" s="4"/>
      <c r="AW7" s="4"/>
      <c r="AX7" s="4"/>
      <c r="AY7" s="4"/>
      <c r="AZ7" s="4"/>
      <c r="BA7" s="4"/>
      <c r="BB7" s="4"/>
    </row>
    <row r="8" spans="1:54" x14ac:dyDescent="0.3">
      <c r="A8" s="4">
        <v>4620</v>
      </c>
      <c r="B8" s="4"/>
      <c r="C8" s="4">
        <v>-136.64175770022456</v>
      </c>
      <c r="D8" s="4">
        <v>-13.562837946173206</v>
      </c>
      <c r="E8" s="4">
        <v>-8.0593242100761007</v>
      </c>
      <c r="F8" s="4">
        <v>-102.14495180537709</v>
      </c>
      <c r="G8" s="4">
        <v>-12.357471990681272</v>
      </c>
      <c r="H8" s="4">
        <v>-26.20126464482497</v>
      </c>
      <c r="I8" s="4">
        <v>-9.9950848749131946</v>
      </c>
      <c r="J8" s="4">
        <v>-68.69365424046363</v>
      </c>
      <c r="K8" s="4">
        <v>-13.237073781273361</v>
      </c>
      <c r="L8" s="4">
        <v>-5.029566502218926</v>
      </c>
      <c r="M8" s="4">
        <v>-4.8575143819772455</v>
      </c>
      <c r="N8" s="4">
        <v>-4.3385431648826538</v>
      </c>
      <c r="O8" s="4">
        <v>-3.6213262849733754</v>
      </c>
      <c r="P8" s="4">
        <v>-1.1187077733177986</v>
      </c>
      <c r="Q8" s="4">
        <v>-1.3329535745443169E-2</v>
      </c>
      <c r="R8" s="4">
        <v>-5.143223869468707E-2</v>
      </c>
      <c r="S8" s="4">
        <v>-1.6633568315217871E-3</v>
      </c>
      <c r="T8" s="4">
        <v>2.1348134613434361E-4</v>
      </c>
      <c r="U8" s="4">
        <v>2.6628511511802292E-5</v>
      </c>
      <c r="V8" s="4">
        <v>-9.4180136365728469E-6</v>
      </c>
      <c r="W8" s="4">
        <v>2.7828064725321294E-8</v>
      </c>
      <c r="X8" s="4">
        <v>5.7401877696839737E-7</v>
      </c>
      <c r="Y8" s="4">
        <v>1.3063229908596985E-8</v>
      </c>
      <c r="Z8" s="4">
        <v>2.4700830668446155E-8</v>
      </c>
      <c r="AA8" s="4">
        <v>4.6236977003296029E-10</v>
      </c>
      <c r="AB8" s="4">
        <v>5.657767043858592E-11</v>
      </c>
      <c r="AC8" s="4">
        <v>8.6574279634319143E-13</v>
      </c>
      <c r="AD8" s="4">
        <v>6.3960719665851136E-13</v>
      </c>
      <c r="AE8" s="4">
        <v>4.5161914977198073E-15</v>
      </c>
      <c r="AF8" s="4">
        <v>5.7454870922844589E-16</v>
      </c>
      <c r="AG8" s="4"/>
      <c r="AH8" s="4"/>
      <c r="AI8" s="4"/>
      <c r="AJ8" s="4"/>
      <c r="AK8" s="4"/>
      <c r="AL8" s="4"/>
      <c r="AM8" s="4"/>
      <c r="AN8" s="4"/>
      <c r="AO8" s="4"/>
      <c r="AP8" s="4"/>
      <c r="AQ8" s="4"/>
      <c r="AR8" s="4"/>
      <c r="AS8" s="4"/>
      <c r="AT8" s="4"/>
      <c r="AU8" s="4"/>
      <c r="AV8" s="4"/>
      <c r="AW8" s="4"/>
      <c r="AX8" s="4"/>
      <c r="AY8" s="4"/>
      <c r="AZ8" s="4"/>
      <c r="BA8" s="4"/>
      <c r="BB8" s="4"/>
    </row>
    <row r="9" spans="1:54" x14ac:dyDescent="0.3">
      <c r="A9" s="4">
        <v>4610</v>
      </c>
      <c r="B9" s="4"/>
      <c r="C9" s="4">
        <v>-155.30760582947227</v>
      </c>
      <c r="D9" s="4">
        <v>-13.201456109105575</v>
      </c>
      <c r="E9" s="4">
        <v>-8.1419833335604128</v>
      </c>
      <c r="F9" s="4">
        <v>-107.12637244582055</v>
      </c>
      <c r="G9" s="4">
        <v>-13.456917182028365</v>
      </c>
      <c r="H9" s="4">
        <v>-29.632218519161306</v>
      </c>
      <c r="I9" s="4">
        <v>-11.74207556812587</v>
      </c>
      <c r="J9" s="4">
        <v>-83.846121804359797</v>
      </c>
      <c r="K9" s="4">
        <v>-16.790315181516899</v>
      </c>
      <c r="L9" s="4">
        <v>-6.6311900330846454</v>
      </c>
      <c r="M9" s="4">
        <v>-6.6583050574846174</v>
      </c>
      <c r="N9" s="4">
        <v>-6.1841195745680242</v>
      </c>
      <c r="O9" s="4">
        <v>-5.3688683165748801</v>
      </c>
      <c r="P9" s="4">
        <v>-1.7254833662627307</v>
      </c>
      <c r="Q9" s="4">
        <v>-2.1393763282246153E-2</v>
      </c>
      <c r="R9" s="4">
        <v>-8.5918323689428894E-2</v>
      </c>
      <c r="S9" s="4">
        <v>-2.8927794831475353E-3</v>
      </c>
      <c r="T9" s="4">
        <v>3.8660893817365561E-4</v>
      </c>
      <c r="U9" s="4">
        <v>5.022785519856779E-5</v>
      </c>
      <c r="V9" s="4">
        <v>-1.8507501932804064E-5</v>
      </c>
      <c r="W9" s="4">
        <v>5.6986036647388747E-8</v>
      </c>
      <c r="X9" s="4">
        <v>1.2252254151230842E-6</v>
      </c>
      <c r="Y9" s="4">
        <v>2.9070580675885806E-8</v>
      </c>
      <c r="Z9" s="4">
        <v>5.7324205593884293E-8</v>
      </c>
      <c r="AA9" s="4">
        <v>1.1193108844829991E-9</v>
      </c>
      <c r="AB9" s="4">
        <v>1.4290716228135807E-10</v>
      </c>
      <c r="AC9" s="4">
        <v>2.2822314557783854E-12</v>
      </c>
      <c r="AD9" s="4">
        <v>1.7601985522553682E-12</v>
      </c>
      <c r="AE9" s="4">
        <v>1.2978224585426276E-14</v>
      </c>
      <c r="AF9" s="4">
        <v>1.724578578230344E-15</v>
      </c>
      <c r="AG9" s="4"/>
      <c r="AH9" s="4"/>
      <c r="AI9" s="4"/>
      <c r="AJ9" s="4"/>
      <c r="AK9" s="4"/>
      <c r="AL9" s="4"/>
      <c r="AM9" s="4"/>
      <c r="AN9" s="4"/>
      <c r="AO9" s="4"/>
      <c r="AP9" s="4"/>
      <c r="AQ9" s="4"/>
      <c r="AR9" s="4"/>
      <c r="AS9" s="4"/>
      <c r="AT9" s="4"/>
      <c r="AU9" s="4"/>
      <c r="AV9" s="4"/>
      <c r="AW9" s="4"/>
      <c r="AX9" s="4"/>
      <c r="AY9" s="4"/>
      <c r="AZ9" s="4"/>
      <c r="BA9" s="4"/>
      <c r="BB9" s="4"/>
    </row>
    <row r="10" spans="1:54" x14ac:dyDescent="0.3">
      <c r="A10" s="4">
        <v>4600</v>
      </c>
      <c r="B10" s="4"/>
      <c r="C10" s="4">
        <v>-175.65603474900479</v>
      </c>
      <c r="D10" s="4">
        <v>-12.657584250137875</v>
      </c>
      <c r="E10" s="4">
        <v>-8.1031636768632023</v>
      </c>
      <c r="F10" s="4">
        <v>-110.68888006951117</v>
      </c>
      <c r="G10" s="4">
        <v>-14.438600608439669</v>
      </c>
      <c r="H10" s="4">
        <v>-33.022148825342619</v>
      </c>
      <c r="I10" s="4">
        <v>-13.59372158636803</v>
      </c>
      <c r="J10" s="4">
        <v>-100.86036136524733</v>
      </c>
      <c r="K10" s="4">
        <v>-20.991001228024878</v>
      </c>
      <c r="L10" s="4">
        <v>-8.6177979670945142</v>
      </c>
      <c r="M10" s="4">
        <v>-8.9969202947185689</v>
      </c>
      <c r="N10" s="4">
        <v>-8.6901906995542131</v>
      </c>
      <c r="O10" s="4">
        <v>-7.8478810618849684</v>
      </c>
      <c r="P10" s="4">
        <v>-2.6241990188707698</v>
      </c>
      <c r="Q10" s="4">
        <v>-3.386013921005715E-2</v>
      </c>
      <c r="R10" s="4">
        <v>-0.14154785430967354</v>
      </c>
      <c r="S10" s="4">
        <v>-4.9619263892431882E-3</v>
      </c>
      <c r="T10" s="4">
        <v>6.9060085997583889E-4</v>
      </c>
      <c r="U10" s="4">
        <v>9.3459628102816422E-5</v>
      </c>
      <c r="V10" s="4">
        <v>-3.5880343960189102E-5</v>
      </c>
      <c r="W10" s="4">
        <v>1.151365127124881E-7</v>
      </c>
      <c r="X10" s="4">
        <v>2.5805017767028326E-6</v>
      </c>
      <c r="Y10" s="4">
        <v>6.3840230248290657E-8</v>
      </c>
      <c r="Z10" s="4">
        <v>1.3129304051347637E-7</v>
      </c>
      <c r="AA10" s="4">
        <v>2.6744163064303507E-9</v>
      </c>
      <c r="AB10" s="4">
        <v>3.5630341017248829E-10</v>
      </c>
      <c r="AC10" s="4">
        <v>5.9391985609733921E-12</v>
      </c>
      <c r="AD10" s="4">
        <v>4.7824219855556171E-12</v>
      </c>
      <c r="AE10" s="4">
        <v>3.6824507925701953E-14</v>
      </c>
      <c r="AF10" s="4">
        <v>5.11162426038631E-15</v>
      </c>
      <c r="AG10" s="4"/>
      <c r="AH10" s="4"/>
      <c r="AI10" s="4"/>
      <c r="AJ10" s="4"/>
      <c r="AK10" s="4"/>
      <c r="AL10" s="4"/>
      <c r="AM10" s="4"/>
      <c r="AN10" s="4"/>
      <c r="AO10" s="4"/>
      <c r="AP10" s="4"/>
      <c r="AQ10" s="4"/>
      <c r="AR10" s="4"/>
      <c r="AS10" s="4"/>
      <c r="AT10" s="4"/>
      <c r="AU10" s="4"/>
      <c r="AV10" s="4"/>
      <c r="AW10" s="4"/>
      <c r="AX10" s="4"/>
      <c r="AY10" s="4"/>
      <c r="AZ10" s="4"/>
      <c r="BA10" s="4"/>
      <c r="BB10" s="4"/>
    </row>
    <row r="11" spans="1:54" x14ac:dyDescent="0.3">
      <c r="A11" s="4">
        <v>4590</v>
      </c>
      <c r="B11" s="4"/>
      <c r="C11" s="4">
        <v>-197.80419693481474</v>
      </c>
      <c r="D11" s="4">
        <v>-11.95349408754339</v>
      </c>
      <c r="E11" s="4">
        <v>-7.9438185044452734</v>
      </c>
      <c r="F11" s="4">
        <v>-112.66715398321647</v>
      </c>
      <c r="G11" s="4">
        <v>-15.262511115496535</v>
      </c>
      <c r="H11" s="4">
        <v>-36.257986616172232</v>
      </c>
      <c r="I11" s="4">
        <v>-15.506903508483729</v>
      </c>
      <c r="J11" s="4">
        <v>-119.5604375863729</v>
      </c>
      <c r="K11" s="4">
        <v>-25.862667668317204</v>
      </c>
      <c r="L11" s="4">
        <v>-11.038336536158557</v>
      </c>
      <c r="M11" s="4">
        <v>-11.982939843572536</v>
      </c>
      <c r="N11" s="4">
        <v>-12.038076538325781</v>
      </c>
      <c r="O11" s="4">
        <v>-11.30929914978733</v>
      </c>
      <c r="P11" s="4">
        <v>-3.934901335050264</v>
      </c>
      <c r="Q11" s="4">
        <v>-5.2841977604867751E-2</v>
      </c>
      <c r="R11" s="4">
        <v>-0.22995743606254673</v>
      </c>
      <c r="S11" s="4">
        <v>-8.3936354063128323E-3</v>
      </c>
      <c r="T11" s="4">
        <v>1.216705527032257E-3</v>
      </c>
      <c r="U11" s="4">
        <v>1.7153201052656688E-4</v>
      </c>
      <c r="V11" s="4">
        <v>-6.8619240710295407E-5</v>
      </c>
      <c r="W11" s="4">
        <v>2.2949711960897774E-7</v>
      </c>
      <c r="X11" s="4">
        <v>5.3623004685008141E-6</v>
      </c>
      <c r="Y11" s="4">
        <v>1.3833545571883428E-7</v>
      </c>
      <c r="Z11" s="4">
        <v>2.9674501682495814E-7</v>
      </c>
      <c r="AA11" s="4">
        <v>6.3064557418490591E-9</v>
      </c>
      <c r="AB11" s="4">
        <v>8.7680749391041206E-10</v>
      </c>
      <c r="AC11" s="4">
        <v>1.5256495212146637E-11</v>
      </c>
      <c r="AD11" s="4">
        <v>1.2827252353742218E-11</v>
      </c>
      <c r="AE11" s="4">
        <v>1.0315709895776474E-13</v>
      </c>
      <c r="AF11" s="4">
        <v>1.495948383971225E-14</v>
      </c>
      <c r="AG11" s="4"/>
      <c r="AH11" s="4"/>
      <c r="AI11" s="4"/>
      <c r="AJ11" s="4"/>
      <c r="AK11" s="4"/>
      <c r="AL11" s="4"/>
      <c r="AM11" s="4"/>
      <c r="AN11" s="4"/>
      <c r="AO11" s="4"/>
      <c r="AP11" s="4"/>
      <c r="AQ11" s="4"/>
      <c r="AR11" s="4"/>
      <c r="AS11" s="4"/>
      <c r="AT11" s="4"/>
      <c r="AU11" s="4"/>
      <c r="AV11" s="4"/>
      <c r="AW11" s="4"/>
      <c r="AX11" s="4"/>
      <c r="AY11" s="4"/>
      <c r="AZ11" s="4"/>
      <c r="BA11" s="4"/>
      <c r="BB11" s="4"/>
    </row>
    <row r="12" spans="1:54" x14ac:dyDescent="0.3">
      <c r="A12" s="4">
        <v>4580</v>
      </c>
      <c r="B12" s="4"/>
      <c r="C12" s="4">
        <v>-221.89392685663645</v>
      </c>
      <c r="D12" s="4">
        <v>-11.117597691739</v>
      </c>
      <c r="E12" s="4">
        <v>-7.6702841567645548</v>
      </c>
      <c r="F12" s="4">
        <v>-112.9623411300883</v>
      </c>
      <c r="G12" s="4">
        <v>-15.892993225693715</v>
      </c>
      <c r="H12" s="4">
        <v>-39.220834948395478</v>
      </c>
      <c r="I12" s="4">
        <v>-17.428610905692256</v>
      </c>
      <c r="J12" s="4">
        <v>-139.65028561006929</v>
      </c>
      <c r="K12" s="4">
        <v>-31.400562179058944</v>
      </c>
      <c r="L12" s="4">
        <v>-13.93386760751314</v>
      </c>
      <c r="M12" s="4">
        <v>-15.730068251026321</v>
      </c>
      <c r="N12" s="4">
        <v>-16.436896484401032</v>
      </c>
      <c r="O12" s="4">
        <v>-16.065391541872629</v>
      </c>
      <c r="P12" s="4">
        <v>-5.8167567109676872</v>
      </c>
      <c r="Q12" s="4">
        <v>-8.1304991339413366E-2</v>
      </c>
      <c r="R12" s="4">
        <v>-0.36836428337332267</v>
      </c>
      <c r="S12" s="4">
        <v>-1.4001483823982927E-2</v>
      </c>
      <c r="T12" s="4">
        <v>2.1140075753782405E-3</v>
      </c>
      <c r="U12" s="4">
        <v>3.1050438720034375E-4</v>
      </c>
      <c r="V12" s="4">
        <v>-1.2944212172313714E-4</v>
      </c>
      <c r="W12" s="4">
        <v>4.5125394839911588E-7</v>
      </c>
      <c r="X12" s="4">
        <v>1.0993023981360237E-5</v>
      </c>
      <c r="Y12" s="4">
        <v>2.9575445148324255E-7</v>
      </c>
      <c r="Z12" s="4">
        <v>6.6179549502211955E-7</v>
      </c>
      <c r="AA12" s="4">
        <v>1.4675080719967611E-8</v>
      </c>
      <c r="AB12" s="4">
        <v>2.1294514492160821E-9</v>
      </c>
      <c r="AC12" s="4">
        <v>3.8681346641495772E-11</v>
      </c>
      <c r="AD12" s="4">
        <v>3.3960976773097417E-11</v>
      </c>
      <c r="AE12" s="4">
        <v>2.852746935266537E-13</v>
      </c>
      <c r="AF12" s="4">
        <v>4.3223276421478797E-14</v>
      </c>
      <c r="AG12" s="4"/>
      <c r="AH12" s="4"/>
      <c r="AI12" s="4"/>
      <c r="AJ12" s="4"/>
      <c r="AK12" s="4"/>
      <c r="AL12" s="4"/>
      <c r="AM12" s="4"/>
      <c r="AN12" s="4"/>
      <c r="AO12" s="4"/>
      <c r="AP12" s="4"/>
      <c r="AQ12" s="4"/>
      <c r="AR12" s="4"/>
      <c r="AS12" s="4"/>
      <c r="AT12" s="4"/>
      <c r="AU12" s="4"/>
      <c r="AV12" s="4"/>
      <c r="AW12" s="4"/>
      <c r="AX12" s="4"/>
      <c r="AY12" s="4"/>
      <c r="AZ12" s="4"/>
      <c r="BA12" s="4"/>
      <c r="BB12" s="4"/>
    </row>
    <row r="13" spans="1:54" x14ac:dyDescent="0.3">
      <c r="A13" s="4">
        <v>4570</v>
      </c>
      <c r="B13" s="4"/>
      <c r="C13" s="4">
        <v>-248.09452193147808</v>
      </c>
      <c r="D13" s="4">
        <v>-10.182530445341374</v>
      </c>
      <c r="E13" s="4">
        <v>-7.2938667907787691</v>
      </c>
      <c r="F13" s="4">
        <v>-111.55011590672508</v>
      </c>
      <c r="G13" s="4">
        <v>-16.301265691101673</v>
      </c>
      <c r="H13" s="4">
        <v>-41.792855634211037</v>
      </c>
      <c r="I13" s="4">
        <v>-19.297847203194067</v>
      </c>
      <c r="J13" s="4">
        <v>-160.70933311839201</v>
      </c>
      <c r="K13" s="4">
        <v>-37.564984055026798</v>
      </c>
      <c r="L13" s="4">
        <v>-17.33238624054847</v>
      </c>
      <c r="M13" s="4">
        <v>-20.349494299222869</v>
      </c>
      <c r="N13" s="4">
        <v>-22.119519744390292</v>
      </c>
      <c r="O13" s="4">
        <v>-22.494568702376132</v>
      </c>
      <c r="P13" s="4">
        <v>-8.4761079876515293</v>
      </c>
      <c r="Q13" s="4">
        <v>-0.12332805877067592</v>
      </c>
      <c r="R13" s="4">
        <v>-0.58177137277066837</v>
      </c>
      <c r="S13" s="4">
        <v>-2.3029327608585067E-2</v>
      </c>
      <c r="T13" s="4">
        <v>3.6220088959379136E-3</v>
      </c>
      <c r="U13" s="4">
        <v>5.543079777465237E-4</v>
      </c>
      <c r="V13" s="4">
        <v>-2.4082707150556253E-4</v>
      </c>
      <c r="W13" s="4">
        <v>8.7519359890842141E-7</v>
      </c>
      <c r="X13" s="4">
        <v>2.2231161762658747E-5</v>
      </c>
      <c r="Y13" s="4">
        <v>6.2380360348987251E-7</v>
      </c>
      <c r="Z13" s="4">
        <v>1.4562068702764513E-6</v>
      </c>
      <c r="AA13" s="4">
        <v>3.3695730884423032E-8</v>
      </c>
      <c r="AB13" s="4">
        <v>5.1035344980176131E-9</v>
      </c>
      <c r="AC13" s="4">
        <v>9.6789679825891191E-11</v>
      </c>
      <c r="AD13" s="4">
        <v>8.874593292788721E-11</v>
      </c>
      <c r="AE13" s="4">
        <v>7.7873640377756484E-13</v>
      </c>
      <c r="AF13" s="4">
        <v>1.2328875669004616E-13</v>
      </c>
      <c r="AG13" s="4"/>
      <c r="AH13" s="4"/>
      <c r="AI13" s="4"/>
      <c r="AJ13" s="4"/>
      <c r="AK13" s="4"/>
      <c r="AL13" s="4"/>
      <c r="AM13" s="4"/>
      <c r="AN13" s="4"/>
      <c r="AO13" s="4"/>
      <c r="AP13" s="4"/>
      <c r="AQ13" s="4"/>
      <c r="AR13" s="4"/>
      <c r="AS13" s="4"/>
      <c r="AT13" s="4"/>
      <c r="AU13" s="4"/>
      <c r="AV13" s="4"/>
      <c r="AW13" s="4"/>
      <c r="AX13" s="4"/>
      <c r="AY13" s="4"/>
      <c r="AZ13" s="4"/>
      <c r="BA13" s="4"/>
      <c r="BB13" s="4"/>
    </row>
    <row r="14" spans="1:54" x14ac:dyDescent="0.3">
      <c r="A14" s="4">
        <v>4560</v>
      </c>
      <c r="B14" s="4"/>
      <c r="C14" s="4">
        <v>-276.60361365809268</v>
      </c>
      <c r="D14" s="4">
        <v>-9.1830183588081216</v>
      </c>
      <c r="E14" s="4">
        <v>-6.8300657419046029</v>
      </c>
      <c r="F14" s="4">
        <v>-108.48331635379253</v>
      </c>
      <c r="G14" s="4">
        <v>-16.46757457267065</v>
      </c>
      <c r="H14" s="4">
        <v>-43.864808817614723</v>
      </c>
      <c r="I14" s="4">
        <v>-21.048465102746491</v>
      </c>
      <c r="J14" s="4">
        <v>-182.19755643378062</v>
      </c>
      <c r="K14" s="4">
        <v>-44.275969159453993</v>
      </c>
      <c r="L14" s="4">
        <v>-21.243263183377252</v>
      </c>
      <c r="M14" s="4">
        <v>-25.941205096465954</v>
      </c>
      <c r="N14" s="4">
        <v>-29.334764746368752</v>
      </c>
      <c r="O14" s="4">
        <v>-31.042223008297778</v>
      </c>
      <c r="P14" s="4">
        <v>-12.174154568848992</v>
      </c>
      <c r="Q14" s="4">
        <v>-0.18440449879865986</v>
      </c>
      <c r="R14" s="4">
        <v>-0.90579623220103456</v>
      </c>
      <c r="S14" s="4">
        <v>-3.7344823230003182E-2</v>
      </c>
      <c r="T14" s="4">
        <v>6.1188991148400677E-3</v>
      </c>
      <c r="U14" s="4">
        <v>9.7578560070069682E-4</v>
      </c>
      <c r="V14" s="4">
        <v>-4.418696641290288E-4</v>
      </c>
      <c r="W14" s="4">
        <v>1.6741177394404919E-6</v>
      </c>
      <c r="X14" s="4">
        <v>4.4345103748152366E-5</v>
      </c>
      <c r="Y14" s="4">
        <v>1.2979053628783453E-6</v>
      </c>
      <c r="Z14" s="4">
        <v>3.1611213809048651E-6</v>
      </c>
      <c r="AA14" s="4">
        <v>7.6335860504764904E-8</v>
      </c>
      <c r="AB14" s="4">
        <v>1.2069088548242509E-8</v>
      </c>
      <c r="AC14" s="4">
        <v>2.3899985915350642E-10</v>
      </c>
      <c r="AD14" s="4">
        <v>2.2887541334618604E-10</v>
      </c>
      <c r="AE14" s="4">
        <v>2.0981746426959059E-12</v>
      </c>
      <c r="AF14" s="4">
        <v>3.4713226484452828E-13</v>
      </c>
      <c r="AG14" s="4"/>
      <c r="AH14" s="4"/>
      <c r="AI14" s="4"/>
      <c r="AJ14" s="4"/>
      <c r="AK14" s="4"/>
      <c r="AL14" s="4"/>
      <c r="AM14" s="4"/>
      <c r="AN14" s="4"/>
      <c r="AO14" s="4"/>
      <c r="AP14" s="4"/>
      <c r="AQ14" s="4"/>
      <c r="AR14" s="4"/>
      <c r="AS14" s="4"/>
      <c r="AT14" s="4"/>
      <c r="AU14" s="4"/>
      <c r="AV14" s="4"/>
      <c r="AW14" s="4"/>
      <c r="AX14" s="4"/>
      <c r="AY14" s="4"/>
      <c r="AZ14" s="4"/>
      <c r="BA14" s="4"/>
      <c r="BB14" s="4"/>
    </row>
    <row r="15" spans="1:54" x14ac:dyDescent="0.3">
      <c r="A15" s="4">
        <v>4550</v>
      </c>
      <c r="B15" s="4"/>
      <c r="C15" s="4">
        <v>-307.64526100778824</v>
      </c>
      <c r="D15" s="4">
        <v>-8.1537257770992024</v>
      </c>
      <c r="E15" s="4">
        <v>-6.2975078967022391</v>
      </c>
      <c r="F15" s="4">
        <v>-103.88879812724331</v>
      </c>
      <c r="G15" s="4">
        <v>-16.382759314212937</v>
      </c>
      <c r="H15" s="4">
        <v>-45.343599287165759</v>
      </c>
      <c r="I15" s="4">
        <v>-22.61279329762144</v>
      </c>
      <c r="J15" s="4">
        <v>-203.47125814863574</v>
      </c>
      <c r="K15" s="4">
        <v>-51.410175059905235</v>
      </c>
      <c r="L15" s="4">
        <v>-25.651780391294125</v>
      </c>
      <c r="M15" s="4">
        <v>-32.583487730046258</v>
      </c>
      <c r="N15" s="4">
        <v>-38.335233901992304</v>
      </c>
      <c r="O15" s="4">
        <v>-42.215745251644655</v>
      </c>
      <c r="P15" s="4">
        <v>-17.23319378349029</v>
      </c>
      <c r="Q15" s="4">
        <v>-0.27177162164257124</v>
      </c>
      <c r="R15" s="4">
        <v>-1.3901773863880198</v>
      </c>
      <c r="S15" s="4">
        <v>-5.9700765527877876E-2</v>
      </c>
      <c r="T15" s="4">
        <v>1.0191460771816218E-2</v>
      </c>
      <c r="U15" s="4">
        <v>1.693699259725717E-3</v>
      </c>
      <c r="V15" s="4">
        <v>-7.9946815815159003E-4</v>
      </c>
      <c r="W15" s="4">
        <v>3.1580986158415391E-6</v>
      </c>
      <c r="X15" s="4">
        <v>8.7242273540052916E-5</v>
      </c>
      <c r="Y15" s="4">
        <v>2.6636438685512928E-6</v>
      </c>
      <c r="Z15" s="4">
        <v>6.7692054983254772E-6</v>
      </c>
      <c r="AA15" s="4">
        <v>1.7060880967870499E-7</v>
      </c>
      <c r="AB15" s="4">
        <v>2.8160344184065897E-8</v>
      </c>
      <c r="AC15" s="4">
        <v>5.8232776811431212E-10</v>
      </c>
      <c r="AD15" s="4">
        <v>5.8249545444643887E-10</v>
      </c>
      <c r="AE15" s="4">
        <v>5.579267971653888E-12</v>
      </c>
      <c r="AF15" s="4">
        <v>9.6470137487791786E-13</v>
      </c>
      <c r="AG15" s="4"/>
      <c r="AH15" s="4"/>
      <c r="AI15" s="4"/>
      <c r="AJ15" s="4"/>
      <c r="AK15" s="4"/>
      <c r="AL15" s="4"/>
      <c r="AM15" s="4"/>
      <c r="AN15" s="4"/>
      <c r="AO15" s="4"/>
      <c r="AP15" s="4"/>
      <c r="AQ15" s="4"/>
      <c r="AR15" s="4"/>
      <c r="AS15" s="4"/>
      <c r="AT15" s="4"/>
      <c r="AU15" s="4"/>
      <c r="AV15" s="4"/>
      <c r="AW15" s="4"/>
      <c r="AX15" s="4"/>
      <c r="AY15" s="4"/>
      <c r="AZ15" s="4"/>
      <c r="BA15" s="4"/>
      <c r="BB15" s="4"/>
    </row>
    <row r="16" spans="1:54" x14ac:dyDescent="0.3">
      <c r="A16" s="4">
        <v>4540</v>
      </c>
      <c r="B16" s="4"/>
      <c r="C16" s="4">
        <v>-341.46425094948717</v>
      </c>
      <c r="D16" s="4">
        <v>-7.1272706301485904</v>
      </c>
      <c r="E16" s="4">
        <v>-5.7166957856966851</v>
      </c>
      <c r="F16" s="4">
        <v>-97.958750075063037</v>
      </c>
      <c r="G16" s="4">
        <v>-16.049060878970618</v>
      </c>
      <c r="H16" s="4">
        <v>-46.159119792238876</v>
      </c>
      <c r="I16" s="4">
        <v>-23.925806770715077</v>
      </c>
      <c r="J16" s="4">
        <v>-223.80985836479334</v>
      </c>
      <c r="K16" s="4">
        <v>-58.800759734776626</v>
      </c>
      <c r="L16" s="4">
        <v>-30.514347128050812</v>
      </c>
      <c r="M16" s="4">
        <v>-40.321151391207358</v>
      </c>
      <c r="N16" s="4">
        <v>-49.360485279041136</v>
      </c>
      <c r="O16" s="4">
        <v>-56.571797640495866</v>
      </c>
      <c r="P16" s="4">
        <v>-24.040024179617578</v>
      </c>
      <c r="Q16" s="4">
        <v>-0.394745678497542</v>
      </c>
      <c r="R16" s="4">
        <v>-2.102951970030511</v>
      </c>
      <c r="S16" s="4">
        <v>-9.4077936204301021E-2</v>
      </c>
      <c r="T16" s="4">
        <v>1.6733899839523007E-2</v>
      </c>
      <c r="U16" s="4">
        <v>2.8983791658593358E-3</v>
      </c>
      <c r="V16" s="4">
        <v>-1.4262144206879585E-3</v>
      </c>
      <c r="W16" s="4">
        <v>5.8746492299175859E-6</v>
      </c>
      <c r="X16" s="4">
        <v>1.6926414584533036E-4</v>
      </c>
      <c r="Y16" s="4">
        <v>5.3914597651456537E-6</v>
      </c>
      <c r="Z16" s="4">
        <v>1.4297889166077159E-5</v>
      </c>
      <c r="AA16" s="4">
        <v>3.7614290443108369E-7</v>
      </c>
      <c r="AB16" s="4">
        <v>6.4821808047388438E-8</v>
      </c>
      <c r="AC16" s="4">
        <v>1.3999045648305072E-9</v>
      </c>
      <c r="AD16" s="4">
        <v>1.4628124594848379E-9</v>
      </c>
      <c r="AE16" s="4">
        <v>1.4640550808442896E-11</v>
      </c>
      <c r="AF16" s="4">
        <v>2.6459253221642834E-12</v>
      </c>
      <c r="AG16" s="4"/>
      <c r="AH16" s="4"/>
      <c r="AI16" s="4"/>
      <c r="AJ16" s="4"/>
      <c r="AK16" s="4"/>
      <c r="AL16" s="4"/>
      <c r="AM16" s="4"/>
      <c r="AN16" s="4"/>
      <c r="AO16" s="4"/>
      <c r="AP16" s="4"/>
      <c r="AQ16" s="4"/>
      <c r="AR16" s="4"/>
      <c r="AS16" s="4"/>
      <c r="AT16" s="4"/>
      <c r="AU16" s="4"/>
      <c r="AV16" s="4"/>
      <c r="AW16" s="4"/>
      <c r="AX16" s="4"/>
      <c r="AY16" s="4"/>
      <c r="AZ16" s="4"/>
      <c r="BA16" s="4"/>
      <c r="BB16" s="4"/>
    </row>
    <row r="17" spans="1:54" x14ac:dyDescent="0.3">
      <c r="A17" s="4">
        <v>4530</v>
      </c>
      <c r="B17" s="4"/>
      <c r="C17" s="4">
        <v>-378.31550806162966</v>
      </c>
      <c r="D17" s="4">
        <v>-6.1325645094017043</v>
      </c>
      <c r="E17" s="4">
        <v>-5.1086876884806172</v>
      </c>
      <c r="F17" s="4">
        <v>-90.93729640589379</v>
      </c>
      <c r="G17" s="4">
        <v>-15.480075205589953</v>
      </c>
      <c r="H17" s="4">
        <v>-46.26970102327698</v>
      </c>
      <c r="I17" s="4">
        <v>-24.929501630809579</v>
      </c>
      <c r="J17" s="4">
        <v>-242.45277968693702</v>
      </c>
      <c r="K17" s="4">
        <v>-66.24086552497738</v>
      </c>
      <c r="L17" s="4">
        <v>-35.755055825118482</v>
      </c>
      <c r="M17" s="4">
        <v>-49.153325330548718</v>
      </c>
      <c r="N17" s="4">
        <v>-62.615719567444273</v>
      </c>
      <c r="O17" s="4">
        <v>-74.694116551630216</v>
      </c>
      <c r="P17" s="4">
        <v>-33.044819970507795</v>
      </c>
      <c r="Q17" s="4">
        <v>-0.56502636127994921</v>
      </c>
      <c r="R17" s="4">
        <v>-3.1352014110912951</v>
      </c>
      <c r="S17" s="4">
        <v>-0.14612070490586823</v>
      </c>
      <c r="T17" s="4">
        <v>2.7084034314091079E-2</v>
      </c>
      <c r="U17" s="4">
        <v>4.8895530449708435E-3</v>
      </c>
      <c r="V17" s="4">
        <v>-2.5084379988937846E-3</v>
      </c>
      <c r="W17" s="4">
        <v>1.0774897828002437E-5</v>
      </c>
      <c r="X17" s="4">
        <v>3.2383087477804107E-4</v>
      </c>
      <c r="Y17" s="4">
        <v>1.0761985789820978E-5</v>
      </c>
      <c r="Z17" s="4">
        <v>2.9785355818269153E-5</v>
      </c>
      <c r="AA17" s="4">
        <v>8.1797868221710397E-7</v>
      </c>
      <c r="AB17" s="4">
        <v>1.4719169898815917E-7</v>
      </c>
      <c r="AC17" s="4">
        <v>3.3200904555178142E-9</v>
      </c>
      <c r="AD17" s="4">
        <v>3.624491929802953E-9</v>
      </c>
      <c r="AE17" s="4">
        <v>3.7908977379067974E-11</v>
      </c>
      <c r="AF17" s="4">
        <v>7.1615837172159186E-12</v>
      </c>
      <c r="AG17" s="4"/>
      <c r="AH17" s="4"/>
      <c r="AI17" s="4"/>
      <c r="AJ17" s="4"/>
      <c r="AK17" s="4"/>
      <c r="AL17" s="4"/>
      <c r="AM17" s="4"/>
      <c r="AN17" s="4"/>
      <c r="AO17" s="4"/>
      <c r="AP17" s="4"/>
      <c r="AQ17" s="4"/>
      <c r="AR17" s="4"/>
      <c r="AS17" s="4"/>
      <c r="AT17" s="4"/>
      <c r="AU17" s="4"/>
      <c r="AV17" s="4"/>
      <c r="AW17" s="4"/>
      <c r="AX17" s="4"/>
      <c r="AY17" s="4"/>
      <c r="AZ17" s="4"/>
      <c r="BA17" s="4"/>
      <c r="BB17" s="4"/>
    </row>
    <row r="18" spans="1:54" x14ac:dyDescent="0.3">
      <c r="A18" s="4">
        <v>4520</v>
      </c>
      <c r="B18" s="4"/>
      <c r="C18" s="4">
        <v>-418.44756478298456</v>
      </c>
      <c r="D18" s="4">
        <v>-5.1935891808275096</v>
      </c>
      <c r="E18" s="4">
        <v>-4.4938291945754667</v>
      </c>
      <c r="F18" s="4">
        <v>-83.103691950982352</v>
      </c>
      <c r="G18" s="4">
        <v>-14.699843936876617</v>
      </c>
      <c r="H18" s="4">
        <v>-45.665584912643133</v>
      </c>
      <c r="I18" s="4">
        <v>-25.577076556455303</v>
      </c>
      <c r="J18" s="4">
        <v>-258.64421805692172</v>
      </c>
      <c r="K18" s="4">
        <v>-73.491019005959046</v>
      </c>
      <c r="L18" s="4">
        <v>-41.264236786899737</v>
      </c>
      <c r="M18" s="4">
        <v>-59.021989302488521</v>
      </c>
      <c r="N18" s="4">
        <v>-78.246782307124931</v>
      </c>
      <c r="O18" s="4">
        <v>-97.160643307016414</v>
      </c>
      <c r="P18" s="4">
        <v>-44.753611292885523</v>
      </c>
      <c r="Q18" s="4">
        <v>-0.79692068349931444</v>
      </c>
      <c r="R18" s="4">
        <v>-4.6061246109754812</v>
      </c>
      <c r="S18" s="4">
        <v>-0.22367074830335565</v>
      </c>
      <c r="T18" s="4">
        <v>4.3205848797668277E-2</v>
      </c>
      <c r="U18" s="4">
        <v>8.1308489822836724E-3</v>
      </c>
      <c r="V18" s="4">
        <v>-4.3492532726693914E-3</v>
      </c>
      <c r="W18" s="4">
        <v>1.9483968118436315E-5</v>
      </c>
      <c r="X18" s="4">
        <v>6.1086473202855195E-4</v>
      </c>
      <c r="Y18" s="4">
        <v>2.1183256036109442E-5</v>
      </c>
      <c r="Z18" s="4">
        <v>6.1191189772184638E-5</v>
      </c>
      <c r="AA18" s="4">
        <v>1.7543957614271071E-6</v>
      </c>
      <c r="AB18" s="4">
        <v>3.2967305738546896E-7</v>
      </c>
      <c r="AC18" s="4">
        <v>7.7674972243151534E-9</v>
      </c>
      <c r="AD18" s="4">
        <v>8.8598696405949137E-9</v>
      </c>
      <c r="AE18" s="4">
        <v>9.6848009376217434E-11</v>
      </c>
      <c r="AF18" s="4">
        <v>1.9127009535434901E-11</v>
      </c>
      <c r="AG18" s="4"/>
      <c r="AH18" s="4"/>
      <c r="AI18" s="4"/>
      <c r="AJ18" s="4"/>
      <c r="AK18" s="4"/>
      <c r="AL18" s="4"/>
      <c r="AM18" s="4"/>
      <c r="AN18" s="4"/>
      <c r="AO18" s="4"/>
      <c r="AP18" s="4"/>
      <c r="AQ18" s="4"/>
      <c r="AR18" s="4"/>
      <c r="AS18" s="4"/>
      <c r="AT18" s="4"/>
      <c r="AU18" s="4"/>
      <c r="AV18" s="4"/>
      <c r="AW18" s="4"/>
      <c r="AX18" s="4"/>
      <c r="AY18" s="4"/>
      <c r="AZ18" s="4"/>
      <c r="BA18" s="4"/>
      <c r="BB18" s="4"/>
    </row>
    <row r="19" spans="1:54" x14ac:dyDescent="0.3">
      <c r="A19" s="4">
        <v>4510</v>
      </c>
      <c r="B19" s="4"/>
      <c r="C19" s="4">
        <v>-462.07929889885838</v>
      </c>
      <c r="D19" s="4">
        <v>-4.3286667646678234</v>
      </c>
      <c r="E19" s="4">
        <v>-3.8906428500945158</v>
      </c>
      <c r="F19" s="4">
        <v>-74.753735006295372</v>
      </c>
      <c r="G19" s="4">
        <v>-13.741165898298224</v>
      </c>
      <c r="H19" s="4">
        <v>-44.370023816466777</v>
      </c>
      <c r="I19" s="4">
        <v>-25.836508579412129</v>
      </c>
      <c r="J19" s="4">
        <v>-271.68240383049204</v>
      </c>
      <c r="K19" s="4">
        <v>-80.290358097790488</v>
      </c>
      <c r="L19" s="4">
        <v>-46.899581162157325</v>
      </c>
      <c r="M19" s="4">
        <v>-69.802619783152593</v>
      </c>
      <c r="N19" s="4">
        <v>-96.312998835143446</v>
      </c>
      <c r="O19" s="4">
        <v>-124.49968688877786</v>
      </c>
      <c r="P19" s="4">
        <v>-59.712530666704936</v>
      </c>
      <c r="Q19" s="4">
        <v>-1.1074221685097194</v>
      </c>
      <c r="R19" s="4">
        <v>-6.668020112867926</v>
      </c>
      <c r="S19" s="4">
        <v>-0.33739379284601623</v>
      </c>
      <c r="T19" s="4">
        <v>6.7926917863957034E-2</v>
      </c>
      <c r="U19" s="4">
        <v>1.3326397386999859E-2</v>
      </c>
      <c r="V19" s="4">
        <v>-7.4332090366464789E-3</v>
      </c>
      <c r="W19" s="4">
        <v>3.4732209065292787E-5</v>
      </c>
      <c r="X19" s="4">
        <v>1.136065229413275E-3</v>
      </c>
      <c r="Y19" s="4">
        <v>4.1111691836082129E-5</v>
      </c>
      <c r="Z19" s="4">
        <v>1.2396197864499039E-4</v>
      </c>
      <c r="AA19" s="4">
        <v>3.7108044360286476E-6</v>
      </c>
      <c r="AB19" s="4">
        <v>7.2824947163535323E-7</v>
      </c>
      <c r="AC19" s="4">
        <v>1.7924655249534764E-8</v>
      </c>
      <c r="AD19" s="4">
        <v>2.1364278541148069E-8</v>
      </c>
      <c r="AE19" s="4">
        <v>2.4409702580809285E-10</v>
      </c>
      <c r="AF19" s="4">
        <v>5.0402370020955961E-11</v>
      </c>
      <c r="AG19" s="4"/>
      <c r="AH19" s="4"/>
      <c r="AI19" s="4"/>
      <c r="AJ19" s="4"/>
      <c r="AK19" s="4"/>
      <c r="AL19" s="4"/>
      <c r="AM19" s="4"/>
      <c r="AN19" s="4"/>
      <c r="AO19" s="4"/>
      <c r="AP19" s="4"/>
      <c r="AQ19" s="4"/>
      <c r="AR19" s="4"/>
      <c r="AS19" s="4"/>
      <c r="AT19" s="4"/>
      <c r="AU19" s="4"/>
      <c r="AV19" s="4"/>
      <c r="AW19" s="4"/>
      <c r="AX19" s="4"/>
      <c r="AY19" s="4"/>
      <c r="AZ19" s="4"/>
      <c r="BA19" s="4"/>
      <c r="BB19" s="4"/>
    </row>
    <row r="20" spans="1:54" x14ac:dyDescent="0.3">
      <c r="A20" s="4">
        <v>4500</v>
      </c>
      <c r="B20" s="4"/>
      <c r="C20" s="4">
        <v>-509.36966498403046</v>
      </c>
      <c r="D20" s="4">
        <v>-3.5502254750165467</v>
      </c>
      <c r="E20" s="4">
        <v>-3.3149582154784714</v>
      </c>
      <c r="F20" s="4">
        <v>-66.181137764601175</v>
      </c>
      <c r="G20" s="4">
        <v>-12.643294725777556</v>
      </c>
      <c r="H20" s="4">
        <v>-42.437851441967624</v>
      </c>
      <c r="I20" s="4">
        <v>-25.693147499014067</v>
      </c>
      <c r="J20" s="4">
        <v>-280.96905715848641</v>
      </c>
      <c r="K20" s="4">
        <v>-86.371141365464382</v>
      </c>
      <c r="L20" s="4">
        <v>-52.490215302181397</v>
      </c>
      <c r="M20" s="4">
        <v>-81.298430924051175</v>
      </c>
      <c r="N20" s="4">
        <v>-116.7600900553265</v>
      </c>
      <c r="O20" s="4">
        <v>-157.13610733647704</v>
      </c>
      <c r="P20" s="4">
        <v>-78.482296141723396</v>
      </c>
      <c r="Q20" s="4">
        <v>-1.5160703743721839</v>
      </c>
      <c r="R20" s="4">
        <v>-9.5105489047725094</v>
      </c>
      <c r="S20" s="4">
        <v>-0.5014782592637762</v>
      </c>
      <c r="T20" s="4">
        <v>0.10523695969146223</v>
      </c>
      <c r="U20" s="4">
        <v>2.152567444970279E-2</v>
      </c>
      <c r="V20" s="4">
        <v>-1.2521187030688607E-2</v>
      </c>
      <c r="W20" s="4">
        <v>6.1028896717302848E-5</v>
      </c>
      <c r="X20" s="4">
        <v>2.0828138195412259E-3</v>
      </c>
      <c r="Y20" s="4">
        <v>7.8662554824820757E-5</v>
      </c>
      <c r="Z20" s="4">
        <v>2.4760505882740597E-4</v>
      </c>
      <c r="AA20" s="4">
        <v>7.7396545447827915E-6</v>
      </c>
      <c r="AB20" s="4">
        <v>1.5864696518908433E-6</v>
      </c>
      <c r="AC20" s="4">
        <v>4.0795992173081079E-8</v>
      </c>
      <c r="AD20" s="4">
        <v>5.0814597800292759E-8</v>
      </c>
      <c r="AE20" s="4">
        <v>6.0689880431299382E-10</v>
      </c>
      <c r="AF20" s="4">
        <v>1.310327210369637E-10</v>
      </c>
      <c r="AG20" s="4"/>
      <c r="AH20" s="4"/>
      <c r="AI20" s="4"/>
      <c r="AJ20" s="4"/>
      <c r="AK20" s="4"/>
      <c r="AL20" s="4"/>
      <c r="AM20" s="4"/>
      <c r="AN20" s="4"/>
      <c r="AO20" s="4"/>
      <c r="AP20" s="4"/>
      <c r="AQ20" s="4"/>
      <c r="AR20" s="4"/>
      <c r="AS20" s="4"/>
      <c r="AT20" s="4"/>
      <c r="AU20" s="4"/>
      <c r="AV20" s="4"/>
      <c r="AW20" s="4"/>
      <c r="AX20" s="4"/>
      <c r="AY20" s="4"/>
      <c r="AZ20" s="4"/>
      <c r="BA20" s="4"/>
      <c r="BB20" s="4"/>
    </row>
    <row r="21" spans="1:54" x14ac:dyDescent="0.3">
      <c r="A21" s="4">
        <v>4490</v>
      </c>
      <c r="B21" s="4"/>
      <c r="C21" s="4">
        <v>-560.38095673178248</v>
      </c>
      <c r="D21" s="4">
        <v>-2.8650136620262736</v>
      </c>
      <c r="E21" s="4">
        <v>-2.7793328468571685</v>
      </c>
      <c r="F21" s="4">
        <v>-57.660499387459495</v>
      </c>
      <c r="G21" s="4">
        <v>-11.449249238327347</v>
      </c>
      <c r="H21" s="4">
        <v>-39.951640628343974</v>
      </c>
      <c r="I21" s="4">
        <v>-25.151039577649524</v>
      </c>
      <c r="J21" s="4">
        <v>-286.05429451080983</v>
      </c>
      <c r="K21" s="4">
        <v>-91.475539251422958</v>
      </c>
      <c r="L21" s="4">
        <v>-57.843834362867042</v>
      </c>
      <c r="M21" s="4">
        <v>-93.239604831871645</v>
      </c>
      <c r="N21" s="4">
        <v>-139.39604892178474</v>
      </c>
      <c r="O21" s="4">
        <v>-195.33010195514586</v>
      </c>
      <c r="P21" s="4">
        <v>-101.6020639830427</v>
      </c>
      <c r="Q21" s="4">
        <v>-2.0445111951480817</v>
      </c>
      <c r="R21" s="4">
        <v>-13.363427253581069</v>
      </c>
      <c r="S21" s="4">
        <v>-0.73436260839860112</v>
      </c>
      <c r="T21" s="4">
        <v>0.1606490534414548</v>
      </c>
      <c r="U21" s="4">
        <v>3.4262936147073993E-2</v>
      </c>
      <c r="V21" s="4">
        <v>-2.0786386847663242E-2</v>
      </c>
      <c r="W21" s="4">
        <v>1.056924012658635E-4</v>
      </c>
      <c r="X21" s="4">
        <v>3.763949599093765E-3</v>
      </c>
      <c r="Y21" s="4">
        <v>1.4837413229197907E-4</v>
      </c>
      <c r="Z21" s="4">
        <v>4.875952938579896E-4</v>
      </c>
      <c r="AA21" s="4">
        <v>1.5916436810571761E-5</v>
      </c>
      <c r="AB21" s="4">
        <v>3.4079731544308603E-6</v>
      </c>
      <c r="AC21" s="4">
        <v>9.1567065565074949E-8</v>
      </c>
      <c r="AD21" s="4">
        <v>1.1920279218093951E-7</v>
      </c>
      <c r="AE21" s="4">
        <v>1.4883688911470302E-9</v>
      </c>
      <c r="AF21" s="4">
        <v>3.3604092600824424E-10</v>
      </c>
      <c r="AG21" s="4"/>
      <c r="AH21" s="4"/>
      <c r="AI21" s="4"/>
      <c r="AJ21" s="4"/>
      <c r="AK21" s="4"/>
      <c r="AL21" s="4"/>
      <c r="AM21" s="4"/>
      <c r="AN21" s="4"/>
      <c r="AO21" s="4"/>
      <c r="AP21" s="4"/>
      <c r="AQ21" s="4"/>
      <c r="AR21" s="4"/>
      <c r="AS21" s="4"/>
      <c r="AT21" s="4"/>
      <c r="AU21" s="4"/>
      <c r="AV21" s="4"/>
      <c r="AW21" s="4"/>
      <c r="AX21" s="4"/>
      <c r="AY21" s="4"/>
      <c r="AZ21" s="4"/>
      <c r="BA21" s="4"/>
      <c r="BB21" s="4"/>
    </row>
    <row r="22" spans="1:54" x14ac:dyDescent="0.3">
      <c r="A22" s="4">
        <v>4480</v>
      </c>
      <c r="B22" s="4"/>
      <c r="C22" s="4">
        <v>-615.03720767862262</v>
      </c>
      <c r="D22" s="4">
        <v>-2.2746774237548806</v>
      </c>
      <c r="E22" s="4">
        <v>-2.2927801553234088</v>
      </c>
      <c r="F22" s="4">
        <v>-49.433244590450286</v>
      </c>
      <c r="G22" s="4">
        <v>-10.202995649100174</v>
      </c>
      <c r="H22" s="4">
        <v>-37.015821721785855</v>
      </c>
      <c r="I22" s="4">
        <v>-24.232818324295284</v>
      </c>
      <c r="J22" s="4">
        <v>-286.67236156639513</v>
      </c>
      <c r="K22" s="4">
        <v>-95.373320302307405</v>
      </c>
      <c r="L22" s="4">
        <v>-62.756662992726007</v>
      </c>
      <c r="M22" s="4">
        <v>-105.28861064138535</v>
      </c>
      <c r="N22" s="4">
        <v>-163.87326154317972</v>
      </c>
      <c r="O22" s="4">
        <v>-239.11292680370715</v>
      </c>
      <c r="P22" s="4">
        <v>-129.54282938697676</v>
      </c>
      <c r="Q22" s="4">
        <v>-2.715683760896328</v>
      </c>
      <c r="R22" s="4">
        <v>-18.49649660160178</v>
      </c>
      <c r="S22" s="4">
        <v>-1.0594204896149046</v>
      </c>
      <c r="T22" s="4">
        <v>0.24161709808640974</v>
      </c>
      <c r="U22" s="4">
        <v>5.3736884864040893E-2</v>
      </c>
      <c r="V22" s="4">
        <v>-3.4004260554030309E-2</v>
      </c>
      <c r="W22" s="4">
        <v>1.8039056020952872E-4</v>
      </c>
      <c r="X22" s="4">
        <v>6.7040950021744952E-3</v>
      </c>
      <c r="Y22" s="4">
        <v>2.7586259235505822E-4</v>
      </c>
      <c r="Z22" s="4">
        <v>9.4655464215340202E-4</v>
      </c>
      <c r="AA22" s="4">
        <v>3.2269949560851463E-5</v>
      </c>
      <c r="AB22" s="4">
        <v>7.218233980430766E-6</v>
      </c>
      <c r="AC22" s="4">
        <v>2.0266277233014651E-7</v>
      </c>
      <c r="AD22" s="4">
        <v>2.7576554695856154E-7</v>
      </c>
      <c r="AE22" s="4">
        <v>3.6000087193366904E-9</v>
      </c>
      <c r="AF22" s="4">
        <v>8.5005406370338724E-10</v>
      </c>
      <c r="AG22" s="4"/>
      <c r="AH22" s="4"/>
      <c r="AI22" s="4"/>
      <c r="AJ22" s="4"/>
      <c r="AK22" s="4"/>
      <c r="AL22" s="4"/>
      <c r="AM22" s="4"/>
      <c r="AN22" s="4"/>
      <c r="AO22" s="4"/>
      <c r="AP22" s="4"/>
      <c r="AQ22" s="4"/>
      <c r="AR22" s="4"/>
      <c r="AS22" s="4"/>
      <c r="AT22" s="4"/>
      <c r="AU22" s="4"/>
      <c r="AV22" s="4"/>
      <c r="AW22" s="4"/>
      <c r="AX22" s="4"/>
      <c r="AY22" s="4"/>
      <c r="AZ22" s="4"/>
      <c r="BA22" s="4"/>
      <c r="BB22" s="4"/>
    </row>
    <row r="23" spans="1:54" x14ac:dyDescent="0.3">
      <c r="A23" s="4">
        <v>4470</v>
      </c>
      <c r="B23" s="4"/>
      <c r="C23" s="4">
        <v>-673.08057125724997</v>
      </c>
      <c r="D23" s="4">
        <v>-1.7765944246205381</v>
      </c>
      <c r="E23" s="4">
        <v>-1.8607875216521756</v>
      </c>
      <c r="F23" s="4">
        <v>-41.697470621542656</v>
      </c>
      <c r="G23" s="4">
        <v>-8.9467609801494028</v>
      </c>
      <c r="H23" s="4">
        <v>-33.749347668515412</v>
      </c>
      <c r="I23" s="4">
        <v>-22.978152214339424</v>
      </c>
      <c r="J23" s="4">
        <v>-282.76428509613214</v>
      </c>
      <c r="K23" s="4">
        <v>-97.878793194277051</v>
      </c>
      <c r="L23" s="4">
        <v>-67.025645821092468</v>
      </c>
      <c r="M23" s="4">
        <v>-117.05220406599771</v>
      </c>
      <c r="N23" s="4">
        <v>-189.68020704899979</v>
      </c>
      <c r="O23" s="4">
        <v>-288.22556206034284</v>
      </c>
      <c r="P23" s="4">
        <v>-162.65195540497928</v>
      </c>
      <c r="Q23" s="4">
        <v>-3.5525785513619788</v>
      </c>
      <c r="R23" s="4">
        <v>-25.215980013337575</v>
      </c>
      <c r="S23" s="4">
        <v>-1.5055012640293579</v>
      </c>
      <c r="T23" s="4">
        <v>0.35799134691945872</v>
      </c>
      <c r="U23" s="4">
        <v>8.3034091022053697E-2</v>
      </c>
      <c r="V23" s="4">
        <v>-5.4810607101511956E-2</v>
      </c>
      <c r="W23" s="4">
        <v>3.0339048039150572E-4</v>
      </c>
      <c r="X23" s="4">
        <v>1.1767820088804518E-2</v>
      </c>
      <c r="Y23" s="4">
        <v>5.0550864062517411E-4</v>
      </c>
      <c r="Z23" s="4">
        <v>1.8112355200611344E-3</v>
      </c>
      <c r="AA23" s="4">
        <v>6.4496468477300668E-5</v>
      </c>
      <c r="AB23" s="4">
        <v>1.5072780567251489E-5</v>
      </c>
      <c r="AC23" s="4">
        <v>4.4226133610175748E-7</v>
      </c>
      <c r="AD23" s="4">
        <v>6.2908139771565549E-7</v>
      </c>
      <c r="AE23" s="4">
        <v>8.587228052234655E-9</v>
      </c>
      <c r="AF23" s="4">
        <v>2.1208057277111417E-9</v>
      </c>
      <c r="AG23" s="4"/>
      <c r="AH23" s="4"/>
      <c r="AI23" s="4"/>
      <c r="AJ23" s="4"/>
      <c r="AK23" s="4"/>
      <c r="AL23" s="4"/>
      <c r="AM23" s="4"/>
      <c r="AN23" s="4"/>
      <c r="AO23" s="4"/>
      <c r="AP23" s="4"/>
      <c r="AQ23" s="4"/>
      <c r="AR23" s="4"/>
      <c r="AS23" s="4"/>
      <c r="AT23" s="4"/>
      <c r="AU23" s="4"/>
      <c r="AV23" s="4"/>
      <c r="AW23" s="4"/>
      <c r="AX23" s="4"/>
      <c r="AY23" s="4"/>
      <c r="AZ23" s="4"/>
      <c r="BA23" s="4"/>
      <c r="BB23" s="4"/>
    </row>
    <row r="24" spans="1:54" x14ac:dyDescent="0.3">
      <c r="A24" s="4">
        <v>4460</v>
      </c>
      <c r="B24" s="4"/>
      <c r="C24" s="4">
        <v>-734.02975134190149</v>
      </c>
      <c r="D24" s="4">
        <v>-1.3648494349865323</v>
      </c>
      <c r="E24" s="4">
        <v>-1.4855814006905943</v>
      </c>
      <c r="F24" s="4">
        <v>-34.602153750910901</v>
      </c>
      <c r="G24" s="4">
        <v>-7.7187064828153957</v>
      </c>
      <c r="H24" s="4">
        <v>-30.277629349091818</v>
      </c>
      <c r="I24" s="4">
        <v>-21.440895646507371</v>
      </c>
      <c r="J24" s="4">
        <v>-274.48479377612875</v>
      </c>
      <c r="K24" s="4">
        <v>-98.865299913054002</v>
      </c>
      <c r="L24" s="4">
        <v>-70.461930859929552</v>
      </c>
      <c r="M24" s="4">
        <v>-128.10001258547672</v>
      </c>
      <c r="N24" s="4">
        <v>-216.14566874075635</v>
      </c>
      <c r="O24" s="4">
        <v>-342.06764001070553</v>
      </c>
      <c r="P24" s="4">
        <v>-201.0920654725322</v>
      </c>
      <c r="Q24" s="4">
        <v>-4.5765459439089549</v>
      </c>
      <c r="R24" s="4">
        <v>-33.855716381766221</v>
      </c>
      <c r="S24" s="4">
        <v>-2.1071916429422091</v>
      </c>
      <c r="T24" s="4">
        <v>0.52247818073459962</v>
      </c>
      <c r="U24" s="4">
        <v>0.12639561219334336</v>
      </c>
      <c r="V24" s="4">
        <v>-8.7041946417187169E-2</v>
      </c>
      <c r="W24" s="4">
        <v>5.0276395401685492E-4</v>
      </c>
      <c r="X24" s="4">
        <v>2.0354831259798551E-2</v>
      </c>
      <c r="Y24" s="4">
        <v>9.1289707631494966E-4</v>
      </c>
      <c r="Z24" s="4">
        <v>3.4158887386896487E-3</v>
      </c>
      <c r="AA24" s="4">
        <v>1.2706194103705352E-4</v>
      </c>
      <c r="AB24" s="4">
        <v>3.102703728794259E-5</v>
      </c>
      <c r="AC24" s="4">
        <v>9.515056041057957E-7</v>
      </c>
      <c r="AD24" s="4">
        <v>1.4149601280147377E-6</v>
      </c>
      <c r="AE24" s="4">
        <v>2.0198372305879085E-8</v>
      </c>
      <c r="AF24" s="4">
        <v>5.2181053598876717E-9</v>
      </c>
      <c r="AG24" s="4"/>
      <c r="AH24" s="4"/>
      <c r="AI24" s="4"/>
      <c r="AJ24" s="4"/>
      <c r="AK24" s="4"/>
      <c r="AL24" s="4"/>
      <c r="AM24" s="4"/>
      <c r="AN24" s="4"/>
      <c r="AO24" s="4"/>
      <c r="AP24" s="4"/>
      <c r="AQ24" s="4"/>
      <c r="AR24" s="4"/>
      <c r="AS24" s="4"/>
      <c r="AT24" s="4"/>
      <c r="AU24" s="4"/>
      <c r="AV24" s="4"/>
      <c r="AW24" s="4"/>
      <c r="AX24" s="4"/>
      <c r="AY24" s="4"/>
      <c r="AZ24" s="4"/>
      <c r="BA24" s="4"/>
      <c r="BB24" s="4"/>
    </row>
    <row r="25" spans="1:54" x14ac:dyDescent="0.3">
      <c r="A25" s="4">
        <v>4450</v>
      </c>
      <c r="B25" s="4"/>
      <c r="C25" s="4">
        <v>-797.14556231453105</v>
      </c>
      <c r="D25" s="4">
        <v>-1.0312438964956878</v>
      </c>
      <c r="E25" s="4">
        <v>-1.1665780819425737</v>
      </c>
      <c r="F25" s="4">
        <v>-28.245673768465192</v>
      </c>
      <c r="G25" s="4">
        <v>-6.5511343633259456</v>
      </c>
      <c r="H25" s="4">
        <v>-26.724510053596436</v>
      </c>
      <c r="I25" s="4">
        <v>-19.685228587402538</v>
      </c>
      <c r="J25" s="4">
        <v>-262.19250643262217</v>
      </c>
      <c r="K25" s="4">
        <v>-98.275704690355397</v>
      </c>
      <c r="L25" s="4">
        <v>-72.90444908484919</v>
      </c>
      <c r="M25" s="4">
        <v>-137.98881720928318</v>
      </c>
      <c r="N25" s="4">
        <v>-242.45749153070804</v>
      </c>
      <c r="O25" s="4">
        <v>-399.664584367484</v>
      </c>
      <c r="P25" s="4">
        <v>-244.77925882075169</v>
      </c>
      <c r="Q25" s="4">
        <v>-5.8051852695869206</v>
      </c>
      <c r="R25" s="4">
        <v>-44.762321660026579</v>
      </c>
      <c r="S25" s="4">
        <v>-2.9046374969259623</v>
      </c>
      <c r="T25" s="4">
        <v>0.75105124964504311</v>
      </c>
      <c r="U25" s="4">
        <v>0.18951970749974748</v>
      </c>
      <c r="V25" s="4">
        <v>-0.1361697591700472</v>
      </c>
      <c r="W25" s="4">
        <v>8.2083512550402743E-4</v>
      </c>
      <c r="X25" s="4">
        <v>3.4690485718140006E-2</v>
      </c>
      <c r="Y25" s="4">
        <v>1.6245327126790034E-3</v>
      </c>
      <c r="Z25" s="4">
        <v>6.3487495955421181E-3</v>
      </c>
      <c r="AA25" s="4">
        <v>2.4671369936789825E-4</v>
      </c>
      <c r="AB25" s="4">
        <v>6.2954715903476793E-5</v>
      </c>
      <c r="AC25" s="4">
        <v>2.018030948234823E-6</v>
      </c>
      <c r="AD25" s="4">
        <v>3.1376824553556209E-6</v>
      </c>
      <c r="AE25" s="4">
        <v>4.6843655955075194E-8</v>
      </c>
      <c r="AF25" s="4">
        <v>1.2660175126017237E-8</v>
      </c>
      <c r="AG25" s="4"/>
      <c r="AH25" s="4"/>
      <c r="AI25" s="4"/>
      <c r="AJ25" s="4"/>
      <c r="AK25" s="4"/>
      <c r="AL25" s="4"/>
      <c r="AM25" s="4"/>
      <c r="AN25" s="4"/>
      <c r="AO25" s="4"/>
      <c r="AP25" s="4"/>
      <c r="AQ25" s="4"/>
      <c r="AR25" s="4"/>
      <c r="AS25" s="4"/>
      <c r="AT25" s="4"/>
      <c r="AU25" s="4"/>
      <c r="AV25" s="4"/>
      <c r="AW25" s="4"/>
      <c r="AX25" s="4"/>
      <c r="AY25" s="4"/>
      <c r="AZ25" s="4"/>
      <c r="BA25" s="4"/>
      <c r="BB25" s="4"/>
    </row>
    <row r="26" spans="1:54" x14ac:dyDescent="0.3">
      <c r="A26" s="4">
        <v>4440</v>
      </c>
      <c r="B26" s="4"/>
      <c r="C26" s="4">
        <v>-861.40924266439322</v>
      </c>
      <c r="D26" s="4">
        <v>-0.7662492605122263</v>
      </c>
      <c r="E26" s="4">
        <v>-0.90095036148036256</v>
      </c>
      <c r="F26" s="4">
        <v>-22.67818555572202</v>
      </c>
      <c r="G26" s="4">
        <v>-5.4693298756929076</v>
      </c>
      <c r="H26" s="4">
        <v>-23.204998652060723</v>
      </c>
      <c r="I26" s="4">
        <v>-17.781172907155675</v>
      </c>
      <c r="J26" s="4">
        <v>-246.42420803874447</v>
      </c>
      <c r="K26" s="4">
        <v>-96.127683090647096</v>
      </c>
      <c r="L26" s="4">
        <v>-74.232261856377932</v>
      </c>
      <c r="M26" s="4">
        <v>-146.29084204681851</v>
      </c>
      <c r="N26" s="4">
        <v>-267.69655876136306</v>
      </c>
      <c r="O26" s="4">
        <v>-459.66057740570017</v>
      </c>
      <c r="P26" s="4">
        <v>-293.32714170698233</v>
      </c>
      <c r="Q26" s="4">
        <v>-7.2499091393263742</v>
      </c>
      <c r="R26" s="4">
        <v>-58.27360972108805</v>
      </c>
      <c r="S26" s="4">
        <v>-3.9427505553518225</v>
      </c>
      <c r="T26" s="4">
        <v>1.0632402788402211</v>
      </c>
      <c r="U26" s="4">
        <v>0.27988421603508851</v>
      </c>
      <c r="V26" s="4">
        <v>-0.20983399852187662</v>
      </c>
      <c r="W26" s="4">
        <v>1.3201781885617246E-3</v>
      </c>
      <c r="X26" s="4">
        <v>5.8247868229167096E-2</v>
      </c>
      <c r="Y26" s="4">
        <v>2.8484204809136023E-3</v>
      </c>
      <c r="Z26" s="4">
        <v>1.1627440976875056E-2</v>
      </c>
      <c r="AA26" s="4">
        <v>4.7209047573201985E-4</v>
      </c>
      <c r="AB26" s="4">
        <v>1.2589643002673489E-4</v>
      </c>
      <c r="AC26" s="4">
        <v>4.2187592144395786E-6</v>
      </c>
      <c r="AD26" s="4">
        <v>6.8589517794321634E-6</v>
      </c>
      <c r="AE26" s="4">
        <v>1.07105794349431E-7</v>
      </c>
      <c r="AF26" s="4">
        <v>3.0285757079268608E-8</v>
      </c>
      <c r="AG26" s="4"/>
      <c r="AH26" s="4"/>
      <c r="AI26" s="4"/>
      <c r="AJ26" s="4"/>
      <c r="AK26" s="4"/>
      <c r="AL26" s="4"/>
      <c r="AM26" s="4"/>
      <c r="AN26" s="4"/>
      <c r="AO26" s="4"/>
      <c r="AP26" s="4"/>
      <c r="AQ26" s="4"/>
      <c r="AR26" s="4"/>
      <c r="AS26" s="4"/>
      <c r="AT26" s="4"/>
      <c r="AU26" s="4"/>
      <c r="AV26" s="4"/>
      <c r="AW26" s="4"/>
      <c r="AX26" s="4"/>
      <c r="AY26" s="4"/>
      <c r="AZ26" s="4"/>
      <c r="BA26" s="4"/>
      <c r="BB26" s="4"/>
    </row>
    <row r="27" spans="1:54" x14ac:dyDescent="0.3">
      <c r="A27" s="4">
        <v>4430</v>
      </c>
      <c r="B27" s="4"/>
      <c r="C27" s="4">
        <v>-925.51901095606877</v>
      </c>
      <c r="D27" s="4">
        <v>-0.55983779212338181</v>
      </c>
      <c r="E27" s="4">
        <v>-0.68424118906706777</v>
      </c>
      <c r="F27" s="4">
        <v>-17.907048314593006</v>
      </c>
      <c r="G27" s="4">
        <v>-4.491064668985433</v>
      </c>
      <c r="H27" s="4">
        <v>-19.8193485873418</v>
      </c>
      <c r="I27" s="4">
        <v>-15.799925771855227</v>
      </c>
      <c r="J27" s="4">
        <v>-227.8557759808146</v>
      </c>
      <c r="K27" s="4">
        <v>-92.513147712413499</v>
      </c>
      <c r="L27" s="4">
        <v>-74.374377706569007</v>
      </c>
      <c r="M27" s="4">
        <v>-152.62367769277125</v>
      </c>
      <c r="N27" s="4">
        <v>-290.88495329042024</v>
      </c>
      <c r="O27" s="4">
        <v>-520.34349076026649</v>
      </c>
      <c r="P27" s="4">
        <v>-346.00420519367043</v>
      </c>
      <c r="Q27" s="4">
        <v>-8.9133504688140164</v>
      </c>
      <c r="R27" s="4">
        <v>-74.690241109803736</v>
      </c>
      <c r="S27" s="4">
        <v>-5.2696310187891582</v>
      </c>
      <c r="T27" s="4">
        <v>1.4822039679256307</v>
      </c>
      <c r="U27" s="4">
        <v>0.40706010785921953</v>
      </c>
      <c r="V27" s="4">
        <v>-0.3184701983848392</v>
      </c>
      <c r="W27" s="4">
        <v>2.0914564508527946E-3</v>
      </c>
      <c r="X27" s="4">
        <v>9.6345512564621552E-2</v>
      </c>
      <c r="Y27" s="4">
        <v>4.9204400328378634E-3</v>
      </c>
      <c r="Z27" s="4">
        <v>2.0982003500380226E-2</v>
      </c>
      <c r="AA27" s="4">
        <v>8.9015779758679938E-4</v>
      </c>
      <c r="AB27" s="4">
        <v>2.4811415228219555E-4</v>
      </c>
      <c r="AC27" s="4">
        <v>8.6923675918840227E-6</v>
      </c>
      <c r="AD27" s="4">
        <v>1.4779054927855459E-5</v>
      </c>
      <c r="AE27" s="4">
        <v>2.4141224923714847E-7</v>
      </c>
      <c r="AF27" s="4">
        <v>7.1427522102466485E-8</v>
      </c>
      <c r="AG27" s="4"/>
      <c r="AH27" s="4"/>
      <c r="AI27" s="4"/>
      <c r="AJ27" s="4"/>
      <c r="AK27" s="4"/>
      <c r="AL27" s="4"/>
      <c r="AM27" s="4"/>
      <c r="AN27" s="4"/>
      <c r="AO27" s="4"/>
      <c r="AP27" s="4"/>
      <c r="AQ27" s="4"/>
      <c r="AR27" s="4"/>
      <c r="AS27" s="4"/>
      <c r="AT27" s="4"/>
      <c r="AU27" s="4"/>
      <c r="AV27" s="4"/>
      <c r="AW27" s="4"/>
      <c r="AX27" s="4"/>
      <c r="AY27" s="4"/>
      <c r="AZ27" s="4"/>
      <c r="BA27" s="4"/>
      <c r="BB27" s="4"/>
    </row>
    <row r="28" spans="1:54" x14ac:dyDescent="0.3">
      <c r="A28" s="4">
        <v>4420</v>
      </c>
      <c r="B28" s="4"/>
      <c r="C28" s="4">
        <v>-987.90939329628088</v>
      </c>
      <c r="D28" s="4">
        <v>-0.40215072757220283</v>
      </c>
      <c r="E28" s="4">
        <v>-0.51096372445054061</v>
      </c>
      <c r="F28" s="4">
        <v>-13.90434132128596</v>
      </c>
      <c r="G28" s="4">
        <v>-3.6267166841759781</v>
      </c>
      <c r="H28" s="4">
        <v>-16.648877705454751</v>
      </c>
      <c r="I28" s="4">
        <v>-13.809446973760116</v>
      </c>
      <c r="J28" s="4">
        <v>-207.25373639970209</v>
      </c>
      <c r="K28" s="4">
        <v>-87.591783223162508</v>
      </c>
      <c r="L28" s="4">
        <v>-73.315941578419881</v>
      </c>
      <c r="M28" s="4">
        <v>-156.67901214713149</v>
      </c>
      <c r="N28" s="4">
        <v>-311.04541347367467</v>
      </c>
      <c r="O28" s="4">
        <v>-579.70525667048287</v>
      </c>
      <c r="P28" s="4">
        <v>-401.71231582764307</v>
      </c>
      <c r="Q28" s="4">
        <v>-10.786850919612727</v>
      </c>
      <c r="R28" s="4">
        <v>-94.241446324733275</v>
      </c>
      <c r="S28" s="4">
        <v>-6.934072177687078</v>
      </c>
      <c r="T28" s="4">
        <v>2.0344785458052645</v>
      </c>
      <c r="U28" s="4">
        <v>0.58297356416332968</v>
      </c>
      <c r="V28" s="4">
        <v>-0.47600746029369007</v>
      </c>
      <c r="W28" s="4">
        <v>3.2633165558120973E-3</v>
      </c>
      <c r="X28" s="4">
        <v>0.15697098827986544</v>
      </c>
      <c r="Y28" s="4">
        <v>8.3730334660943248E-3</v>
      </c>
      <c r="Z28" s="4">
        <v>3.7301960783044867E-2</v>
      </c>
      <c r="AA28" s="4">
        <v>1.6537649113203034E-3</v>
      </c>
      <c r="AB28" s="4">
        <v>4.8183467541773449E-4</v>
      </c>
      <c r="AC28" s="4">
        <v>1.7649949691324828E-5</v>
      </c>
      <c r="AD28" s="4">
        <v>3.1385679948059613E-5</v>
      </c>
      <c r="AE28" s="4">
        <v>5.3634693210456849E-7</v>
      </c>
      <c r="AF28" s="4">
        <v>1.6606471821862657E-7</v>
      </c>
      <c r="AG28" s="4"/>
      <c r="AH28" s="4"/>
      <c r="AI28" s="4"/>
      <c r="AJ28" s="4"/>
      <c r="AK28" s="4"/>
      <c r="AL28" s="4"/>
      <c r="AM28" s="4"/>
      <c r="AN28" s="4"/>
      <c r="AO28" s="4"/>
      <c r="AP28" s="4"/>
      <c r="AQ28" s="4"/>
      <c r="AR28" s="4"/>
      <c r="AS28" s="4"/>
      <c r="AT28" s="4"/>
      <c r="AU28" s="4"/>
      <c r="AV28" s="4"/>
      <c r="AW28" s="4"/>
      <c r="AX28" s="4"/>
      <c r="AY28" s="4"/>
      <c r="AZ28" s="4"/>
      <c r="BA28" s="4"/>
      <c r="BB28" s="4"/>
    </row>
    <row r="29" spans="1:54" x14ac:dyDescent="0.3">
      <c r="A29" s="4">
        <v>4410</v>
      </c>
      <c r="B29" s="4"/>
      <c r="C29" s="4">
        <v>-1046.796040109981</v>
      </c>
      <c r="D29" s="4">
        <v>-0.28398842453857942</v>
      </c>
      <c r="E29" s="4">
        <v>-0.37514074104767275</v>
      </c>
      <c r="F29" s="4">
        <v>-10.615452834882262</v>
      </c>
      <c r="G29" s="4">
        <v>-2.8799054698904647</v>
      </c>
      <c r="H29" s="4">
        <v>-13.7537027392067</v>
      </c>
      <c r="I29" s="4">
        <v>-11.870680785967526</v>
      </c>
      <c r="J29" s="4">
        <v>-185.42232722673512</v>
      </c>
      <c r="K29" s="4">
        <v>-81.579316262768231</v>
      </c>
      <c r="L29" s="4">
        <v>-71.100056028746039</v>
      </c>
      <c r="M29" s="4">
        <v>-158.24721862156335</v>
      </c>
      <c r="N29" s="4">
        <v>-327.26745465146172</v>
      </c>
      <c r="O29" s="4">
        <v>-635.53748790007717</v>
      </c>
      <c r="P29" s="4">
        <v>-458.99327216886633</v>
      </c>
      <c r="Q29" s="4">
        <v>-12.84832722433255</v>
      </c>
      <c r="R29" s="4">
        <v>-117.04673253065711</v>
      </c>
      <c r="S29" s="4">
        <v>-8.9820831465603028</v>
      </c>
      <c r="T29" s="4">
        <v>2.7492887353100803</v>
      </c>
      <c r="U29" s="4">
        <v>0.82205912288139693</v>
      </c>
      <c r="V29" s="4">
        <v>-0.70059110717491924</v>
      </c>
      <c r="W29" s="4">
        <v>5.014385974815831E-3</v>
      </c>
      <c r="X29" s="4">
        <v>0.25188250415902108</v>
      </c>
      <c r="Y29" s="4">
        <v>1.4034443864040146E-2</v>
      </c>
      <c r="Z29" s="4">
        <v>6.532702975679211E-2</v>
      </c>
      <c r="AA29" s="4">
        <v>3.0269162334947705E-3</v>
      </c>
      <c r="AB29" s="4">
        <v>9.2195134045778822E-4</v>
      </c>
      <c r="AC29" s="4">
        <v>3.531475053943363E-5</v>
      </c>
      <c r="AD29" s="4">
        <v>6.5685245061214491E-5</v>
      </c>
      <c r="AE29" s="4">
        <v>1.1744326091116997E-6</v>
      </c>
      <c r="AF29" s="4">
        <v>3.8056569856866598E-7</v>
      </c>
      <c r="AG29" s="4"/>
      <c r="AH29" s="4"/>
      <c r="AI29" s="4"/>
      <c r="AJ29" s="4"/>
      <c r="AK29" s="4"/>
      <c r="AL29" s="4"/>
      <c r="AM29" s="4"/>
      <c r="AN29" s="4"/>
      <c r="AO29" s="4"/>
      <c r="AP29" s="4"/>
      <c r="AQ29" s="4"/>
      <c r="AR29" s="4"/>
      <c r="AS29" s="4"/>
      <c r="AT29" s="4"/>
      <c r="AU29" s="4"/>
      <c r="AV29" s="4"/>
      <c r="AW29" s="4"/>
      <c r="AX29" s="4"/>
      <c r="AY29" s="4"/>
      <c r="AZ29" s="4"/>
      <c r="BA29" s="4"/>
      <c r="BB29" s="4"/>
    </row>
    <row r="30" spans="1:54" x14ac:dyDescent="0.3">
      <c r="A30" s="4">
        <v>4400</v>
      </c>
      <c r="B30" s="4"/>
      <c r="C30" s="4">
        <v>-1100.2462052873086</v>
      </c>
      <c r="D30" s="4">
        <v>-0.19712775377174352</v>
      </c>
      <c r="E30" s="4">
        <v>-0.27075226509616135</v>
      </c>
      <c r="F30" s="4">
        <v>-7.9678085328877382</v>
      </c>
      <c r="G30" s="4">
        <v>-2.2485050167166998</v>
      </c>
      <c r="H30" s="4">
        <v>-11.172344233789348</v>
      </c>
      <c r="I30" s="4">
        <v>-10.034694704019012</v>
      </c>
      <c r="J30" s="4">
        <v>-163.15120831546156</v>
      </c>
      <c r="K30" s="4">
        <v>-74.731722499528729</v>
      </c>
      <c r="L30" s="4">
        <v>-67.824962113575793</v>
      </c>
      <c r="M30" s="4">
        <v>-157.23510440522983</v>
      </c>
      <c r="N30" s="4">
        <v>-338.77418277981377</v>
      </c>
      <c r="O30" s="4">
        <v>-685.55785538606574</v>
      </c>
      <c r="P30" s="4">
        <v>-516.06839458378442</v>
      </c>
      <c r="Q30" s="4">
        <v>-15.060842650697442</v>
      </c>
      <c r="R30" s="4">
        <v>-143.07661434494381</v>
      </c>
      <c r="S30" s="4">
        <v>-11.452472858061194</v>
      </c>
      <c r="T30" s="4">
        <v>3.6573186449933082</v>
      </c>
      <c r="U30" s="4">
        <v>1.1412332661568954</v>
      </c>
      <c r="V30" s="4">
        <v>-1.0152543898532504</v>
      </c>
      <c r="W30" s="4">
        <v>7.5871414298175344E-3</v>
      </c>
      <c r="X30" s="4">
        <v>0.39803494326041372</v>
      </c>
      <c r="Y30" s="4">
        <v>2.3168352865970968E-2</v>
      </c>
      <c r="Z30" s="4">
        <v>0.11268989602149673</v>
      </c>
      <c r="AA30" s="4">
        <v>5.4575956344443391E-3</v>
      </c>
      <c r="AB30" s="4">
        <v>1.7379450782713665E-3</v>
      </c>
      <c r="AC30" s="4">
        <v>6.9619509559665417E-5</v>
      </c>
      <c r="AD30" s="4">
        <v>1.3545984509576945E-4</v>
      </c>
      <c r="AE30" s="4">
        <v>2.5343201027144582E-6</v>
      </c>
      <c r="AF30" s="4">
        <v>8.5956328652868177E-7</v>
      </c>
      <c r="AG30" s="4"/>
      <c r="AH30" s="4"/>
      <c r="AI30" s="4"/>
      <c r="AJ30" s="4"/>
      <c r="AK30" s="4"/>
      <c r="AL30" s="4"/>
      <c r="AM30" s="4"/>
      <c r="AN30" s="4"/>
      <c r="AO30" s="4"/>
      <c r="AP30" s="4"/>
      <c r="AQ30" s="4"/>
      <c r="AR30" s="4"/>
      <c r="AS30" s="4"/>
      <c r="AT30" s="4"/>
      <c r="AU30" s="4"/>
      <c r="AV30" s="4"/>
      <c r="AW30" s="4"/>
      <c r="AX30" s="4"/>
      <c r="AY30" s="4"/>
      <c r="AZ30" s="4"/>
      <c r="BA30" s="4"/>
      <c r="BB30" s="4"/>
    </row>
    <row r="31" spans="1:54" x14ac:dyDescent="0.3">
      <c r="A31" s="4">
        <v>4390</v>
      </c>
      <c r="B31" s="4"/>
      <c r="C31" s="4">
        <v>-1146.2720486774665</v>
      </c>
      <c r="D31" s="4">
        <v>-0.13448692755541197</v>
      </c>
      <c r="E31" s="4">
        <v>-0.19207624276723034</v>
      </c>
      <c r="F31" s="4">
        <v>-5.8789757923257833</v>
      </c>
      <c r="G31" s="4">
        <v>-1.7258810085401368</v>
      </c>
      <c r="H31" s="4">
        <v>-8.9229713780113755</v>
      </c>
      <c r="I31" s="4">
        <v>-8.3408937698147358</v>
      </c>
      <c r="J31" s="4">
        <v>-141.16857795621664</v>
      </c>
      <c r="K31" s="4">
        <v>-67.326992147896235</v>
      </c>
      <c r="L31" s="4">
        <v>-63.6368243373974</v>
      </c>
      <c r="M31" s="4">
        <v>-153.67475254281612</v>
      </c>
      <c r="N31" s="4">
        <v>-344.98313320421101</v>
      </c>
      <c r="O31" s="4">
        <v>-727.55836135169443</v>
      </c>
      <c r="P31" s="4">
        <v>-570.91301347612125</v>
      </c>
      <c r="Q31" s="4">
        <v>-17.372202297582316</v>
      </c>
      <c r="R31" s="4">
        <v>-172.11644424976987</v>
      </c>
      <c r="S31" s="4">
        <v>-14.371678363477207</v>
      </c>
      <c r="T31" s="4">
        <v>4.7888714261766525</v>
      </c>
      <c r="U31" s="4">
        <v>1.5596095309772906</v>
      </c>
      <c r="V31" s="4">
        <v>-1.4484303947884269</v>
      </c>
      <c r="W31" s="4">
        <v>1.1303000842514786E-2</v>
      </c>
      <c r="X31" s="4">
        <v>0.61935903527782887</v>
      </c>
      <c r="Y31" s="4">
        <v>3.766486090522847E-2</v>
      </c>
      <c r="Z31" s="4">
        <v>0.19145280866499095</v>
      </c>
      <c r="AA31" s="4">
        <v>9.6923862126386002E-3</v>
      </c>
      <c r="AB31" s="4">
        <v>3.2272787276968334E-3</v>
      </c>
      <c r="AC31" s="4">
        <v>1.3521423125399432E-4</v>
      </c>
      <c r="AD31" s="4">
        <v>2.7524185429749859E-4</v>
      </c>
      <c r="AE31" s="4">
        <v>5.3889082358686116E-6</v>
      </c>
      <c r="AF31" s="4">
        <v>1.9132737433609552E-6</v>
      </c>
      <c r="AG31" s="4"/>
      <c r="AH31" s="4"/>
      <c r="AI31" s="4"/>
      <c r="AJ31" s="4"/>
      <c r="AK31" s="4"/>
      <c r="AL31" s="4"/>
      <c r="AM31" s="4"/>
      <c r="AN31" s="4"/>
      <c r="AO31" s="4"/>
      <c r="AP31" s="4"/>
      <c r="AQ31" s="4"/>
      <c r="AR31" s="4"/>
      <c r="AS31" s="4"/>
      <c r="AT31" s="4"/>
      <c r="AU31" s="4"/>
      <c r="AV31" s="4"/>
      <c r="AW31" s="4"/>
      <c r="AX31" s="4"/>
      <c r="AY31" s="4"/>
      <c r="AZ31" s="4"/>
      <c r="BA31" s="4"/>
      <c r="BB31" s="4"/>
    </row>
    <row r="32" spans="1:54" x14ac:dyDescent="0.3">
      <c r="A32" s="4">
        <v>4380</v>
      </c>
      <c r="B32" s="4"/>
      <c r="C32" s="4">
        <v>-1182.9408303980251</v>
      </c>
      <c r="D32" s="4">
        <v>-9.0166855816857613E-2</v>
      </c>
      <c r="E32" s="4">
        <v>-0.13392093063911142</v>
      </c>
      <c r="F32" s="4">
        <v>-4.2636015967888774</v>
      </c>
      <c r="G32" s="4">
        <v>-1.302204287081703</v>
      </c>
      <c r="H32" s="4">
        <v>-7.005922164750034</v>
      </c>
      <c r="I32" s="4">
        <v>-6.8163390418903669</v>
      </c>
      <c r="J32" s="4">
        <v>-120.1035165991502</v>
      </c>
      <c r="K32" s="4">
        <v>-59.646280040422724</v>
      </c>
      <c r="L32" s="4">
        <v>-58.718855820256927</v>
      </c>
      <c r="M32" s="4">
        <v>-147.72232028653778</v>
      </c>
      <c r="N32" s="4">
        <v>-345.5546001686244</v>
      </c>
      <c r="O32" s="4">
        <v>-759.56286684160079</v>
      </c>
      <c r="P32" s="4">
        <v>-621.36376635035958</v>
      </c>
      <c r="Q32" s="4">
        <v>-19.715834413033981</v>
      </c>
      <c r="R32" s="4">
        <v>-203.73815457307632</v>
      </c>
      <c r="S32" s="4">
        <v>-17.74818131095072</v>
      </c>
      <c r="T32" s="4">
        <v>6.1714015699793565</v>
      </c>
      <c r="U32" s="4">
        <v>2.097876618000412</v>
      </c>
      <c r="V32" s="4">
        <v>-2.0341622491916871</v>
      </c>
      <c r="W32" s="4">
        <v>1.6577437686132804E-2</v>
      </c>
      <c r="X32" s="4">
        <v>0.94888795359129752</v>
      </c>
      <c r="Y32" s="4">
        <v>6.0293726995903726E-2</v>
      </c>
      <c r="Z32" s="4">
        <v>0.32031457306512534</v>
      </c>
      <c r="AA32" s="4">
        <v>1.6952828372817589E-2</v>
      </c>
      <c r="AB32" s="4">
        <v>5.9028694224634269E-3</v>
      </c>
      <c r="AC32" s="4">
        <v>2.5869293612606906E-4</v>
      </c>
      <c r="AD32" s="4">
        <v>5.5097744971594744E-4</v>
      </c>
      <c r="AE32" s="4">
        <v>1.1290172149978106E-5</v>
      </c>
      <c r="AF32" s="4">
        <v>4.1964505690497582E-6</v>
      </c>
      <c r="AG32" s="4"/>
      <c r="AH32" s="4"/>
      <c r="AI32" s="4"/>
      <c r="AJ32" s="4"/>
      <c r="AK32" s="4"/>
      <c r="AL32" s="4"/>
      <c r="AM32" s="4"/>
      <c r="AN32" s="4"/>
      <c r="AO32" s="4"/>
      <c r="AP32" s="4"/>
      <c r="AQ32" s="4"/>
      <c r="AR32" s="4"/>
      <c r="AS32" s="4"/>
      <c r="AT32" s="4"/>
      <c r="AU32" s="4"/>
      <c r="AV32" s="4"/>
      <c r="AW32" s="4"/>
      <c r="AX32" s="4"/>
      <c r="AY32" s="4"/>
      <c r="AZ32" s="4"/>
      <c r="BA32" s="4"/>
      <c r="BB32" s="4"/>
    </row>
    <row r="33" spans="1:54" x14ac:dyDescent="0.3">
      <c r="A33" s="4">
        <v>4370</v>
      </c>
      <c r="B33" s="4"/>
      <c r="C33" s="4">
        <v>-1208.4933453838473</v>
      </c>
      <c r="D33" s="4">
        <v>-5.940148527254329E-2</v>
      </c>
      <c r="E33" s="4">
        <v>-9.1758364775527068E-2</v>
      </c>
      <c r="F33" s="4">
        <v>-3.0388764704038196</v>
      </c>
      <c r="G33" s="4">
        <v>-0.96571322035101925</v>
      </c>
      <c r="H33" s="4">
        <v>-5.4070628241315966</v>
      </c>
      <c r="I33" s="4">
        <v>-5.4760803191071279</v>
      </c>
      <c r="J33" s="4">
        <v>-100.46005027049219</v>
      </c>
      <c r="K33" s="4">
        <v>-51.956234991622146</v>
      </c>
      <c r="L33" s="4">
        <v>-53.277915961749081</v>
      </c>
      <c r="M33" s="4">
        <v>-139.64677309253082</v>
      </c>
      <c r="N33" s="4">
        <v>-340.42193753677867</v>
      </c>
      <c r="O33" s="4">
        <v>-779.97870916014506</v>
      </c>
      <c r="P33" s="4">
        <v>-665.25227263840475</v>
      </c>
      <c r="Q33" s="4">
        <v>-22.013113370880191</v>
      </c>
      <c r="R33" s="4">
        <v>-237.28495357939335</v>
      </c>
      <c r="S33" s="4">
        <v>-21.567018086272977</v>
      </c>
      <c r="T33" s="4">
        <v>7.8264823475458396</v>
      </c>
      <c r="U33" s="4">
        <v>2.777273967278695</v>
      </c>
      <c r="V33" s="4">
        <v>-2.811842993377073</v>
      </c>
      <c r="W33" s="4">
        <v>2.3933246705689089E-2</v>
      </c>
      <c r="X33" s="4">
        <v>1.4311701508498533</v>
      </c>
      <c r="Y33" s="4">
        <v>9.5028822218426082E-2</v>
      </c>
      <c r="Z33" s="4">
        <v>0.52769495988025472</v>
      </c>
      <c r="AA33" s="4">
        <v>2.9200414633938958E-2</v>
      </c>
      <c r="AB33" s="4">
        <v>1.0633338852092973E-2</v>
      </c>
      <c r="AC33" s="4">
        <v>4.874961225530219E-4</v>
      </c>
      <c r="AD33" s="4">
        <v>1.0864819953760063E-3</v>
      </c>
      <c r="AE33" s="4">
        <v>2.3303165089354649E-5</v>
      </c>
      <c r="AF33" s="4">
        <v>9.0687448270738699E-6</v>
      </c>
      <c r="AG33" s="4"/>
      <c r="AH33" s="4"/>
      <c r="AI33" s="4"/>
      <c r="AJ33" s="4"/>
      <c r="AK33" s="4"/>
      <c r="AL33" s="4"/>
      <c r="AM33" s="4"/>
      <c r="AN33" s="4"/>
      <c r="AO33" s="4"/>
      <c r="AP33" s="4"/>
      <c r="AQ33" s="4"/>
      <c r="AR33" s="4"/>
      <c r="AS33" s="4"/>
      <c r="AT33" s="4"/>
      <c r="AU33" s="4"/>
      <c r="AV33" s="4"/>
      <c r="AW33" s="4"/>
      <c r="AX33" s="4"/>
      <c r="AY33" s="4"/>
      <c r="AZ33" s="4"/>
      <c r="BA33" s="4"/>
      <c r="BB33" s="4"/>
    </row>
    <row r="34" spans="1:54" x14ac:dyDescent="0.3">
      <c r="A34" s="4">
        <v>4360</v>
      </c>
      <c r="B34" s="4"/>
      <c r="C34" s="4">
        <v>-1221.4600438230061</v>
      </c>
      <c r="D34" s="4">
        <v>-3.8448530921723435E-2</v>
      </c>
      <c r="E34" s="4">
        <v>-6.1775176304459452E-2</v>
      </c>
      <c r="F34" s="4">
        <v>-2.1284324095187417</v>
      </c>
      <c r="G34" s="4">
        <v>-0.70382890490203487</v>
      </c>
      <c r="H34" s="4">
        <v>-4.1015412560989866</v>
      </c>
      <c r="I34" s="4">
        <v>-4.3243208552800692</v>
      </c>
      <c r="J34" s="4">
        <v>-82.603922250241055</v>
      </c>
      <c r="K34" s="4">
        <v>-44.494051284259641</v>
      </c>
      <c r="L34" s="4">
        <v>-47.529957609830248</v>
      </c>
      <c r="M34" s="4">
        <v>-129.80967328026418</v>
      </c>
      <c r="N34" s="4">
        <v>-329.80012243980184</v>
      </c>
      <c r="O34" s="4">
        <v>-787.7265126666631</v>
      </c>
      <c r="P34" s="4">
        <v>-700.55464371902303</v>
      </c>
      <c r="Q34" s="4">
        <v>-24.177129695118236</v>
      </c>
      <c r="R34" s="4">
        <v>-271.8735703322069</v>
      </c>
      <c r="S34" s="4">
        <v>-25.785024489026501</v>
      </c>
      <c r="T34" s="4">
        <v>9.7663684034574292</v>
      </c>
      <c r="U34" s="4">
        <v>3.6181280517205332</v>
      </c>
      <c r="V34" s="4">
        <v>-3.825304105612398</v>
      </c>
      <c r="W34" s="4">
        <v>3.4009363504972238E-2</v>
      </c>
      <c r="X34" s="4">
        <v>2.1248280432706128</v>
      </c>
      <c r="Y34" s="4">
        <v>0.14744787543229557</v>
      </c>
      <c r="Z34" s="4">
        <v>0.85592002971516512</v>
      </c>
      <c r="AA34" s="4">
        <v>4.9524964711536078E-2</v>
      </c>
      <c r="AB34" s="4">
        <v>1.886292403546997E-2</v>
      </c>
      <c r="AC34" s="4">
        <v>9.0476439839626667E-4</v>
      </c>
      <c r="AD34" s="4">
        <v>2.1102510324556272E-3</v>
      </c>
      <c r="AE34" s="4">
        <v>4.7380272887713684E-5</v>
      </c>
      <c r="AF34" s="4">
        <v>1.9307509462568896E-5</v>
      </c>
      <c r="AG34" s="4"/>
      <c r="AH34" s="4"/>
      <c r="AI34" s="4"/>
      <c r="AJ34" s="4"/>
      <c r="AK34" s="4"/>
      <c r="AL34" s="4"/>
      <c r="AM34" s="4"/>
      <c r="AN34" s="4"/>
      <c r="AO34" s="4"/>
      <c r="AP34" s="4"/>
      <c r="AQ34" s="4"/>
      <c r="AR34" s="4"/>
      <c r="AS34" s="4"/>
      <c r="AT34" s="4"/>
      <c r="AU34" s="4"/>
      <c r="AV34" s="4"/>
      <c r="AW34" s="4"/>
      <c r="AX34" s="4"/>
      <c r="AY34" s="4"/>
      <c r="AZ34" s="4"/>
      <c r="BA34" s="4"/>
      <c r="BB34" s="4"/>
    </row>
    <row r="35" spans="1:54" x14ac:dyDescent="0.3">
      <c r="A35" s="4">
        <v>4350</v>
      </c>
      <c r="B35" s="4"/>
      <c r="C35" s="4">
        <v>-1220.7635548239814</v>
      </c>
      <c r="D35" s="4">
        <v>-2.4447945987965548E-2</v>
      </c>
      <c r="E35" s="4">
        <v>-4.0860317326271753E-2</v>
      </c>
      <c r="F35" s="4">
        <v>-1.4647568543931377</v>
      </c>
      <c r="G35" s="4">
        <v>-0.5040626746270247</v>
      </c>
      <c r="H35" s="4">
        <v>-3.0575329792679633</v>
      </c>
      <c r="I35" s="4">
        <v>-3.3561742850672212</v>
      </c>
      <c r="J35" s="4">
        <v>-66.76160386510324</v>
      </c>
      <c r="K35" s="4">
        <v>-37.456361522401679</v>
      </c>
      <c r="L35" s="4">
        <v>-41.685763017283996</v>
      </c>
      <c r="M35" s="4">
        <v>-118.63814291593323</v>
      </c>
      <c r="N35" s="4">
        <v>-314.17125734585835</v>
      </c>
      <c r="O35" s="4">
        <v>-782.33364920501856</v>
      </c>
      <c r="P35" s="4">
        <v>-725.54307962063024</v>
      </c>
      <c r="Q35" s="4">
        <v>-26.117734037807978</v>
      </c>
      <c r="R35" s="4">
        <v>-306.41742268175039</v>
      </c>
      <c r="S35" s="4">
        <v>-30.327534387287631</v>
      </c>
      <c r="T35" s="4">
        <v>11.990419823987473</v>
      </c>
      <c r="U35" s="4">
        <v>4.6379586646941506</v>
      </c>
      <c r="V35" s="4">
        <v>-5.121082682300929</v>
      </c>
      <c r="W35" s="4">
        <v>4.7561961949580622E-2</v>
      </c>
      <c r="X35" s="4">
        <v>3.1050199124978546</v>
      </c>
      <c r="Y35" s="4">
        <v>0.22520277940348227</v>
      </c>
      <c r="Z35" s="4">
        <v>1.3667205633412345</v>
      </c>
      <c r="AA35" s="4">
        <v>8.2698977298573673E-2</v>
      </c>
      <c r="AB35" s="4">
        <v>3.2948372800098789E-2</v>
      </c>
      <c r="AC35" s="4">
        <v>1.6536001278500253E-3</v>
      </c>
      <c r="AD35" s="4">
        <v>4.0366557090165383E-3</v>
      </c>
      <c r="AE35" s="4">
        <v>9.4885932977871402E-5</v>
      </c>
      <c r="AF35" s="4">
        <v>4.0492340054156029E-5</v>
      </c>
      <c r="AG35" s="4"/>
      <c r="AH35" s="4"/>
      <c r="AI35" s="4"/>
      <c r="AJ35" s="4"/>
      <c r="AK35" s="4"/>
      <c r="AL35" s="4"/>
      <c r="AM35" s="4"/>
      <c r="AN35" s="4"/>
      <c r="AO35" s="4"/>
      <c r="AP35" s="4"/>
      <c r="AQ35" s="4"/>
      <c r="AR35" s="4"/>
      <c r="AS35" s="4"/>
      <c r="AT35" s="4"/>
      <c r="AU35" s="4"/>
      <c r="AV35" s="4"/>
      <c r="AW35" s="4"/>
      <c r="AX35" s="4"/>
      <c r="AY35" s="4"/>
      <c r="AZ35" s="4"/>
      <c r="BA35" s="4"/>
      <c r="BB35" s="4"/>
    </row>
    <row r="36" spans="1:54" x14ac:dyDescent="0.3">
      <c r="A36" s="4">
        <v>4340</v>
      </c>
      <c r="B36" s="4"/>
      <c r="C36" s="4">
        <v>-1205.7969775120305</v>
      </c>
      <c r="D36" s="4">
        <v>-1.5269782902598046E-2</v>
      </c>
      <c r="E36" s="4">
        <v>-2.6549524559111151E-2</v>
      </c>
      <c r="F36" s="4">
        <v>-0.99032584538005186</v>
      </c>
      <c r="G36" s="4">
        <v>-0.35468981860830556</v>
      </c>
      <c r="H36" s="4">
        <v>-2.239659614613787</v>
      </c>
      <c r="I36" s="4">
        <v>-2.5597537378841646</v>
      </c>
      <c r="J36" s="4">
        <v>-53.029855535222559</v>
      </c>
      <c r="K36" s="4">
        <v>-30.992566822341416</v>
      </c>
      <c r="L36" s="4">
        <v>-35.938286259206677</v>
      </c>
      <c r="M36" s="4">
        <v>-106.59383635337413</v>
      </c>
      <c r="N36" s="4">
        <v>-294.24831247134216</v>
      </c>
      <c r="O36" s="4">
        <v>-763.98021190637314</v>
      </c>
      <c r="P36" s="4">
        <v>-738.92411856874617</v>
      </c>
      <c r="Q36" s="4">
        <v>-27.747498691471488</v>
      </c>
      <c r="R36" s="4">
        <v>-339.6721135542781</v>
      </c>
      <c r="S36" s="4">
        <v>-35.087244543199283</v>
      </c>
      <c r="T36" s="4">
        <v>14.48175385302476</v>
      </c>
      <c r="U36" s="4">
        <v>5.849226423909359</v>
      </c>
      <c r="V36" s="4">
        <v>-6.7457403052401741</v>
      </c>
      <c r="W36" s="4">
        <v>6.5454072928330401E-2</v>
      </c>
      <c r="X36" s="4">
        <v>4.4654430883280636</v>
      </c>
      <c r="Y36" s="4">
        <v>0.33854212697084474</v>
      </c>
      <c r="Z36" s="4">
        <v>2.1481987431532383</v>
      </c>
      <c r="AA36" s="4">
        <v>0.13594680645529647</v>
      </c>
      <c r="AB36" s="4">
        <v>5.6662642686157748E-2</v>
      </c>
      <c r="AC36" s="4">
        <v>2.9758337211355911E-3</v>
      </c>
      <c r="AD36" s="4">
        <v>7.6039284165099084E-3</v>
      </c>
      <c r="AE36" s="4">
        <v>1.8714605083913814E-4</v>
      </c>
      <c r="AF36" s="4">
        <v>8.3645037885477459E-5</v>
      </c>
      <c r="AG36" s="4"/>
      <c r="AH36" s="4"/>
      <c r="AI36" s="4"/>
      <c r="AJ36" s="4"/>
      <c r="AK36" s="4"/>
      <c r="AL36" s="4"/>
      <c r="AM36" s="4"/>
      <c r="AN36" s="4"/>
      <c r="AO36" s="4"/>
      <c r="AP36" s="4"/>
      <c r="AQ36" s="4"/>
      <c r="AR36" s="4"/>
      <c r="AS36" s="4"/>
      <c r="AT36" s="4"/>
      <c r="AU36" s="4"/>
      <c r="AV36" s="4"/>
      <c r="AW36" s="4"/>
      <c r="AX36" s="4"/>
      <c r="AY36" s="4"/>
      <c r="AZ36" s="4"/>
      <c r="BA36" s="4"/>
      <c r="BB36" s="4"/>
    </row>
    <row r="37" spans="1:54" x14ac:dyDescent="0.3">
      <c r="A37" s="4">
        <v>4330</v>
      </c>
      <c r="B37" s="4"/>
      <c r="C37" s="4">
        <v>-1176.4693262692892</v>
      </c>
      <c r="D37" s="4">
        <v>-9.366955215788229E-3</v>
      </c>
      <c r="E37" s="4">
        <v>-1.6944410057474674E-2</v>
      </c>
      <c r="F37" s="4">
        <v>-0.65772627124540395</v>
      </c>
      <c r="G37" s="4">
        <v>-0.24519264184263928</v>
      </c>
      <c r="H37" s="4">
        <v>-1.6118612766467573</v>
      </c>
      <c r="I37" s="4">
        <v>-1.9183467396857221</v>
      </c>
      <c r="J37" s="4">
        <v>-41.393300920251853</v>
      </c>
      <c r="K37" s="4">
        <v>-25.202658655607014</v>
      </c>
      <c r="L37" s="4">
        <v>-30.452641726340367</v>
      </c>
      <c r="M37" s="4">
        <v>-94.141090945311888</v>
      </c>
      <c r="N37" s="4">
        <v>-270.9208981281343</v>
      </c>
      <c r="O37" s="4">
        <v>-733.49145059009834</v>
      </c>
      <c r="P37" s="4">
        <v>-739.94837054385835</v>
      </c>
      <c r="Q37" s="4">
        <v>-28.98808030503109</v>
      </c>
      <c r="R37" s="4">
        <v>-370.30210659857397</v>
      </c>
      <c r="S37" s="4">
        <v>-39.925843679930331</v>
      </c>
      <c r="T37" s="4">
        <v>17.204564774403334</v>
      </c>
      <c r="U37" s="4">
        <v>7.256865650078054</v>
      </c>
      <c r="V37" s="4">
        <v>-8.7421877257101102</v>
      </c>
      <c r="W37" s="4">
        <v>8.862987184122581E-2</v>
      </c>
      <c r="X37" s="4">
        <v>6.3193931022174832</v>
      </c>
      <c r="Y37" s="4">
        <v>0.50084888924537652</v>
      </c>
      <c r="Z37" s="4">
        <v>3.3232947526115479</v>
      </c>
      <c r="AA37" s="4">
        <v>0.21997963567392656</v>
      </c>
      <c r="AB37" s="4">
        <v>9.5928902766750021E-2</v>
      </c>
      <c r="AC37" s="4">
        <v>5.2725669204235744E-3</v>
      </c>
      <c r="AD37" s="4">
        <v>1.4103774938850996E-2</v>
      </c>
      <c r="AE37" s="4">
        <v>3.634850813725261E-4</v>
      </c>
      <c r="AF37" s="4">
        <v>1.7016918466846654E-4</v>
      </c>
      <c r="AG37" s="4"/>
      <c r="AH37" s="4"/>
      <c r="AI37" s="4"/>
      <c r="AJ37" s="4"/>
      <c r="AK37" s="4"/>
      <c r="AL37" s="4"/>
      <c r="AM37" s="4"/>
      <c r="AN37" s="4"/>
      <c r="AO37" s="4"/>
      <c r="AP37" s="4"/>
      <c r="AQ37" s="4"/>
      <c r="AR37" s="4"/>
      <c r="AS37" s="4"/>
      <c r="AT37" s="4"/>
      <c r="AU37" s="4"/>
      <c r="AV37" s="4"/>
      <c r="AW37" s="4"/>
      <c r="AX37" s="4"/>
      <c r="AY37" s="4"/>
      <c r="AZ37" s="4"/>
      <c r="BA37" s="4"/>
      <c r="BB37" s="4"/>
    </row>
    <row r="38" spans="1:54" x14ac:dyDescent="0.3">
      <c r="A38" s="4">
        <v>4320</v>
      </c>
      <c r="B38" s="4"/>
      <c r="C38" s="4">
        <v>-1133.2127067003655</v>
      </c>
      <c r="D38" s="4">
        <v>-5.6426864080115473E-3</v>
      </c>
      <c r="E38" s="4">
        <v>-1.0620814552021532E-2</v>
      </c>
      <c r="F38" s="4">
        <v>-0.42905594794981422</v>
      </c>
      <c r="G38" s="4">
        <v>-0.16649761542257543</v>
      </c>
      <c r="H38" s="4">
        <v>-1.1396083201976916</v>
      </c>
      <c r="I38" s="4">
        <v>-1.4124692186446157</v>
      </c>
      <c r="J38" s="4">
        <v>-31.747060460548308</v>
      </c>
      <c r="K38" s="4">
        <v>-20.139102773372421</v>
      </c>
      <c r="L38" s="4">
        <v>-25.359393954947326</v>
      </c>
      <c r="M38" s="4">
        <v>-81.717339703542223</v>
      </c>
      <c r="N38" s="4">
        <v>-245.18883966266006</v>
      </c>
      <c r="O38" s="4">
        <v>-692.27669753194311</v>
      </c>
      <c r="P38" s="4">
        <v>-728.47892282118426</v>
      </c>
      <c r="Q38" s="4">
        <v>-29.776359434919495</v>
      </c>
      <c r="R38" s="4">
        <v>-396.96459521708908</v>
      </c>
      <c r="S38" s="4">
        <v>-44.67877616324224</v>
      </c>
      <c r="T38" s="4">
        <v>20.102581241082319</v>
      </c>
      <c r="U38" s="4">
        <v>8.8558218564996878</v>
      </c>
      <c r="V38" s="4">
        <v>-11.145089725286073</v>
      </c>
      <c r="W38" s="4">
        <v>0.11807026841833623</v>
      </c>
      <c r="X38" s="4">
        <v>8.7992870708038353</v>
      </c>
      <c r="Y38" s="4">
        <v>0.7291327380973387</v>
      </c>
      <c r="Z38" s="4">
        <v>5.0595746620278357</v>
      </c>
      <c r="AA38" s="4">
        <v>0.35034169050787828</v>
      </c>
      <c r="AB38" s="4">
        <v>0.1598613261107597</v>
      </c>
      <c r="AC38" s="4">
        <v>9.1964986846315259E-3</v>
      </c>
      <c r="AD38" s="4">
        <v>2.5755243808911456E-2</v>
      </c>
      <c r="AE38" s="4">
        <v>6.95139110706413E-4</v>
      </c>
      <c r="AF38" s="4">
        <v>3.4091602656934354E-4</v>
      </c>
      <c r="AG38" s="4"/>
      <c r="AH38" s="4"/>
      <c r="AI38" s="4"/>
      <c r="AJ38" s="4"/>
      <c r="AK38" s="4"/>
      <c r="AL38" s="4"/>
      <c r="AM38" s="4"/>
      <c r="AN38" s="4"/>
      <c r="AO38" s="4"/>
      <c r="AP38" s="4"/>
      <c r="AQ38" s="4"/>
      <c r="AR38" s="4"/>
      <c r="AS38" s="4"/>
      <c r="AT38" s="4"/>
      <c r="AU38" s="4"/>
      <c r="AV38" s="4"/>
      <c r="AW38" s="4"/>
      <c r="AX38" s="4"/>
      <c r="AY38" s="4"/>
      <c r="AZ38" s="4"/>
      <c r="BA38" s="4"/>
      <c r="BB38" s="4"/>
    </row>
    <row r="39" spans="1:54" x14ac:dyDescent="0.3">
      <c r="A39" s="4">
        <v>4310</v>
      </c>
      <c r="B39" s="4"/>
      <c r="C39" s="4">
        <v>-1076.9497677201884</v>
      </c>
      <c r="D39" s="4">
        <v>-3.3376563650666775E-3</v>
      </c>
      <c r="E39" s="4">
        <v>-6.5372846570885268E-3</v>
      </c>
      <c r="F39" s="4">
        <v>-0.27487234126345239</v>
      </c>
      <c r="G39" s="4">
        <v>-0.11104458310030101</v>
      </c>
      <c r="H39" s="4">
        <v>-0.79143081430791928</v>
      </c>
      <c r="I39" s="4">
        <v>-1.021647588597447</v>
      </c>
      <c r="J39" s="4">
        <v>-23.92149321033747</v>
      </c>
      <c r="K39" s="4">
        <v>-15.811988341718893</v>
      </c>
      <c r="L39" s="4">
        <v>-20.751376221708931</v>
      </c>
      <c r="M39" s="4">
        <v>-69.708399753048752</v>
      </c>
      <c r="N39" s="4">
        <v>-218.09052142814028</v>
      </c>
      <c r="O39" s="4">
        <v>-642.22101240696952</v>
      </c>
      <c r="P39" s="4">
        <v>-705.00985181612634</v>
      </c>
      <c r="Q39" s="4">
        <v>-30.069699631501106</v>
      </c>
      <c r="R39" s="4">
        <v>-418.40386677728571</v>
      </c>
      <c r="S39" s="4">
        <v>-49.16318193205894</v>
      </c>
      <c r="T39" s="4">
        <v>23.09909623853493</v>
      </c>
      <c r="U39" s="4">
        <v>10.62887801383088</v>
      </c>
      <c r="V39" s="4">
        <v>-13.975577634644344</v>
      </c>
      <c r="W39" s="4">
        <v>0.1547276729110596</v>
      </c>
      <c r="X39" s="4">
        <v>12.053998644835126</v>
      </c>
      <c r="Y39" s="4">
        <v>1.0443902560121603</v>
      </c>
      <c r="Z39" s="4">
        <v>7.5798489252101895</v>
      </c>
      <c r="AA39" s="4">
        <v>0.54909551654358257</v>
      </c>
      <c r="AB39" s="4">
        <v>0.26219819530464139</v>
      </c>
      <c r="AC39" s="4">
        <v>1.578923830884826E-2</v>
      </c>
      <c r="AD39" s="4">
        <v>4.6299937351511486E-2</v>
      </c>
      <c r="AE39" s="4">
        <v>1.3088436668918838E-3</v>
      </c>
      <c r="AF39" s="4">
        <v>6.7249894442807654E-4</v>
      </c>
      <c r="AG39" s="4"/>
      <c r="AH39" s="4"/>
      <c r="AI39" s="4"/>
      <c r="AJ39" s="4"/>
      <c r="AK39" s="4"/>
      <c r="AL39" s="4"/>
      <c r="AM39" s="4"/>
      <c r="AN39" s="4"/>
      <c r="AO39" s="4"/>
      <c r="AP39" s="4"/>
      <c r="AQ39" s="4"/>
      <c r="AR39" s="4"/>
      <c r="AS39" s="4"/>
      <c r="AT39" s="4"/>
      <c r="AU39" s="4"/>
      <c r="AV39" s="4"/>
      <c r="AW39" s="4"/>
      <c r="AX39" s="4"/>
      <c r="AY39" s="4"/>
      <c r="AZ39" s="4"/>
      <c r="BA39" s="4"/>
      <c r="BB39" s="4"/>
    </row>
    <row r="40" spans="1:54" x14ac:dyDescent="0.3">
      <c r="A40" s="4">
        <v>4300</v>
      </c>
      <c r="B40" s="4"/>
      <c r="C40" s="4">
        <v>-1009.0242148738598</v>
      </c>
      <c r="D40" s="4">
        <v>-1.938257409806041E-3</v>
      </c>
      <c r="E40" s="4">
        <v>-3.9508563633426875E-3</v>
      </c>
      <c r="F40" s="4">
        <v>-0.1729190323839484</v>
      </c>
      <c r="G40" s="4">
        <v>-7.2731402835234452E-2</v>
      </c>
      <c r="H40" s="4">
        <v>-0.5398167228192764</v>
      </c>
      <c r="I40" s="4">
        <v>-0.72583900781898891</v>
      </c>
      <c r="J40" s="4">
        <v>-17.706445217509977</v>
      </c>
      <c r="K40" s="4">
        <v>-12.19642842709586</v>
      </c>
      <c r="L40" s="4">
        <v>-16.683857800126461</v>
      </c>
      <c r="M40" s="4">
        <v>-58.430486976222113</v>
      </c>
      <c r="N40" s="4">
        <v>-190.6332177292164</v>
      </c>
      <c r="O40" s="4">
        <v>-585.5411747594494</v>
      </c>
      <c r="P40" s="4">
        <v>-670.63187484534478</v>
      </c>
      <c r="Q40" s="4">
        <v>-29.849723823090383</v>
      </c>
      <c r="R40" s="4">
        <v>-433.54732853086483</v>
      </c>
      <c r="S40" s="4">
        <v>-53.188658155953327</v>
      </c>
      <c r="T40" s="4">
        <v>26.098897800491887</v>
      </c>
      <c r="U40" s="4">
        <v>12.545094239974725</v>
      </c>
      <c r="V40" s="4">
        <v>-17.235667933454717</v>
      </c>
      <c r="W40" s="4">
        <v>0.19943990256031174</v>
      </c>
      <c r="X40" s="4">
        <v>16.24336997033982</v>
      </c>
      <c r="Y40" s="4">
        <v>1.4717206050016842</v>
      </c>
      <c r="Z40" s="4">
        <v>11.172714738831717</v>
      </c>
      <c r="AA40" s="4">
        <v>0.84683957338515781</v>
      </c>
      <c r="AB40" s="4">
        <v>0.42321298732617635</v>
      </c>
      <c r="AC40" s="4">
        <v>2.6680192737500455E-2</v>
      </c>
      <c r="AD40" s="4">
        <v>8.1927680551425866E-2</v>
      </c>
      <c r="AE40" s="4">
        <v>2.4259734258800874E-3</v>
      </c>
      <c r="AF40" s="4">
        <v>1.3060656123224366E-3</v>
      </c>
      <c r="AG40" s="4"/>
      <c r="AH40" s="4"/>
      <c r="AI40" s="4"/>
      <c r="AJ40" s="4"/>
      <c r="AK40" s="4"/>
      <c r="AL40" s="4"/>
      <c r="AM40" s="4"/>
      <c r="AN40" s="4"/>
      <c r="AO40" s="4"/>
      <c r="AP40" s="4"/>
      <c r="AQ40" s="4"/>
      <c r="AR40" s="4"/>
      <c r="AS40" s="4"/>
      <c r="AT40" s="4"/>
      <c r="AU40" s="4"/>
      <c r="AV40" s="4"/>
      <c r="AW40" s="4"/>
      <c r="AX40" s="4"/>
      <c r="AY40" s="4"/>
      <c r="AZ40" s="4"/>
      <c r="BA40" s="4"/>
      <c r="BB40" s="4"/>
    </row>
    <row r="41" spans="1:54" x14ac:dyDescent="0.3">
      <c r="A41" s="4">
        <v>4290</v>
      </c>
      <c r="B41" s="4"/>
      <c r="C41" s="4">
        <v>-931.1011328038278</v>
      </c>
      <c r="D41" s="4">
        <v>-1.1049454644788792E-3</v>
      </c>
      <c r="E41" s="4">
        <v>-2.3441477399117065E-3</v>
      </c>
      <c r="F41" s="4">
        <v>-0.10680583993927723</v>
      </c>
      <c r="G41" s="4">
        <v>-4.6776505442623711E-2</v>
      </c>
      <c r="H41" s="4">
        <v>-0.36157794697626394</v>
      </c>
      <c r="I41" s="4">
        <v>-0.50645742182363007</v>
      </c>
      <c r="J41" s="4">
        <v>-12.87298825860565</v>
      </c>
      <c r="K41" s="4">
        <v>-9.2411376563360808</v>
      </c>
      <c r="L41" s="4">
        <v>-13.177546399463374</v>
      </c>
      <c r="M41" s="4">
        <v>-48.119881704021125</v>
      </c>
      <c r="N41" s="4">
        <v>-163.73194109353534</v>
      </c>
      <c r="O41" s="4">
        <v>-524.62145389187413</v>
      </c>
      <c r="P41" s="4">
        <v>-626.94833458925757</v>
      </c>
      <c r="Q41" s="4">
        <v>-29.124147768112568</v>
      </c>
      <c r="R41" s="4">
        <v>-441.59321897712226</v>
      </c>
      <c r="S41" s="4">
        <v>-56.570076894521328</v>
      </c>
      <c r="T41" s="4">
        <v>28.992249506568946</v>
      </c>
      <c r="U41" s="4">
        <v>14.559187685317875</v>
      </c>
      <c r="V41" s="4">
        <v>-20.902950178055431</v>
      </c>
      <c r="W41" s="4">
        <v>0.25282609603258094</v>
      </c>
      <c r="X41" s="4">
        <v>21.529396603062249</v>
      </c>
      <c r="Y41" s="4">
        <v>2.0400643334639663</v>
      </c>
      <c r="Z41" s="4">
        <v>16.201614322758079</v>
      </c>
      <c r="AA41" s="4">
        <v>1.2849953995809249</v>
      </c>
      <c r="AB41" s="4">
        <v>0.6721736762504581</v>
      </c>
      <c r="AC41" s="4">
        <v>4.4366615561547848E-2</v>
      </c>
      <c r="AD41" s="4">
        <v>0.14268131037928755</v>
      </c>
      <c r="AE41" s="4">
        <v>4.4260609093180487E-3</v>
      </c>
      <c r="AF41" s="4">
        <v>2.4970007503218928E-3</v>
      </c>
      <c r="AG41" s="4"/>
      <c r="AH41" s="4"/>
      <c r="AI41" s="4"/>
      <c r="AJ41" s="4"/>
      <c r="AK41" s="4"/>
      <c r="AL41" s="4"/>
      <c r="AM41" s="4"/>
      <c r="AN41" s="4"/>
      <c r="AO41" s="4"/>
      <c r="AP41" s="4"/>
      <c r="AQ41" s="4"/>
      <c r="AR41" s="4"/>
      <c r="AS41" s="4"/>
      <c r="AT41" s="4"/>
      <c r="AU41" s="4"/>
      <c r="AV41" s="4"/>
      <c r="AW41" s="4"/>
      <c r="AX41" s="4"/>
      <c r="AY41" s="4"/>
      <c r="AZ41" s="4"/>
      <c r="BA41" s="4"/>
      <c r="BB41" s="4"/>
    </row>
    <row r="42" spans="1:54" x14ac:dyDescent="0.3">
      <c r="A42" s="4">
        <v>4280</v>
      </c>
      <c r="B42" s="4"/>
      <c r="C42" s="4">
        <v>-845.0470466635428</v>
      </c>
      <c r="D42" s="4">
        <v>-6.1826514344095053E-4</v>
      </c>
      <c r="E42" s="4">
        <v>-1.365286419434928E-3</v>
      </c>
      <c r="F42" s="4">
        <v>-6.4763900659605092E-2</v>
      </c>
      <c r="G42" s="4">
        <v>-2.9536589239131609E-2</v>
      </c>
      <c r="H42" s="4">
        <v>-0.23780746582647336</v>
      </c>
      <c r="I42" s="4">
        <v>-0.34702034907316348</v>
      </c>
      <c r="J42" s="4">
        <v>-9.1913304265721631</v>
      </c>
      <c r="K42" s="4">
        <v>-6.8771911993643506</v>
      </c>
      <c r="L42" s="4">
        <v>-10.223689059307576</v>
      </c>
      <c r="M42" s="4">
        <v>-38.930228260885961</v>
      </c>
      <c r="N42" s="4">
        <v>-138.16186486794965</v>
      </c>
      <c r="O42" s="4">
        <v>-461.84625909546298</v>
      </c>
      <c r="P42" s="4">
        <v>-575.95051297812915</v>
      </c>
      <c r="Q42" s="4">
        <v>-27.926423232014752</v>
      </c>
      <c r="R42" s="4">
        <v>-442.08017128135413</v>
      </c>
      <c r="S42" s="4">
        <v>-59.141331018318816</v>
      </c>
      <c r="T42" s="4">
        <v>31.6608331757682</v>
      </c>
      <c r="U42" s="4">
        <v>16.612132603114834</v>
      </c>
      <c r="V42" s="4">
        <v>-24.92623542679798</v>
      </c>
      <c r="W42" s="4">
        <v>0.31517100921572017</v>
      </c>
      <c r="X42" s="4">
        <v>28.063849747144456</v>
      </c>
      <c r="Y42" s="4">
        <v>2.7814255712034943</v>
      </c>
      <c r="Z42" s="4">
        <v>23.110463340726472</v>
      </c>
      <c r="AA42" s="4">
        <v>1.9182215306460768</v>
      </c>
      <c r="AB42" s="4">
        <v>1.0503814275745407</v>
      </c>
      <c r="AC42" s="4">
        <v>7.259608554496963E-2</v>
      </c>
      <c r="AD42" s="4">
        <v>0.24453437601572509</v>
      </c>
      <c r="AE42" s="4">
        <v>7.9475316022459067E-3</v>
      </c>
      <c r="AF42" s="4">
        <v>4.6989768764681061E-3</v>
      </c>
      <c r="AG42" s="4"/>
      <c r="AH42" s="4"/>
      <c r="AI42" s="4"/>
      <c r="AJ42" s="4"/>
      <c r="AK42" s="4"/>
      <c r="AL42" s="4"/>
      <c r="AM42" s="4"/>
      <c r="AN42" s="4"/>
      <c r="AO42" s="4"/>
      <c r="AP42" s="4"/>
      <c r="AQ42" s="4"/>
      <c r="AR42" s="4"/>
      <c r="AS42" s="4"/>
      <c r="AT42" s="4"/>
      <c r="AU42" s="4"/>
      <c r="AV42" s="4"/>
      <c r="AW42" s="4"/>
      <c r="AX42" s="4"/>
      <c r="AY42" s="4"/>
      <c r="AZ42" s="4"/>
      <c r="BA42" s="4"/>
      <c r="BB42" s="4"/>
    </row>
    <row r="43" spans="1:54" x14ac:dyDescent="0.3">
      <c r="A43" s="4">
        <v>4270</v>
      </c>
      <c r="B43" s="4"/>
      <c r="C43" s="4">
        <v>-752.80166475882686</v>
      </c>
      <c r="D43" s="4">
        <v>-3.3951401865852841E-4</v>
      </c>
      <c r="E43" s="4">
        <v>-7.8046297285362394E-4</v>
      </c>
      <c r="F43" s="4">
        <v>-3.8547984253164115E-2</v>
      </c>
      <c r="G43" s="4">
        <v>-1.8309005148075628E-2</v>
      </c>
      <c r="H43" s="4">
        <v>-0.15355439506187463</v>
      </c>
      <c r="I43" s="4">
        <v>-0.2334649940884749</v>
      </c>
      <c r="J43" s="4">
        <v>-6.4442748183293617</v>
      </c>
      <c r="K43" s="4">
        <v>-5.026150625571379</v>
      </c>
      <c r="L43" s="4">
        <v>-7.790435967869521</v>
      </c>
      <c r="M43" s="4">
        <v>-30.936626125569514</v>
      </c>
      <c r="N43" s="4">
        <v>-114.52738679211012</v>
      </c>
      <c r="O43" s="4">
        <v>-399.44614631484836</v>
      </c>
      <c r="P43" s="4">
        <v>-519.86584725156979</v>
      </c>
      <c r="Q43" s="4">
        <v>-26.31319813095525</v>
      </c>
      <c r="R43" s="4">
        <v>-434.9303234820315</v>
      </c>
      <c r="S43" s="4">
        <v>-60.768633220340242</v>
      </c>
      <c r="T43" s="4">
        <v>33.985300088557572</v>
      </c>
      <c r="U43" s="4">
        <v>18.633160879981482</v>
      </c>
      <c r="V43" s="4">
        <v>-29.222914044085705</v>
      </c>
      <c r="W43" s="4">
        <v>0.38630776284335322</v>
      </c>
      <c r="X43" s="4">
        <v>35.972515071688214</v>
      </c>
      <c r="Y43" s="4">
        <v>3.7294503056013451</v>
      </c>
      <c r="Z43" s="4">
        <v>32.423412987982971</v>
      </c>
      <c r="AA43" s="4">
        <v>2.816708170383869</v>
      </c>
      <c r="AB43" s="4">
        <v>1.614748713193821</v>
      </c>
      <c r="AC43" s="4">
        <v>0.11687167002278619</v>
      </c>
      <c r="AD43" s="4">
        <v>0.412381285447387</v>
      </c>
      <c r="AE43" s="4">
        <v>1.4043672348875135E-2</v>
      </c>
      <c r="AF43" s="4">
        <v>8.7030031181940543E-3</v>
      </c>
      <c r="AG43" s="4"/>
      <c r="AH43" s="4"/>
      <c r="AI43" s="4"/>
      <c r="AJ43" s="4"/>
      <c r="AK43" s="4"/>
      <c r="AL43" s="4"/>
      <c r="AM43" s="4"/>
      <c r="AN43" s="4"/>
      <c r="AO43" s="4"/>
      <c r="AP43" s="4"/>
      <c r="AQ43" s="4"/>
      <c r="AR43" s="4"/>
      <c r="AS43" s="4"/>
      <c r="AT43" s="4"/>
      <c r="AU43" s="4"/>
      <c r="AV43" s="4"/>
      <c r="AW43" s="4"/>
      <c r="AX43" s="4"/>
      <c r="AY43" s="4"/>
      <c r="AZ43" s="4"/>
      <c r="BA43" s="4"/>
      <c r="BB43" s="4"/>
    </row>
    <row r="44" spans="1:54" x14ac:dyDescent="0.3">
      <c r="A44" s="4">
        <v>4260</v>
      </c>
      <c r="B44" s="4"/>
      <c r="C44" s="4">
        <v>-656.25386321677229</v>
      </c>
      <c r="D44" s="4">
        <v>-1.8295054928988268E-4</v>
      </c>
      <c r="E44" s="4">
        <v>-4.3783935913533143E-4</v>
      </c>
      <c r="F44" s="4">
        <v>-2.251880995292891E-2</v>
      </c>
      <c r="G44" s="4">
        <v>-1.1140010187425329E-2</v>
      </c>
      <c r="H44" s="4">
        <v>-9.7332310344895798E-2</v>
      </c>
      <c r="I44" s="4">
        <v>-0.15420143676792553</v>
      </c>
      <c r="J44" s="4">
        <v>-4.4362047594956042</v>
      </c>
      <c r="K44" s="4">
        <v>-3.6069824463730509</v>
      </c>
      <c r="L44" s="4">
        <v>-5.8296506357316167</v>
      </c>
      <c r="M44" s="4">
        <v>-24.14506238426074</v>
      </c>
      <c r="N44" s="4">
        <v>-93.24872243322254</v>
      </c>
      <c r="O44" s="4">
        <v>-339.37093897478957</v>
      </c>
      <c r="P44" s="4">
        <v>-460.99529903687903</v>
      </c>
      <c r="Q44" s="4">
        <v>-24.359859606290485</v>
      </c>
      <c r="R44" s="4">
        <v>-420.4604507115136</v>
      </c>
      <c r="S44" s="4">
        <v>-61.361913969887446</v>
      </c>
      <c r="T44" s="4">
        <v>35.8538202035501</v>
      </c>
      <c r="U44" s="4">
        <v>20.543195594397211</v>
      </c>
      <c r="V44" s="4">
        <v>-33.678729711067774</v>
      </c>
      <c r="W44" s="4">
        <v>0.4655124086162884</v>
      </c>
      <c r="X44" s="4">
        <v>45.336771007924426</v>
      </c>
      <c r="Y44" s="4">
        <v>4.9172725301042712</v>
      </c>
      <c r="Z44" s="4">
        <v>44.735984791464041</v>
      </c>
      <c r="AA44" s="4">
        <v>4.0679869628801359</v>
      </c>
      <c r="AB44" s="4">
        <v>2.4417666649490761</v>
      </c>
      <c r="AC44" s="4">
        <v>0.18509452772196586</v>
      </c>
      <c r="AD44" s="4">
        <v>0.68421648719481321</v>
      </c>
      <c r="AE44" s="4">
        <v>2.4418121134812919E-2</v>
      </c>
      <c r="AF44" s="4">
        <v>1.5862293191021216E-2</v>
      </c>
      <c r="AG44" s="4"/>
      <c r="AH44" s="4"/>
      <c r="AI44" s="4"/>
      <c r="AJ44" s="4"/>
      <c r="AK44" s="4"/>
      <c r="AL44" s="4"/>
      <c r="AM44" s="4"/>
      <c r="AN44" s="4"/>
      <c r="AO44" s="4"/>
      <c r="AP44" s="4"/>
      <c r="AQ44" s="4"/>
      <c r="AR44" s="4"/>
      <c r="AS44" s="4"/>
      <c r="AT44" s="4"/>
      <c r="AU44" s="4"/>
      <c r="AV44" s="4"/>
      <c r="AW44" s="4"/>
      <c r="AX44" s="4"/>
      <c r="AY44" s="4"/>
      <c r="AZ44" s="4"/>
      <c r="BA44" s="4"/>
      <c r="BB44" s="4"/>
    </row>
    <row r="45" spans="1:54" x14ac:dyDescent="0.3">
      <c r="A45" s="4">
        <v>4250</v>
      </c>
      <c r="B45" s="4"/>
      <c r="C45" s="4">
        <v>-557.13365701545536</v>
      </c>
      <c r="D45" s="4">
        <v>-9.6726691330457082E-5</v>
      </c>
      <c r="E45" s="4">
        <v>-2.4102106408564554E-4</v>
      </c>
      <c r="F45" s="4">
        <v>-1.2909464335740757E-2</v>
      </c>
      <c r="G45" s="4">
        <v>-6.6522260258698798E-3</v>
      </c>
      <c r="H45" s="4">
        <v>-6.0555577852815533E-2</v>
      </c>
      <c r="I45" s="4">
        <v>-9.9976841210537529E-2</v>
      </c>
      <c r="J45" s="4">
        <v>-2.9980280420462209</v>
      </c>
      <c r="K45" s="4">
        <v>-2.5414502038633366</v>
      </c>
      <c r="L45" s="4">
        <v>-4.2834632962736592</v>
      </c>
      <c r="M45" s="4">
        <v>-18.505397494347818</v>
      </c>
      <c r="N45" s="4">
        <v>-74.56488023994865</v>
      </c>
      <c r="O45" s="4">
        <v>-283.19944491031555</v>
      </c>
      <c r="P45" s="4">
        <v>-401.55656125493732</v>
      </c>
      <c r="Q45" s="4">
        <v>-22.154649580047408</v>
      </c>
      <c r="R45" s="4">
        <v>-399.35926808129562</v>
      </c>
      <c r="S45" s="4">
        <v>-60.882984027901834</v>
      </c>
      <c r="T45" s="4">
        <v>37.170814633823483</v>
      </c>
      <c r="U45" s="4">
        <v>22.259569454578347</v>
      </c>
      <c r="V45" s="4">
        <v>-38.150516174331585</v>
      </c>
      <c r="W45" s="4">
        <v>0.55142586767133162</v>
      </c>
      <c r="X45" s="4">
        <v>56.173851310585384</v>
      </c>
      <c r="Y45" s="4">
        <v>6.3746101310821652</v>
      </c>
      <c r="Z45" s="4">
        <v>60.694804142247449</v>
      </c>
      <c r="AA45" s="4">
        <v>5.7777682195664868</v>
      </c>
      <c r="AB45" s="4">
        <v>3.6315593930371595</v>
      </c>
      <c r="AC45" s="4">
        <v>0.28834663629769514</v>
      </c>
      <c r="AD45" s="4">
        <v>1.1167927879357731</v>
      </c>
      <c r="AE45" s="4">
        <v>4.1771115538729593E-2</v>
      </c>
      <c r="AF45" s="4">
        <v>2.8447439214737288E-2</v>
      </c>
      <c r="AG45" s="4"/>
      <c r="AH45" s="4"/>
      <c r="AI45" s="4"/>
      <c r="AJ45" s="4"/>
      <c r="AK45" s="4"/>
      <c r="AL45" s="4"/>
      <c r="AM45" s="4"/>
      <c r="AN45" s="4"/>
      <c r="AO45" s="4"/>
      <c r="AP45" s="4"/>
      <c r="AQ45" s="4"/>
      <c r="AR45" s="4"/>
      <c r="AS45" s="4"/>
      <c r="AT45" s="4"/>
      <c r="AU45" s="4"/>
      <c r="AV45" s="4"/>
      <c r="AW45" s="4"/>
      <c r="AX45" s="4"/>
      <c r="AY45" s="4"/>
      <c r="AZ45" s="4"/>
      <c r="BA45" s="4"/>
      <c r="BB45" s="4"/>
    </row>
    <row r="46" spans="1:54" x14ac:dyDescent="0.3">
      <c r="A46" s="4">
        <v>4240</v>
      </c>
      <c r="B46" s="4"/>
      <c r="C46" s="4">
        <v>-456.92978478124047</v>
      </c>
      <c r="D46" s="4">
        <v>-5.0169367055713752E-5</v>
      </c>
      <c r="E46" s="4">
        <v>-1.3017157644871653E-4</v>
      </c>
      <c r="F46" s="4">
        <v>-7.2616194737125132E-3</v>
      </c>
      <c r="G46" s="4">
        <v>-3.8980968465445937E-3</v>
      </c>
      <c r="H46" s="4">
        <v>-3.6974087167095257E-2</v>
      </c>
      <c r="I46" s="4">
        <v>-6.3620750679769453E-2</v>
      </c>
      <c r="J46" s="4">
        <v>-1.9887977462826607</v>
      </c>
      <c r="K46" s="4">
        <v>-1.7578939522149868</v>
      </c>
      <c r="L46" s="4">
        <v>-3.090039077129064</v>
      </c>
      <c r="M46" s="4">
        <v>-13.926053393632429</v>
      </c>
      <c r="N46" s="4">
        <v>-58.550243543106369</v>
      </c>
      <c r="O46" s="4">
        <v>-232.09016386931646</v>
      </c>
      <c r="P46" s="4">
        <v>-343.54801116995839</v>
      </c>
      <c r="Q46" s="4">
        <v>-19.791997055497554</v>
      </c>
      <c r="R46" s="4">
        <v>-372.63308665405509</v>
      </c>
      <c r="S46" s="4">
        <v>-59.349443827757781</v>
      </c>
      <c r="T46" s="4">
        <v>37.864945428629419</v>
      </c>
      <c r="U46" s="4">
        <v>23.701690323848876</v>
      </c>
      <c r="V46" s="4">
        <v>-42.472164135647816</v>
      </c>
      <c r="W46" s="4">
        <v>0.64201916464680719</v>
      </c>
      <c r="X46" s="4">
        <v>68.41775205305899</v>
      </c>
      <c r="Y46" s="4">
        <v>8.1241932163868356</v>
      </c>
      <c r="Z46" s="4">
        <v>80.963607886633923</v>
      </c>
      <c r="AA46" s="4">
        <v>8.0692161905656477</v>
      </c>
      <c r="AB46" s="4">
        <v>5.3115337884370941</v>
      </c>
      <c r="AC46" s="4">
        <v>0.44179564679398681</v>
      </c>
      <c r="AD46" s="4">
        <v>1.7930178795808245</v>
      </c>
      <c r="AE46" s="4">
        <v>7.0294424224268098E-2</v>
      </c>
      <c r="AF46" s="4">
        <v>5.0193754421634283E-2</v>
      </c>
      <c r="AG46" s="4"/>
      <c r="AH46" s="4"/>
      <c r="AI46" s="4"/>
      <c r="AJ46" s="4"/>
      <c r="AK46" s="4"/>
      <c r="AL46" s="4"/>
      <c r="AM46" s="4"/>
      <c r="AN46" s="4"/>
      <c r="AO46" s="4"/>
      <c r="AP46" s="4"/>
      <c r="AQ46" s="4"/>
      <c r="AR46" s="4"/>
      <c r="AS46" s="4"/>
      <c r="AT46" s="4"/>
      <c r="AU46" s="4"/>
      <c r="AV46" s="4"/>
      <c r="AW46" s="4"/>
      <c r="AX46" s="4"/>
      <c r="AY46" s="4"/>
      <c r="AZ46" s="4"/>
      <c r="BA46" s="4"/>
      <c r="BB46" s="4"/>
    </row>
    <row r="47" spans="1:54" x14ac:dyDescent="0.3">
      <c r="A47" s="4">
        <v>4230</v>
      </c>
      <c r="B47" s="4"/>
      <c r="C47" s="4">
        <v>-356.8393980564735</v>
      </c>
      <c r="D47" s="4">
        <v>-2.5524260292434753E-5</v>
      </c>
      <c r="E47" s="4">
        <v>-6.8966957552155626E-5</v>
      </c>
      <c r="F47" s="4">
        <v>-4.0074139007752344E-3</v>
      </c>
      <c r="G47" s="4">
        <v>-2.2412259269987507E-3</v>
      </c>
      <c r="H47" s="4">
        <v>-2.2152886427916123E-2</v>
      </c>
      <c r="I47" s="4">
        <v>-3.9731056974256627E-2</v>
      </c>
      <c r="J47" s="4">
        <v>-1.2948520040248401</v>
      </c>
      <c r="K47" s="4">
        <v>-1.1934966288743882</v>
      </c>
      <c r="L47" s="4">
        <v>-2.1882324927945689</v>
      </c>
      <c r="M47" s="4">
        <v>-10.288726381353724</v>
      </c>
      <c r="N47" s="4">
        <v>-45.140941350416455</v>
      </c>
      <c r="O47" s="4">
        <v>-186.77229087605122</v>
      </c>
      <c r="P47" s="4">
        <v>-288.64472436634327</v>
      </c>
      <c r="Q47" s="4">
        <v>-17.365775316120612</v>
      </c>
      <c r="R47" s="4">
        <v>-341.52578566224861</v>
      </c>
      <c r="S47" s="4">
        <v>-56.833799033900377</v>
      </c>
      <c r="T47" s="4">
        <v>37.895447200898865</v>
      </c>
      <c r="U47" s="4">
        <v>24.797147496492755</v>
      </c>
      <c r="V47" s="4">
        <v>-46.463709529600145</v>
      </c>
      <c r="W47" s="4">
        <v>0.7346158745153275</v>
      </c>
      <c r="X47" s="4">
        <v>81.903239569451614</v>
      </c>
      <c r="Y47" s="4">
        <v>10.177732581434284</v>
      </c>
      <c r="Z47" s="4">
        <v>106.1742371884377</v>
      </c>
      <c r="AA47" s="4">
        <v>11.080021723683712</v>
      </c>
      <c r="AB47" s="4">
        <v>7.6389229156751419</v>
      </c>
      <c r="AC47" s="4">
        <v>0.66567309919588802</v>
      </c>
      <c r="AD47" s="4">
        <v>2.8312460833041437</v>
      </c>
      <c r="AE47" s="4">
        <v>0.11635764116244969</v>
      </c>
      <c r="AF47" s="4">
        <v>8.7123228977077444E-2</v>
      </c>
      <c r="AG47" s="4"/>
      <c r="AH47" s="4"/>
      <c r="AI47" s="4"/>
      <c r="AJ47" s="4"/>
      <c r="AK47" s="4"/>
      <c r="AL47" s="4"/>
      <c r="AM47" s="4"/>
      <c r="AN47" s="4"/>
      <c r="AO47" s="4"/>
      <c r="AP47" s="4"/>
      <c r="AQ47" s="4"/>
      <c r="AR47" s="4"/>
      <c r="AS47" s="4"/>
      <c r="AT47" s="4"/>
      <c r="AU47" s="4"/>
      <c r="AV47" s="4"/>
      <c r="AW47" s="4"/>
      <c r="AX47" s="4"/>
      <c r="AY47" s="4"/>
      <c r="AZ47" s="4"/>
      <c r="BA47" s="4"/>
      <c r="BB47" s="4"/>
    </row>
    <row r="48" spans="1:54" x14ac:dyDescent="0.3">
      <c r="A48" s="4">
        <v>4220</v>
      </c>
      <c r="B48" s="4"/>
      <c r="C48" s="4">
        <v>-257.75257396996943</v>
      </c>
      <c r="D48" s="4">
        <v>-1.2735970542288849E-5</v>
      </c>
      <c r="E48" s="4">
        <v>-3.5840329232969923E-5</v>
      </c>
      <c r="F48" s="4">
        <v>-2.1694160073024134E-3</v>
      </c>
      <c r="G48" s="4">
        <v>-1.264179412241417E-3</v>
      </c>
      <c r="H48" s="4">
        <v>-1.3022537305774504E-2</v>
      </c>
      <c r="I48" s="4">
        <v>-2.4346496674308889E-2</v>
      </c>
      <c r="J48" s="4">
        <v>-0.82730854939306075</v>
      </c>
      <c r="K48" s="4">
        <v>-0.79526278700458752</v>
      </c>
      <c r="L48" s="4">
        <v>-1.5209929776669124</v>
      </c>
      <c r="M48" s="4">
        <v>-7.4617895296461825</v>
      </c>
      <c r="N48" s="4">
        <v>-34.166786920735056</v>
      </c>
      <c r="O48" s="4">
        <v>-147.57195639993674</v>
      </c>
      <c r="P48" s="4">
        <v>-238.13311729614307</v>
      </c>
      <c r="Q48" s="4">
        <v>-14.963158951974071</v>
      </c>
      <c r="R48" s="4">
        <v>-307.42201055275041</v>
      </c>
      <c r="S48" s="4">
        <v>-53.457811997348799</v>
      </c>
      <c r="T48" s="4">
        <v>37.256027404851842</v>
      </c>
      <c r="U48" s="4">
        <v>25.487635847885617</v>
      </c>
      <c r="V48" s="4">
        <v>-49.943005937113732</v>
      </c>
      <c r="W48" s="4">
        <v>0.82598107219924355</v>
      </c>
      <c r="X48" s="4">
        <v>96.355668050351539</v>
      </c>
      <c r="Y48" s="4">
        <v>12.531771101505381</v>
      </c>
      <c r="Z48" s="4">
        <v>136.86300601761602</v>
      </c>
      <c r="AA48" s="4">
        <v>14.956665840496425</v>
      </c>
      <c r="AB48" s="4">
        <v>10.801319333687102</v>
      </c>
      <c r="AC48" s="4">
        <v>0.98623623823526829</v>
      </c>
      <c r="AD48" s="4">
        <v>4.3964199045818129</v>
      </c>
      <c r="AE48" s="4">
        <v>0.18942878053961315</v>
      </c>
      <c r="AF48" s="4">
        <v>0.14874557352341475</v>
      </c>
      <c r="AG48" s="4"/>
      <c r="AH48" s="4"/>
      <c r="AI48" s="4"/>
      <c r="AJ48" s="4"/>
      <c r="AK48" s="4"/>
      <c r="AL48" s="4"/>
      <c r="AM48" s="4"/>
      <c r="AN48" s="4"/>
      <c r="AO48" s="4"/>
      <c r="AP48" s="4"/>
      <c r="AQ48" s="4"/>
      <c r="AR48" s="4"/>
      <c r="AS48" s="4"/>
      <c r="AT48" s="4"/>
      <c r="AU48" s="4"/>
      <c r="AV48" s="4"/>
      <c r="AW48" s="4"/>
      <c r="AX48" s="4"/>
      <c r="AY48" s="4"/>
      <c r="AZ48" s="4"/>
      <c r="BA48" s="4"/>
      <c r="BB48" s="4"/>
    </row>
    <row r="49" spans="1:54" x14ac:dyDescent="0.3">
      <c r="A49" s="4">
        <v>4210</v>
      </c>
      <c r="B49" s="4"/>
      <c r="C49" s="4">
        <v>-160.27040542604033</v>
      </c>
      <c r="D49" s="4">
        <v>-6.2318479850705385E-6</v>
      </c>
      <c r="E49" s="4">
        <v>-1.8266305481513221E-5</v>
      </c>
      <c r="F49" s="4">
        <v>-1.1518910121243878E-3</v>
      </c>
      <c r="G49" s="4">
        <v>-6.9946185246701545E-4</v>
      </c>
      <c r="H49" s="4">
        <v>-7.5099269383605014E-3</v>
      </c>
      <c r="I49" s="4">
        <v>-1.4637282360174262E-2</v>
      </c>
      <c r="J49" s="4">
        <v>-0.51865138884193518</v>
      </c>
      <c r="K49" s="4">
        <v>-0.52000085513020833</v>
      </c>
      <c r="L49" s="4">
        <v>-1.0375485065615768</v>
      </c>
      <c r="M49" s="4">
        <v>-5.3114805214650147</v>
      </c>
      <c r="N49" s="4">
        <v>-25.384750697088609</v>
      </c>
      <c r="O49" s="4">
        <v>-114.46553040275943</v>
      </c>
      <c r="P49" s="4">
        <v>-192.8856816748366</v>
      </c>
      <c r="Q49" s="4">
        <v>-12.659635366358646</v>
      </c>
      <c r="R49" s="4">
        <v>-271.74417847645526</v>
      </c>
      <c r="S49" s="4">
        <v>-49.382696472852459</v>
      </c>
      <c r="T49" s="4">
        <v>35.975823569202149</v>
      </c>
      <c r="U49" s="4">
        <v>25.734036147944277</v>
      </c>
      <c r="V49" s="4">
        <v>-52.739026038384111</v>
      </c>
      <c r="W49" s="4">
        <v>0.91247902580474316</v>
      </c>
      <c r="X49" s="4">
        <v>111.3892091511877</v>
      </c>
      <c r="Y49" s="4">
        <v>15.163884882156456</v>
      </c>
      <c r="Z49" s="4">
        <v>173.39510457652037</v>
      </c>
      <c r="AA49" s="4">
        <v>19.845421004952037</v>
      </c>
      <c r="AB49" s="4">
        <v>15.014146102439049</v>
      </c>
      <c r="AC49" s="4">
        <v>1.4365745281872757</v>
      </c>
      <c r="AD49" s="4">
        <v>6.7126865919640144</v>
      </c>
      <c r="AE49" s="4">
        <v>0.30326436587359595</v>
      </c>
      <c r="AF49" s="4">
        <v>0.24976266273811307</v>
      </c>
      <c r="AG49" s="4"/>
      <c r="AH49" s="4"/>
      <c r="AI49" s="4"/>
      <c r="AJ49" s="4"/>
      <c r="AK49" s="4"/>
      <c r="AL49" s="4"/>
      <c r="AM49" s="4"/>
      <c r="AN49" s="4"/>
      <c r="AO49" s="4"/>
      <c r="AP49" s="4"/>
      <c r="AQ49" s="4"/>
      <c r="AR49" s="4"/>
      <c r="AS49" s="4"/>
      <c r="AT49" s="4"/>
      <c r="AU49" s="4"/>
      <c r="AV49" s="4"/>
      <c r="AW49" s="4"/>
      <c r="AX49" s="4"/>
      <c r="AY49" s="4"/>
      <c r="AZ49" s="4"/>
      <c r="BA49" s="4"/>
      <c r="BB49" s="4"/>
    </row>
    <row r="50" spans="1:54" x14ac:dyDescent="0.3">
      <c r="A50" s="4">
        <v>4200</v>
      </c>
      <c r="B50" s="4"/>
      <c r="C50" s="4">
        <v>-64.75171861659868</v>
      </c>
      <c r="D50" s="4">
        <v>-2.9898449132986163E-6</v>
      </c>
      <c r="E50" s="4">
        <v>-9.1289016076515779E-6</v>
      </c>
      <c r="F50" s="4">
        <v>-5.9980672285112491E-4</v>
      </c>
      <c r="G50" s="4">
        <v>-3.7957122490168727E-4</v>
      </c>
      <c r="H50" s="4">
        <v>-4.2480782790033176E-3</v>
      </c>
      <c r="I50" s="4">
        <v>-8.632649869608643E-3</v>
      </c>
      <c r="J50" s="4">
        <v>-0.31899694575165383</v>
      </c>
      <c r="K50" s="4">
        <v>-0.33361370745578051</v>
      </c>
      <c r="L50" s="4">
        <v>-0.69451202634083931</v>
      </c>
      <c r="M50" s="4">
        <v>-3.7104136273656456</v>
      </c>
      <c r="N50" s="4">
        <v>-18.510579915481916</v>
      </c>
      <c r="O50" s="4">
        <v>-87.150212449585453</v>
      </c>
      <c r="P50" s="4">
        <v>-153.37258912629201</v>
      </c>
      <c r="Q50" s="4">
        <v>-10.515541917913119</v>
      </c>
      <c r="R50" s="4">
        <v>-235.85405288796787</v>
      </c>
      <c r="S50" s="4">
        <v>-44.796258129382068</v>
      </c>
      <c r="T50" s="4">
        <v>34.117251941342246</v>
      </c>
      <c r="U50" s="4">
        <v>25.520043342247028</v>
      </c>
      <c r="V50" s="4">
        <v>-54.705501541877055</v>
      </c>
      <c r="W50" s="4">
        <v>0.99029311018479027</v>
      </c>
      <c r="X50" s="4">
        <v>126.51555530864513</v>
      </c>
      <c r="Y50" s="4">
        <v>18.029787952509725</v>
      </c>
      <c r="Z50" s="4">
        <v>215.88235882089077</v>
      </c>
      <c r="AA50" s="4">
        <v>25.87993300750556</v>
      </c>
      <c r="AB50" s="4">
        <v>20.513974390334642</v>
      </c>
      <c r="AC50" s="4">
        <v>2.0570698472830657</v>
      </c>
      <c r="AD50" s="4">
        <v>10.076643177161758</v>
      </c>
      <c r="AE50" s="4">
        <v>0.47738420274513205</v>
      </c>
      <c r="AF50" s="4">
        <v>0.41241216620900423</v>
      </c>
      <c r="AG50" s="4"/>
      <c r="AH50" s="4"/>
      <c r="AI50" s="4"/>
      <c r="AJ50" s="4"/>
      <c r="AK50" s="4"/>
      <c r="AL50" s="4"/>
      <c r="AM50" s="4"/>
      <c r="AN50" s="4"/>
      <c r="AO50" s="4"/>
      <c r="AP50" s="4"/>
      <c r="AQ50" s="4"/>
      <c r="AR50" s="4"/>
      <c r="AS50" s="4"/>
      <c r="AT50" s="4"/>
      <c r="AU50" s="4"/>
      <c r="AV50" s="4"/>
      <c r="AW50" s="4"/>
      <c r="AX50" s="4"/>
      <c r="AY50" s="4"/>
      <c r="AZ50" s="4"/>
      <c r="BA50" s="4"/>
      <c r="BB50" s="4"/>
    </row>
    <row r="51" spans="1:54" x14ac:dyDescent="0.3">
      <c r="A51" s="4">
        <v>4190</v>
      </c>
      <c r="B51" s="4"/>
      <c r="C51" s="4">
        <v>28.619553708476356</v>
      </c>
      <c r="D51" s="4">
        <v>-1.4062678547049714E-6</v>
      </c>
      <c r="E51" s="4">
        <v>-4.4731781241844013E-6</v>
      </c>
      <c r="F51" s="4">
        <v>-3.0625531402027453E-4</v>
      </c>
      <c r="G51" s="4">
        <v>-2.0199361103360132E-4</v>
      </c>
      <c r="H51" s="4">
        <v>-2.3567167466483534E-3</v>
      </c>
      <c r="I51" s="4">
        <v>-4.9937763897240769E-3</v>
      </c>
      <c r="J51" s="4">
        <v>-0.19246078087869964</v>
      </c>
      <c r="K51" s="4">
        <v>-0.20997720296777186</v>
      </c>
      <c r="L51" s="4">
        <v>-0.45612460407055849</v>
      </c>
      <c r="M51" s="4">
        <v>-2.5433469714865975</v>
      </c>
      <c r="N51" s="4">
        <v>-13.246103209244957</v>
      </c>
      <c r="O51" s="4">
        <v>-65.122018091657736</v>
      </c>
      <c r="P51" s="4">
        <v>-119.70330113871978</v>
      </c>
      <c r="Q51" s="4">
        <v>-8.5742855655328345</v>
      </c>
      <c r="R51" s="4">
        <v>-200.96837725732442</v>
      </c>
      <c r="S51" s="4">
        <v>-39.898419735551528</v>
      </c>
      <c r="T51" s="4">
        <v>31.770961409151891</v>
      </c>
      <c r="U51" s="4">
        <v>24.853879884639024</v>
      </c>
      <c r="V51" s="4">
        <v>-55.733425151740583</v>
      </c>
      <c r="W51" s="4">
        <v>1.0556921151099403</v>
      </c>
      <c r="X51" s="4">
        <v>141.16417312153993</v>
      </c>
      <c r="Y51" s="4">
        <v>21.061917362942278</v>
      </c>
      <c r="Z51" s="4">
        <v>264.10237024308111</v>
      </c>
      <c r="AA51" s="4">
        <v>33.165669480800183</v>
      </c>
      <c r="AB51" s="4">
        <v>27.546728762188248</v>
      </c>
      <c r="AC51" s="4">
        <v>2.8952730593702412</v>
      </c>
      <c r="AD51" s="4">
        <v>14.869756886568098</v>
      </c>
      <c r="AE51" s="4">
        <v>0.73880930042329063</v>
      </c>
      <c r="AF51" s="4">
        <v>0.66958012182136561</v>
      </c>
      <c r="AG51" s="4"/>
      <c r="AH51" s="4"/>
      <c r="AI51" s="4"/>
      <c r="AJ51" s="4"/>
      <c r="AK51" s="4"/>
      <c r="AL51" s="4"/>
      <c r="AM51" s="4"/>
      <c r="AN51" s="4"/>
      <c r="AO51" s="4"/>
      <c r="AP51" s="4"/>
      <c r="AQ51" s="4"/>
      <c r="AR51" s="4"/>
      <c r="AS51" s="4"/>
      <c r="AT51" s="4"/>
      <c r="AU51" s="4"/>
      <c r="AV51" s="4"/>
      <c r="AW51" s="4"/>
      <c r="AX51" s="4"/>
      <c r="AY51" s="4"/>
      <c r="AZ51" s="4"/>
      <c r="BA51" s="4"/>
      <c r="BB51" s="4"/>
    </row>
    <row r="52" spans="1:54" x14ac:dyDescent="0.3">
      <c r="A52" s="4">
        <v>4180</v>
      </c>
      <c r="B52" s="4"/>
      <c r="C52" s="4">
        <v>119.75630166662273</v>
      </c>
      <c r="D52" s="4">
        <v>-6.4835829482345538E-7</v>
      </c>
      <c r="E52" s="4">
        <v>-2.1487405186044047E-6</v>
      </c>
      <c r="F52" s="4">
        <v>-1.5330939268807853E-4</v>
      </c>
      <c r="G52" s="4">
        <v>-1.0539930691231433E-4</v>
      </c>
      <c r="H52" s="4">
        <v>-1.2820979754046052E-3</v>
      </c>
      <c r="I52" s="4">
        <v>-2.8330642465524873E-3</v>
      </c>
      <c r="J52" s="4">
        <v>-0.11388957875221094</v>
      </c>
      <c r="K52" s="4">
        <v>-0.1296374057579924</v>
      </c>
      <c r="L52" s="4">
        <v>-0.29387409224455885</v>
      </c>
      <c r="M52" s="4">
        <v>-1.7104381151736756</v>
      </c>
      <c r="N52" s="4">
        <v>-9.3007797367120428</v>
      </c>
      <c r="O52" s="4">
        <v>-47.752407038351073</v>
      </c>
      <c r="P52" s="4">
        <v>-91.689093987264386</v>
      </c>
      <c r="Q52" s="4">
        <v>-6.8621913321509451</v>
      </c>
      <c r="R52" s="4">
        <v>-168.0956153263553</v>
      </c>
      <c r="S52" s="4">
        <v>-34.88669892619734</v>
      </c>
      <c r="T52" s="4">
        <v>29.048460180021785</v>
      </c>
      <c r="U52" s="4">
        <v>23.767851100998229</v>
      </c>
      <c r="V52" s="4">
        <v>-55.760950241738094</v>
      </c>
      <c r="W52" s="4">
        <v>1.105318774205835</v>
      </c>
      <c r="X52" s="4">
        <v>154.71382677144371</v>
      </c>
      <c r="Y52" s="4">
        <v>24.170012878632484</v>
      </c>
      <c r="Z52" s="4">
        <v>317.42932026967651</v>
      </c>
      <c r="AA52" s="4">
        <v>41.76208587940279</v>
      </c>
      <c r="AB52" s="4">
        <v>36.350178131458648</v>
      </c>
      <c r="AC52" s="4">
        <v>4.0049315801780523</v>
      </c>
      <c r="AD52" s="4">
        <v>21.567809302988532</v>
      </c>
      <c r="AE52" s="4">
        <v>1.1239843102116369</v>
      </c>
      <c r="AF52" s="4">
        <v>1.0687766027452346</v>
      </c>
      <c r="AG52" s="4"/>
      <c r="AH52" s="4"/>
      <c r="AI52" s="4"/>
      <c r="AJ52" s="4"/>
      <c r="AK52" s="4"/>
      <c r="AL52" s="4"/>
      <c r="AM52" s="4"/>
      <c r="AN52" s="4"/>
      <c r="AO52" s="4"/>
      <c r="AP52" s="4"/>
      <c r="AQ52" s="4"/>
      <c r="AR52" s="4"/>
      <c r="AS52" s="4"/>
      <c r="AT52" s="4"/>
      <c r="AU52" s="4"/>
      <c r="AV52" s="4"/>
      <c r="AW52" s="4"/>
      <c r="AX52" s="4"/>
      <c r="AY52" s="4"/>
      <c r="AZ52" s="4"/>
      <c r="BA52" s="4"/>
      <c r="BB52" s="4"/>
    </row>
    <row r="53" spans="1:54" x14ac:dyDescent="0.3">
      <c r="A53" s="4">
        <v>4170</v>
      </c>
      <c r="B53" s="4"/>
      <c r="C53" s="4">
        <v>208.59013824956887</v>
      </c>
      <c r="D53" s="4">
        <v>-2.9297412301593633E-7</v>
      </c>
      <c r="E53" s="4">
        <v>-1.0117229659389819E-6</v>
      </c>
      <c r="F53" s="4">
        <v>-7.5232702599995464E-5</v>
      </c>
      <c r="G53" s="4">
        <v>-5.391800276597249E-5</v>
      </c>
      <c r="H53" s="4">
        <v>-6.8387125062796528E-4</v>
      </c>
      <c r="I53" s="4">
        <v>-1.5760380050212322E-3</v>
      </c>
      <c r="J53" s="4">
        <v>-6.6092552951343461E-2</v>
      </c>
      <c r="K53" s="4">
        <v>-7.8498150787068205E-2</v>
      </c>
      <c r="L53" s="4">
        <v>-0.18571815883386411</v>
      </c>
      <c r="M53" s="4">
        <v>-1.1284153761937441</v>
      </c>
      <c r="N53" s="4">
        <v>-6.4070088115185087</v>
      </c>
      <c r="O53" s="4">
        <v>-34.356786702601035</v>
      </c>
      <c r="P53" s="4">
        <v>-68.916698509178673</v>
      </c>
      <c r="Q53" s="4">
        <v>-5.3897493394135667</v>
      </c>
      <c r="R53" s="4">
        <v>-137.99768845313002</v>
      </c>
      <c r="S53" s="4">
        <v>-29.943116197648468</v>
      </c>
      <c r="T53" s="4">
        <v>26.073254906709419</v>
      </c>
      <c r="U53" s="4">
        <v>22.315762486451714</v>
      </c>
      <c r="V53" s="4">
        <v>-54.779451417323266</v>
      </c>
      <c r="W53" s="4">
        <v>1.1364705012988479</v>
      </c>
      <c r="X53" s="4">
        <v>166.53352521719049</v>
      </c>
      <c r="Y53" s="4">
        <v>27.24404627315953</v>
      </c>
      <c r="Z53" s="4">
        <v>374.78798783349464</v>
      </c>
      <c r="AA53" s="4">
        <v>51.663985712889264</v>
      </c>
      <c r="AB53" s="4">
        <v>47.130721891844146</v>
      </c>
      <c r="AC53" s="4">
        <v>5.4439075128905703</v>
      </c>
      <c r="AD53" s="4">
        <v>30.744511753682733</v>
      </c>
      <c r="AE53" s="4">
        <v>1.6807270321910057</v>
      </c>
      <c r="AF53" s="4">
        <v>1.6769894115731014</v>
      </c>
      <c r="AG53" s="4"/>
      <c r="AH53" s="4"/>
      <c r="AI53" s="4"/>
      <c r="AJ53" s="4"/>
      <c r="AK53" s="4"/>
      <c r="AL53" s="4"/>
      <c r="AM53" s="4"/>
      <c r="AN53" s="4"/>
      <c r="AO53" s="4"/>
      <c r="AP53" s="4"/>
      <c r="AQ53" s="4"/>
      <c r="AR53" s="4"/>
      <c r="AS53" s="4"/>
      <c r="AT53" s="4"/>
      <c r="AU53" s="4"/>
      <c r="AV53" s="4"/>
      <c r="AW53" s="4"/>
      <c r="AX53" s="4"/>
      <c r="AY53" s="4"/>
      <c r="AZ53" s="4"/>
      <c r="BA53" s="4"/>
      <c r="BB53" s="4"/>
    </row>
    <row r="54" spans="1:54" x14ac:dyDescent="0.3">
      <c r="A54" s="4">
        <v>4160</v>
      </c>
      <c r="B54" s="4"/>
      <c r="C54" s="4">
        <v>295.00326987442531</v>
      </c>
      <c r="D54" s="4">
        <v>-1.2973275275760457E-7</v>
      </c>
      <c r="E54" s="4">
        <v>-4.6686176978503675E-7</v>
      </c>
      <c r="F54" s="4">
        <v>-3.6185681286810895E-5</v>
      </c>
      <c r="G54" s="4">
        <v>-2.7037428594968539E-5</v>
      </c>
      <c r="H54" s="4">
        <v>-3.5760750185590115E-4</v>
      </c>
      <c r="I54" s="4">
        <v>-8.5960696365838622E-4</v>
      </c>
      <c r="J54" s="4">
        <v>-3.7608682764284931E-2</v>
      </c>
      <c r="K54" s="4">
        <v>-4.6612231799900629E-2</v>
      </c>
      <c r="L54" s="4">
        <v>-0.11510743776844314</v>
      </c>
      <c r="M54" s="4">
        <v>-0.73018245933010173</v>
      </c>
      <c r="N54" s="4">
        <v>-4.329493884713548</v>
      </c>
      <c r="O54" s="4">
        <v>-24.250516356437252</v>
      </c>
      <c r="P54" s="4">
        <v>-50.82390386718837</v>
      </c>
      <c r="Q54" s="4">
        <v>-4.1539086612010552</v>
      </c>
      <c r="R54" s="4">
        <v>-111.17726594563621</v>
      </c>
      <c r="S54" s="4">
        <v>-25.223726931404727</v>
      </c>
      <c r="T54" s="4">
        <v>22.97149128585329</v>
      </c>
      <c r="U54" s="4">
        <v>20.568484120104827</v>
      </c>
      <c r="V54" s="4">
        <v>-52.834931771284474</v>
      </c>
      <c r="W54" s="4">
        <v>1.1473402946474971</v>
      </c>
      <c r="X54" s="4">
        <v>176.02950360799545</v>
      </c>
      <c r="Y54" s="4">
        <v>30.159605121031589</v>
      </c>
      <c r="Z54" s="4">
        <v>434.64227586689418</v>
      </c>
      <c r="AA54" s="4">
        <v>62.784143309204595</v>
      </c>
      <c r="AB54" s="4">
        <v>60.035335205827629</v>
      </c>
      <c r="AC54" s="4">
        <v>7.2707789034327046</v>
      </c>
      <c r="AD54" s="4">
        <v>43.065877327789153</v>
      </c>
      <c r="AE54" s="4">
        <v>2.4699498488516491</v>
      </c>
      <c r="AF54" s="4">
        <v>2.5862941209162322</v>
      </c>
      <c r="AG54" s="4"/>
      <c r="AH54" s="4"/>
      <c r="AI54" s="4"/>
      <c r="AJ54" s="4"/>
      <c r="AK54" s="4"/>
      <c r="AL54" s="4"/>
      <c r="AM54" s="4"/>
      <c r="AN54" s="4"/>
      <c r="AO54" s="4"/>
      <c r="AP54" s="4"/>
      <c r="AQ54" s="4"/>
      <c r="AR54" s="4"/>
      <c r="AS54" s="4"/>
      <c r="AT54" s="4"/>
      <c r="AU54" s="4"/>
      <c r="AV54" s="4"/>
      <c r="AW54" s="4"/>
      <c r="AX54" s="4"/>
      <c r="AY54" s="4"/>
      <c r="AZ54" s="4"/>
      <c r="BA54" s="4"/>
      <c r="BB54" s="4"/>
    </row>
    <row r="55" spans="1:54" x14ac:dyDescent="0.3">
      <c r="A55" s="4">
        <v>4150</v>
      </c>
      <c r="B55" s="4"/>
      <c r="C55" s="4">
        <v>378.77836242827703</v>
      </c>
      <c r="D55" s="4">
        <v>-5.6287849904187742E-8</v>
      </c>
      <c r="E55" s="4">
        <v>-2.1110706478473331E-7</v>
      </c>
      <c r="F55" s="4">
        <v>-1.7056814464747643E-5</v>
      </c>
      <c r="G55" s="4">
        <v>-1.3288367222354551E-5</v>
      </c>
      <c r="H55" s="4">
        <v>-1.8329783955806984E-4</v>
      </c>
      <c r="I55" s="4">
        <v>-4.5961655275780213E-4</v>
      </c>
      <c r="J55" s="4">
        <v>-2.0981208727776687E-2</v>
      </c>
      <c r="K55" s="4">
        <v>-2.7138865717594367E-2</v>
      </c>
      <c r="L55" s="4">
        <v>-6.9959792595895562E-2</v>
      </c>
      <c r="M55" s="4">
        <v>-0.4633775019433572</v>
      </c>
      <c r="N55" s="4">
        <v>-2.8694943941402258</v>
      </c>
      <c r="O55" s="4">
        <v>-16.790415145383019</v>
      </c>
      <c r="P55" s="4">
        <v>-36.769640392051414</v>
      </c>
      <c r="Q55" s="4">
        <v>-3.1410091323717513</v>
      </c>
      <c r="R55" s="4">
        <v>-87.888164181977402</v>
      </c>
      <c r="S55" s="4">
        <v>-20.851550581483302</v>
      </c>
      <c r="T55" s="4">
        <v>19.863092092780118</v>
      </c>
      <c r="U55" s="4">
        <v>18.608172853723271</v>
      </c>
      <c r="V55" s="4">
        <v>-50.024523160396896</v>
      </c>
      <c r="W55" s="4">
        <v>1.1371883102897755</v>
      </c>
      <c r="X55" s="4">
        <v>182.6935978493172</v>
      </c>
      <c r="Y55" s="4">
        <v>32.785519686898176</v>
      </c>
      <c r="Z55" s="4">
        <v>495.02740905104383</v>
      </c>
      <c r="AA55" s="4">
        <v>74.939692961798755</v>
      </c>
      <c r="AB55" s="4">
        <v>75.120566640062222</v>
      </c>
      <c r="AC55" s="4">
        <v>9.5400292465143224</v>
      </c>
      <c r="AD55" s="4">
        <v>59.27169865444354</v>
      </c>
      <c r="AE55" s="4">
        <v>3.5667903464481276</v>
      </c>
      <c r="AF55" s="4">
        <v>3.9198950469923708</v>
      </c>
      <c r="AG55" s="4"/>
      <c r="AH55" s="4"/>
      <c r="AI55" s="4"/>
      <c r="AJ55" s="4"/>
      <c r="AK55" s="4"/>
      <c r="AL55" s="4"/>
      <c r="AM55" s="4"/>
      <c r="AN55" s="4"/>
      <c r="AO55" s="4"/>
      <c r="AP55" s="4"/>
      <c r="AQ55" s="4"/>
      <c r="AR55" s="4"/>
      <c r="AS55" s="4"/>
      <c r="AT55" s="4"/>
      <c r="AU55" s="4"/>
      <c r="AV55" s="4"/>
      <c r="AW55" s="4"/>
      <c r="AX55" s="4"/>
      <c r="AY55" s="4"/>
      <c r="AZ55" s="4"/>
      <c r="BA55" s="4"/>
      <c r="BB55" s="4"/>
    </row>
    <row r="56" spans="1:54" x14ac:dyDescent="0.3">
      <c r="A56" s="4">
        <v>4140</v>
      </c>
      <c r="B56" s="4"/>
      <c r="C56" s="4">
        <v>459.57139822600664</v>
      </c>
      <c r="D56" s="4">
        <v>-2.3925569332553669E-8</v>
      </c>
      <c r="E56" s="4">
        <v>-9.3528317453638978E-8</v>
      </c>
      <c r="F56" s="4">
        <v>-7.8782278041119912E-6</v>
      </c>
      <c r="G56" s="4">
        <v>-6.400163523407317E-6</v>
      </c>
      <c r="H56" s="4">
        <v>-9.2079997846711059E-5</v>
      </c>
      <c r="I56" s="4">
        <v>-2.4087564150516777E-4</v>
      </c>
      <c r="J56" s="4">
        <v>-1.1474106497780141E-2</v>
      </c>
      <c r="K56" s="4">
        <v>-1.5490813619223645E-2</v>
      </c>
      <c r="L56" s="4">
        <v>-4.1689758913009203E-2</v>
      </c>
      <c r="M56" s="4">
        <v>-0.288349691731067</v>
      </c>
      <c r="N56" s="4">
        <v>-1.8650914974871196</v>
      </c>
      <c r="O56" s="4">
        <v>-11.401819488772057</v>
      </c>
      <c r="P56" s="4">
        <v>-26.093303188890644</v>
      </c>
      <c r="Q56" s="4">
        <v>-2.3299471540728507</v>
      </c>
      <c r="R56" s="4">
        <v>-68.164143014174968</v>
      </c>
      <c r="S56" s="4">
        <v>-16.913188036695033</v>
      </c>
      <c r="T56" s="4">
        <v>16.854258767751201</v>
      </c>
      <c r="U56" s="4">
        <v>16.521813073366214</v>
      </c>
      <c r="V56" s="4">
        <v>-46.488439025052557</v>
      </c>
      <c r="W56" s="4">
        <v>1.1064216980743875</v>
      </c>
      <c r="X56" s="4">
        <v>186.14766606243111</v>
      </c>
      <c r="Y56" s="4">
        <v>34.993181765290132</v>
      </c>
      <c r="Z56" s="4">
        <v>553.63086906266585</v>
      </c>
      <c r="AA56" s="4">
        <v>87.844939548097102</v>
      </c>
      <c r="AB56" s="4">
        <v>92.321553921733297</v>
      </c>
      <c r="AC56" s="4">
        <v>12.295906389708525</v>
      </c>
      <c r="AD56" s="4">
        <v>80.140781274318385</v>
      </c>
      <c r="AE56" s="4">
        <v>5.0606874521675307</v>
      </c>
      <c r="AF56" s="4">
        <v>5.8380005638003256</v>
      </c>
      <c r="AG56" s="4"/>
      <c r="AH56" s="4"/>
      <c r="AI56" s="4"/>
      <c r="AJ56" s="4"/>
      <c r="AK56" s="4"/>
      <c r="AL56" s="4"/>
      <c r="AM56" s="4"/>
      <c r="AN56" s="4"/>
      <c r="AO56" s="4"/>
      <c r="AP56" s="4"/>
      <c r="AQ56" s="4"/>
      <c r="AR56" s="4"/>
      <c r="AS56" s="4"/>
      <c r="AT56" s="4"/>
      <c r="AU56" s="4"/>
      <c r="AV56" s="4"/>
      <c r="AW56" s="4"/>
      <c r="AX56" s="4"/>
      <c r="AY56" s="4"/>
      <c r="AZ56" s="4"/>
      <c r="BA56" s="4"/>
      <c r="BB56" s="4"/>
    </row>
    <row r="57" spans="1:54" x14ac:dyDescent="0.3">
      <c r="A57" s="4">
        <v>4130</v>
      </c>
      <c r="B57" s="4"/>
      <c r="C57" s="4">
        <v>536.90885839052771</v>
      </c>
      <c r="D57" s="4">
        <v>-9.9616182010339948E-9</v>
      </c>
      <c r="E57" s="4">
        <v>-4.0592610279381807E-8</v>
      </c>
      <c r="F57" s="4">
        <v>-3.5650563292473911E-6</v>
      </c>
      <c r="G57" s="4">
        <v>-3.0203812074309818E-6</v>
      </c>
      <c r="H57" s="4">
        <v>-4.532822610267411E-5</v>
      </c>
      <c r="I57" s="4">
        <v>-1.2371719034753772E-4</v>
      </c>
      <c r="J57" s="4">
        <v>-6.1502378031514033E-3</v>
      </c>
      <c r="K57" s="4">
        <v>-8.6673511639054814E-3</v>
      </c>
      <c r="L57" s="4">
        <v>-2.4354829928847226E-2</v>
      </c>
      <c r="M57" s="4">
        <v>-0.17592370410960695</v>
      </c>
      <c r="N57" s="4">
        <v>-1.1886690574809957</v>
      </c>
      <c r="O57" s="4">
        <v>-7.5927470957921761</v>
      </c>
      <c r="P57" s="4">
        <v>-18.160468216003444</v>
      </c>
      <c r="Q57" s="4">
        <v>-1.6952266386163612</v>
      </c>
      <c r="R57" s="4">
        <v>-51.860080096041592</v>
      </c>
      <c r="S57" s="4">
        <v>-13.458953179113035</v>
      </c>
      <c r="T57" s="4">
        <v>14.031964714237439</v>
      </c>
      <c r="U57" s="4">
        <v>14.394789646481271</v>
      </c>
      <c r="V57" s="4">
        <v>-42.398307405863775</v>
      </c>
      <c r="W57" s="4">
        <v>1.0565710826031343</v>
      </c>
      <c r="X57" s="4">
        <v>186.17873692272642</v>
      </c>
      <c r="Y57" s="4">
        <v>36.666696381294351</v>
      </c>
      <c r="Z57" s="4">
        <v>607.92136422490023</v>
      </c>
      <c r="AA57" s="4">
        <v>101.11300396034029</v>
      </c>
      <c r="AB57" s="4">
        <v>111.42495163883632</v>
      </c>
      <c r="AC57" s="4">
        <v>15.565263168384755</v>
      </c>
      <c r="AD57" s="4">
        <v>106.43761607265672</v>
      </c>
      <c r="AE57" s="4">
        <v>7.0538695674647052</v>
      </c>
      <c r="AF57" s="4">
        <v>8.5426128944550079</v>
      </c>
      <c r="AG57" s="4"/>
      <c r="AH57" s="4"/>
      <c r="AI57" s="4"/>
      <c r="AJ57" s="4"/>
      <c r="AK57" s="4"/>
      <c r="AL57" s="4"/>
      <c r="AM57" s="4"/>
      <c r="AN57" s="4"/>
      <c r="AO57" s="4"/>
      <c r="AP57" s="4"/>
      <c r="AQ57" s="4"/>
      <c r="AR57" s="4"/>
      <c r="AS57" s="4"/>
      <c r="AT57" s="4"/>
      <c r="AU57" s="4"/>
      <c r="AV57" s="4"/>
      <c r="AW57" s="4"/>
      <c r="AX57" s="4"/>
      <c r="AY57" s="4"/>
      <c r="AZ57" s="4"/>
      <c r="BA57" s="4"/>
      <c r="BB57" s="4"/>
    </row>
    <row r="58" spans="1:54" x14ac:dyDescent="0.3">
      <c r="A58" s="4">
        <v>4120</v>
      </c>
      <c r="B58" s="4"/>
      <c r="C58" s="4">
        <v>610.20682384108864</v>
      </c>
      <c r="D58" s="4">
        <v>-4.0621348773188906E-9</v>
      </c>
      <c r="E58" s="4">
        <v>-1.725644758184404E-8</v>
      </c>
      <c r="F58" s="4">
        <v>-1.5803336184227081E-6</v>
      </c>
      <c r="G58" s="4">
        <v>-1.3964364311402403E-6</v>
      </c>
      <c r="H58" s="4">
        <v>-2.1862776314341426E-5</v>
      </c>
      <c r="I58" s="4">
        <v>-6.2265153840202825E-5</v>
      </c>
      <c r="J58" s="4">
        <v>-3.230633770455816E-3</v>
      </c>
      <c r="K58" s="4">
        <v>-4.7529859524373507E-3</v>
      </c>
      <c r="L58" s="4">
        <v>-1.394614678166964E-2</v>
      </c>
      <c r="M58" s="4">
        <v>-0.10521758700775799</v>
      </c>
      <c r="N58" s="4">
        <v>-0.7427229348039146</v>
      </c>
      <c r="O58" s="4">
        <v>-4.957639976951544</v>
      </c>
      <c r="P58" s="4">
        <v>-12.394322157516665</v>
      </c>
      <c r="Q58" s="4">
        <v>-1.2096339632230861</v>
      </c>
      <c r="R58" s="4">
        <v>-38.699193418146905</v>
      </c>
      <c r="S58" s="4">
        <v>-10.505963967380923</v>
      </c>
      <c r="T58" s="4">
        <v>11.460767466280148</v>
      </c>
      <c r="U58" s="4">
        <v>12.305157694363524</v>
      </c>
      <c r="V58" s="4">
        <v>-37.943243492835578</v>
      </c>
      <c r="W58" s="4">
        <v>0.99016496892606132</v>
      </c>
      <c r="X58" s="4">
        <v>182.76039108663053</v>
      </c>
      <c r="Y58" s="4">
        <v>37.712789339707037</v>
      </c>
      <c r="Z58" s="4">
        <v>655.31837259779184</v>
      </c>
      <c r="AA58" s="4">
        <v>114.26802327621392</v>
      </c>
      <c r="AB58" s="4">
        <v>132.05022715327578</v>
      </c>
      <c r="AC58" s="4">
        <v>19.349955004907876</v>
      </c>
      <c r="AD58" s="4">
        <v>138.84006640377572</v>
      </c>
      <c r="AE58" s="4">
        <v>9.6577129343999211</v>
      </c>
      <c r="AF58" s="4">
        <v>12.279974146294562</v>
      </c>
      <c r="AG58" s="4"/>
      <c r="AH58" s="4"/>
      <c r="AI58" s="4"/>
      <c r="AJ58" s="4"/>
      <c r="AK58" s="4"/>
      <c r="AL58" s="4"/>
      <c r="AM58" s="4"/>
      <c r="AN58" s="4"/>
      <c r="AO58" s="4"/>
      <c r="AP58" s="4"/>
      <c r="AQ58" s="4"/>
      <c r="AR58" s="4"/>
      <c r="AS58" s="4"/>
      <c r="AT58" s="4"/>
      <c r="AU58" s="4"/>
      <c r="AV58" s="4"/>
      <c r="AW58" s="4"/>
      <c r="AX58" s="4"/>
      <c r="AY58" s="4"/>
      <c r="AZ58" s="4"/>
      <c r="BA58" s="4"/>
      <c r="BB58" s="4"/>
    </row>
    <row r="59" spans="1:54" x14ac:dyDescent="0.3">
      <c r="A59" s="4">
        <v>4110</v>
      </c>
      <c r="B59" s="4"/>
      <c r="C59" s="4">
        <v>678.80636986778404</v>
      </c>
      <c r="D59" s="4">
        <v>-1.6220786617275465E-9</v>
      </c>
      <c r="E59" s="4">
        <v>-7.1844392295358778E-9</v>
      </c>
      <c r="F59" s="4">
        <v>-6.8613946290342838E-7</v>
      </c>
      <c r="G59" s="4">
        <v>-6.3242092884737459E-7</v>
      </c>
      <c r="H59" s="4">
        <v>-1.0330282793623363E-5</v>
      </c>
      <c r="I59" s="4">
        <v>-3.0702610199254052E-5</v>
      </c>
      <c r="J59" s="4">
        <v>-1.6628149440588874E-3</v>
      </c>
      <c r="K59" s="4">
        <v>-2.5541855553426617E-3</v>
      </c>
      <c r="L59" s="4">
        <v>-7.8266299035843305E-3</v>
      </c>
      <c r="M59" s="4">
        <v>-6.1680753071997413E-2</v>
      </c>
      <c r="N59" s="4">
        <v>-0.45492126891375112</v>
      </c>
      <c r="O59" s="4">
        <v>-3.17351829342577</v>
      </c>
      <c r="P59" s="4">
        <v>-8.2938312690408118</v>
      </c>
      <c r="Q59" s="4">
        <v>-0.84637695170103289</v>
      </c>
      <c r="R59" s="4">
        <v>-28.320540902098131</v>
      </c>
      <c r="S59" s="4">
        <v>-8.0433868224419935</v>
      </c>
      <c r="T59" s="4">
        <v>9.1819546607878877</v>
      </c>
      <c r="U59" s="4">
        <v>10.319136438294228</v>
      </c>
      <c r="V59" s="4">
        <v>-33.315249190491166</v>
      </c>
      <c r="W59" s="4">
        <v>0.91051631602898409</v>
      </c>
      <c r="X59" s="4">
        <v>176.05743349366395</v>
      </c>
      <c r="Y59" s="4">
        <v>38.069315062783502</v>
      </c>
      <c r="Z59" s="4">
        <v>693.38806643995804</v>
      </c>
      <c r="AA59" s="4">
        <v>126.76849834925515</v>
      </c>
      <c r="AB59" s="4">
        <v>153.64376336211836</v>
      </c>
      <c r="AC59" s="4">
        <v>23.619625233877318</v>
      </c>
      <c r="AD59" s="4">
        <v>177.85038862076973</v>
      </c>
      <c r="AE59" s="4">
        <v>12.986514077257509</v>
      </c>
      <c r="AF59" s="4">
        <v>17.339119122621003</v>
      </c>
      <c r="AG59" s="4"/>
      <c r="AH59" s="4"/>
      <c r="AI59" s="4"/>
      <c r="AJ59" s="4"/>
      <c r="AK59" s="4"/>
      <c r="AL59" s="4"/>
      <c r="AM59" s="4"/>
      <c r="AN59" s="4"/>
      <c r="AO59" s="4"/>
      <c r="AP59" s="4"/>
      <c r="AQ59" s="4"/>
      <c r="AR59" s="4"/>
      <c r="AS59" s="4"/>
      <c r="AT59" s="4"/>
      <c r="AU59" s="4"/>
      <c r="AV59" s="4"/>
      <c r="AW59" s="4"/>
      <c r="AX59" s="4"/>
      <c r="AY59" s="4"/>
      <c r="AZ59" s="4"/>
      <c r="BA59" s="4"/>
      <c r="BB59" s="4"/>
    </row>
    <row r="60" spans="1:54" x14ac:dyDescent="0.3">
      <c r="A60" s="4">
        <v>4100</v>
      </c>
      <c r="B60" s="4"/>
      <c r="C60" s="4">
        <v>742.01748940535481</v>
      </c>
      <c r="D60" s="4">
        <v>-6.341884603604995E-10</v>
      </c>
      <c r="E60" s="4">
        <v>-2.9289189763427602E-9</v>
      </c>
      <c r="F60" s="4">
        <v>-2.9173827510087599E-7</v>
      </c>
      <c r="G60" s="4">
        <v>-2.8051321283193143E-7</v>
      </c>
      <c r="H60" s="4">
        <v>-4.7810800128913944E-6</v>
      </c>
      <c r="I60" s="4">
        <v>-1.4830560268801373E-5</v>
      </c>
      <c r="J60" s="4">
        <v>-8.3848926953806514E-4</v>
      </c>
      <c r="K60" s="4">
        <v>-1.3448733408016255E-3</v>
      </c>
      <c r="L60" s="4">
        <v>-4.3041190252329862E-3</v>
      </c>
      <c r="M60" s="4">
        <v>-3.5436110448564456E-2</v>
      </c>
      <c r="N60" s="4">
        <v>-0.27310339596561839</v>
      </c>
      <c r="O60" s="4">
        <v>-1.9912929000194268</v>
      </c>
      <c r="P60" s="4">
        <v>-5.4407987678857994</v>
      </c>
      <c r="Q60" s="4">
        <v>-0.58062528055000873</v>
      </c>
      <c r="R60" s="4">
        <v>-20.322208799471447</v>
      </c>
      <c r="S60" s="4">
        <v>-6.0389230206786548</v>
      </c>
      <c r="T60" s="4">
        <v>7.2147637081645337</v>
      </c>
      <c r="U60" s="4">
        <v>8.4881563244950318</v>
      </c>
      <c r="V60" s="4">
        <v>-28.695521915922026</v>
      </c>
      <c r="W60" s="4">
        <v>0.82144644054122651</v>
      </c>
      <c r="X60" s="4">
        <v>166.41297622889931</v>
      </c>
      <c r="Y60" s="4">
        <v>37.711298870574808</v>
      </c>
      <c r="Z60" s="4">
        <v>720.0459115458832</v>
      </c>
      <c r="AA60" s="4">
        <v>138.04092976299268</v>
      </c>
      <c r="AB60" s="4">
        <v>175.48945226555145</v>
      </c>
      <c r="AC60" s="4">
        <v>28.305905737972243</v>
      </c>
      <c r="AD60" s="4">
        <v>223.69530178695049</v>
      </c>
      <c r="AE60" s="4">
        <v>17.148426462226492</v>
      </c>
      <c r="AF60" s="4">
        <v>24.044827536490033</v>
      </c>
      <c r="AG60" s="4"/>
      <c r="AH60" s="4"/>
      <c r="AI60" s="4"/>
      <c r="AJ60" s="4"/>
      <c r="AK60" s="4"/>
      <c r="AL60" s="4"/>
      <c r="AM60" s="4"/>
      <c r="AN60" s="4"/>
      <c r="AO60" s="4"/>
      <c r="AP60" s="4"/>
      <c r="AQ60" s="4"/>
      <c r="AR60" s="4"/>
      <c r="AS60" s="4"/>
      <c r="AT60" s="4"/>
      <c r="AU60" s="4"/>
      <c r="AV60" s="4"/>
      <c r="AW60" s="4"/>
      <c r="AX60" s="4"/>
      <c r="AY60" s="4"/>
      <c r="AZ60" s="4"/>
      <c r="BA60" s="4"/>
      <c r="BB60" s="4"/>
    </row>
    <row r="61" spans="1:54" x14ac:dyDescent="0.3">
      <c r="A61" s="4">
        <v>4090</v>
      </c>
      <c r="B61" s="4"/>
      <c r="C61" s="4">
        <v>799.16311533411408</v>
      </c>
      <c r="D61" s="4">
        <v>-2.4273297073258671E-10</v>
      </c>
      <c r="E61" s="4">
        <v>-1.1690422795218035E-9</v>
      </c>
      <c r="F61" s="4">
        <v>-1.2145835882646622E-7</v>
      </c>
      <c r="G61" s="4">
        <v>-1.2184234421363848E-7</v>
      </c>
      <c r="H61" s="4">
        <v>-2.1671189208931979E-6</v>
      </c>
      <c r="I61" s="4">
        <v>-7.0166221896077925E-6</v>
      </c>
      <c r="J61" s="4">
        <v>-4.1417603861796992E-4</v>
      </c>
      <c r="K61" s="4">
        <v>-6.9372931205153752E-4</v>
      </c>
      <c r="L61" s="4">
        <v>-2.3191005239702675E-3</v>
      </c>
      <c r="M61" s="4">
        <v>-1.9948700882541269E-2</v>
      </c>
      <c r="N61" s="4">
        <v>-0.1606707350627456</v>
      </c>
      <c r="O61" s="4">
        <v>-1.2246021013988095</v>
      </c>
      <c r="P61" s="4">
        <v>-3.4985091199492007</v>
      </c>
      <c r="Q61" s="4">
        <v>-0.39047062567646851</v>
      </c>
      <c r="R61" s="4">
        <v>-14.297111325916745</v>
      </c>
      <c r="S61" s="4">
        <v>-4.4456579455543626</v>
      </c>
      <c r="T61" s="4">
        <v>5.5592136158818368</v>
      </c>
      <c r="U61" s="4">
        <v>6.8475659017565889</v>
      </c>
      <c r="V61" s="4">
        <v>-24.243028366717116</v>
      </c>
      <c r="W61" s="4">
        <v>0.72697853060276485</v>
      </c>
      <c r="X61" s="4">
        <v>154.31930267188778</v>
      </c>
      <c r="Y61" s="4">
        <v>36.653705796011849</v>
      </c>
      <c r="Z61" s="4">
        <v>733.74307596304004</v>
      </c>
      <c r="AA61" s="4">
        <v>147.52130426641955</v>
      </c>
      <c r="AB61" s="4">
        <v>196.73792405186146</v>
      </c>
      <c r="AC61" s="4">
        <v>33.299142746168279</v>
      </c>
      <c r="AD61" s="4">
        <v>276.22445656753979</v>
      </c>
      <c r="AE61" s="4">
        <v>22.23365075650376</v>
      </c>
      <c r="AF61" s="4">
        <v>32.743345156040775</v>
      </c>
      <c r="AG61" s="4"/>
      <c r="AH61" s="4"/>
      <c r="AI61" s="4"/>
      <c r="AJ61" s="4"/>
      <c r="AK61" s="4"/>
      <c r="AL61" s="4"/>
      <c r="AM61" s="4"/>
      <c r="AN61" s="4"/>
      <c r="AO61" s="4"/>
      <c r="AP61" s="4"/>
      <c r="AQ61" s="4"/>
      <c r="AR61" s="4"/>
      <c r="AS61" s="4"/>
      <c r="AT61" s="4"/>
      <c r="AU61" s="4"/>
      <c r="AV61" s="4"/>
      <c r="AW61" s="4"/>
      <c r="AX61" s="4"/>
      <c r="AY61" s="4"/>
      <c r="AZ61" s="4"/>
      <c r="BA61" s="4"/>
      <c r="BB61" s="4"/>
    </row>
    <row r="62" spans="1:54" x14ac:dyDescent="0.3">
      <c r="A62" s="4">
        <v>4080</v>
      </c>
      <c r="B62" s="4"/>
      <c r="C62" s="4">
        <v>849.61576470498369</v>
      </c>
      <c r="D62" s="4">
        <v>-9.0936409619922212E-11</v>
      </c>
      <c r="E62" s="4">
        <v>-4.5676861819368401E-10</v>
      </c>
      <c r="F62" s="4">
        <v>-4.9505039533052235E-8</v>
      </c>
      <c r="G62" s="4">
        <v>-5.1817474809519108E-8</v>
      </c>
      <c r="H62" s="4">
        <v>-9.6187329581613092E-7</v>
      </c>
      <c r="I62" s="4">
        <v>-3.2510420357136629E-6</v>
      </c>
      <c r="J62" s="4">
        <v>-2.0037438734225459E-4</v>
      </c>
      <c r="K62" s="4">
        <v>-3.5052141487722937E-4</v>
      </c>
      <c r="L62" s="4">
        <v>-1.2241004512801394E-3</v>
      </c>
      <c r="M62" s="4">
        <v>-1.1002514917087368E-2</v>
      </c>
      <c r="N62" s="4">
        <v>-9.2619427794240039E-2</v>
      </c>
      <c r="O62" s="4">
        <v>-0.73800212523073783</v>
      </c>
      <c r="P62" s="4">
        <v>-2.2047203383878768</v>
      </c>
      <c r="Q62" s="4">
        <v>-0.25738226238992712</v>
      </c>
      <c r="R62" s="4">
        <v>-9.8598759437938686</v>
      </c>
      <c r="S62" s="4">
        <v>-3.208533519741982</v>
      </c>
      <c r="T62" s="4">
        <v>4.1999788570390093</v>
      </c>
      <c r="U62" s="4">
        <v>5.4168942299987153</v>
      </c>
      <c r="V62" s="4">
        <v>-20.086301469324912</v>
      </c>
      <c r="W62" s="4">
        <v>0.63103530651730111</v>
      </c>
      <c r="X62" s="4">
        <v>140.37595637558832</v>
      </c>
      <c r="Y62" s="4">
        <v>34.950522404074647</v>
      </c>
      <c r="Z62" s="4">
        <v>733.6138158150103</v>
      </c>
      <c r="AA62" s="4">
        <v>154.70054802374585</v>
      </c>
      <c r="AB62" s="4">
        <v>216.454333839311</v>
      </c>
      <c r="AC62" s="4">
        <v>38.448676475833608</v>
      </c>
      <c r="AD62" s="4">
        <v>334.81990239965785</v>
      </c>
      <c r="AE62" s="4">
        <v>28.300428260645468</v>
      </c>
      <c r="AF62" s="4">
        <v>43.779654335164999</v>
      </c>
      <c r="AG62" s="4"/>
      <c r="AH62" s="4"/>
      <c r="AI62" s="4"/>
      <c r="AJ62" s="4"/>
      <c r="AK62" s="4"/>
      <c r="AL62" s="4"/>
      <c r="AM62" s="4"/>
      <c r="AN62" s="4"/>
      <c r="AO62" s="4"/>
      <c r="AP62" s="4"/>
      <c r="AQ62" s="4"/>
      <c r="AR62" s="4"/>
      <c r="AS62" s="4"/>
      <c r="AT62" s="4"/>
      <c r="AU62" s="4"/>
      <c r="AV62" s="4"/>
      <c r="AW62" s="4"/>
      <c r="AX62" s="4"/>
      <c r="AY62" s="4"/>
      <c r="AZ62" s="4"/>
      <c r="BA62" s="4"/>
      <c r="BB62" s="4"/>
    </row>
    <row r="63" spans="1:54" x14ac:dyDescent="0.3">
      <c r="A63" s="4">
        <v>4070</v>
      </c>
      <c r="B63" s="4"/>
      <c r="C63" s="4">
        <v>892.82172951364043</v>
      </c>
      <c r="D63" s="4">
        <v>-3.3341062508930495E-11</v>
      </c>
      <c r="E63" s="4">
        <v>-1.7467859971337463E-10</v>
      </c>
      <c r="F63" s="4">
        <v>-1.9751217115721045E-8</v>
      </c>
      <c r="G63" s="4">
        <v>-2.1573568243204288E-8</v>
      </c>
      <c r="H63" s="4">
        <v>-4.1799036356989938E-7</v>
      </c>
      <c r="I63" s="4">
        <v>-1.4749460843987225E-6</v>
      </c>
      <c r="J63" s="4">
        <v>-9.4930235125168522E-5</v>
      </c>
      <c r="K63" s="4">
        <v>-1.7345645995695043E-4</v>
      </c>
      <c r="L63" s="4">
        <v>-6.3286709132453817E-4</v>
      </c>
      <c r="M63" s="4">
        <v>-5.9444832359008852E-3</v>
      </c>
      <c r="N63" s="4">
        <v>-5.2306936682407101E-2</v>
      </c>
      <c r="O63" s="4">
        <v>-0.43577213874060944</v>
      </c>
      <c r="P63" s="4">
        <v>-1.3614787546129414</v>
      </c>
      <c r="Q63" s="4">
        <v>-0.16626606676968744</v>
      </c>
      <c r="R63" s="4">
        <v>-6.6646530383104192</v>
      </c>
      <c r="S63" s="4">
        <v>-2.2699093789942206</v>
      </c>
      <c r="T63" s="4">
        <v>3.1107205076246736</v>
      </c>
      <c r="U63" s="4">
        <v>4.2013964947821023</v>
      </c>
      <c r="V63" s="4">
        <v>-16.31892642328182</v>
      </c>
      <c r="W63" s="4">
        <v>0.53717259752689028</v>
      </c>
      <c r="X63" s="4">
        <v>125.24005138052173</v>
      </c>
      <c r="Y63" s="4">
        <v>32.690209454417079</v>
      </c>
      <c r="Z63" s="4">
        <v>719.56454961292832</v>
      </c>
      <c r="AA63" s="4">
        <v>159.16902787395938</v>
      </c>
      <c r="AB63" s="4">
        <v>233.68198526632082</v>
      </c>
      <c r="AC63" s="4">
        <v>43.567430121796647</v>
      </c>
      <c r="AD63" s="4">
        <v>398.33126131329936</v>
      </c>
      <c r="AE63" s="4">
        <v>35.359924565606185</v>
      </c>
      <c r="AF63" s="4">
        <v>57.465890247381267</v>
      </c>
      <c r="AG63" s="4"/>
      <c r="AH63" s="4"/>
      <c r="AI63" s="4"/>
      <c r="AJ63" s="4"/>
      <c r="AK63" s="4"/>
      <c r="AL63" s="4"/>
      <c r="AM63" s="4"/>
      <c r="AN63" s="4"/>
      <c r="AO63" s="4"/>
      <c r="AP63" s="4"/>
      <c r="AQ63" s="4"/>
      <c r="AR63" s="4"/>
      <c r="AS63" s="4"/>
      <c r="AT63" s="4"/>
      <c r="AU63" s="4"/>
      <c r="AV63" s="4"/>
      <c r="AW63" s="4"/>
      <c r="AX63" s="4"/>
      <c r="AY63" s="4"/>
      <c r="AZ63" s="4"/>
      <c r="BA63" s="4"/>
      <c r="BB63" s="4"/>
    </row>
    <row r="64" spans="1:54" x14ac:dyDescent="0.3">
      <c r="A64" s="4">
        <v>4060</v>
      </c>
      <c r="B64" s="4"/>
      <c r="C64" s="4">
        <v>928.31111579053766</v>
      </c>
      <c r="D64" s="4">
        <v>-1.1961539680428358E-11</v>
      </c>
      <c r="E64" s="4">
        <v>-6.5372363225188577E-11</v>
      </c>
      <c r="F64" s="4">
        <v>-7.7124901318041687E-9</v>
      </c>
      <c r="G64" s="4">
        <v>-8.7916328156450532E-9</v>
      </c>
      <c r="H64" s="4">
        <v>-1.7781248651841325E-7</v>
      </c>
      <c r="I64" s="4">
        <v>-6.5512369037501923E-7</v>
      </c>
      <c r="J64" s="4">
        <v>-4.4035889638800759E-5</v>
      </c>
      <c r="K64" s="4">
        <v>-8.4052918616901311E-5</v>
      </c>
      <c r="L64" s="4">
        <v>-3.2043589088670045E-4</v>
      </c>
      <c r="M64" s="4">
        <v>-3.1456940789337784E-3</v>
      </c>
      <c r="N64" s="4">
        <v>-2.8936369142170688E-2</v>
      </c>
      <c r="O64" s="4">
        <v>-0.25207887522320627</v>
      </c>
      <c r="P64" s="4">
        <v>-0.82374204743719581</v>
      </c>
      <c r="Q64" s="4">
        <v>-0.10524458866678997</v>
      </c>
      <c r="R64" s="4">
        <v>-4.4147203460992612</v>
      </c>
      <c r="S64" s="4">
        <v>-1.5739057246710051</v>
      </c>
      <c r="T64" s="4">
        <v>2.2583545325482794</v>
      </c>
      <c r="U64" s="4">
        <v>3.1945044385059145</v>
      </c>
      <c r="V64" s="4">
        <v>-12.998680566879923</v>
      </c>
      <c r="W64" s="4">
        <v>0.44837354683505576</v>
      </c>
      <c r="X64" s="4">
        <v>109.574588274596</v>
      </c>
      <c r="Y64" s="4">
        <v>29.988055097034351</v>
      </c>
      <c r="Z64" s="4">
        <v>692.2920625709196</v>
      </c>
      <c r="AA64" s="4">
        <v>160.65479502286655</v>
      </c>
      <c r="AB64" s="4">
        <v>247.51640798882886</v>
      </c>
      <c r="AC64" s="4">
        <v>48.441102398500952</v>
      </c>
      <c r="AD64" s="4">
        <v>465.05153207420841</v>
      </c>
      <c r="AE64" s="4">
        <v>43.361627692870215</v>
      </c>
      <c r="AF64" s="4">
        <v>74.041731529776442</v>
      </c>
      <c r="AG64" s="4"/>
      <c r="AH64" s="4"/>
      <c r="AI64" s="4"/>
      <c r="AJ64" s="4"/>
      <c r="AK64" s="4"/>
      <c r="AL64" s="4"/>
      <c r="AM64" s="4"/>
      <c r="AN64" s="4"/>
      <c r="AO64" s="4"/>
      <c r="AP64" s="4"/>
      <c r="AQ64" s="4"/>
      <c r="AR64" s="4"/>
      <c r="AS64" s="4"/>
      <c r="AT64" s="4"/>
      <c r="AU64" s="4"/>
      <c r="AV64" s="4"/>
      <c r="AW64" s="4"/>
      <c r="AX64" s="4"/>
      <c r="AY64" s="4"/>
      <c r="AZ64" s="4"/>
      <c r="BA64" s="4"/>
      <c r="BB64" s="4"/>
    </row>
    <row r="65" spans="1:54" x14ac:dyDescent="0.3">
      <c r="A65" s="4">
        <v>4050</v>
      </c>
      <c r="B65" s="4">
        <v>1785.1238079040659</v>
      </c>
      <c r="C65" s="4">
        <v>955.69568086700804</v>
      </c>
      <c r="D65" s="4">
        <v>-4.1984943665584772E-12</v>
      </c>
      <c r="E65" s="4">
        <v>-2.3938269572118252E-11</v>
      </c>
      <c r="F65" s="4">
        <v>-2.9470327007878676E-9</v>
      </c>
      <c r="G65" s="4">
        <v>-3.5063269784773322E-9</v>
      </c>
      <c r="H65" s="4">
        <v>-7.4035419718921092E-8</v>
      </c>
      <c r="I65" s="4">
        <v>-2.8483805269946194E-7</v>
      </c>
      <c r="J65" s="4">
        <v>-1.9997837513678392E-5</v>
      </c>
      <c r="K65" s="4">
        <v>-3.9878234040765575E-5</v>
      </c>
      <c r="L65" s="4">
        <v>-1.5886843374300961E-4</v>
      </c>
      <c r="M65" s="4">
        <v>-1.6301740168426033E-3</v>
      </c>
      <c r="N65" s="4">
        <v>-1.5678028199142133E-2</v>
      </c>
      <c r="O65" s="4">
        <v>-0.1428314757713246</v>
      </c>
      <c r="P65" s="4">
        <v>-0.48823642498917275</v>
      </c>
      <c r="Q65" s="4">
        <v>-6.5268386602541847E-2</v>
      </c>
      <c r="R65" s="4">
        <v>-2.86539471967399</v>
      </c>
      <c r="S65" s="4">
        <v>-1.0694326875187961</v>
      </c>
      <c r="T65" s="4">
        <v>1.6068562263781847</v>
      </c>
      <c r="U65" s="4">
        <v>2.3807654319588214</v>
      </c>
      <c r="V65" s="4">
        <v>-10.149860033914489</v>
      </c>
      <c r="W65" s="4">
        <v>0.36691825231895464</v>
      </c>
      <c r="X65" s="4">
        <v>94.000479303006927</v>
      </c>
      <c r="Y65" s="4">
        <v>26.976352004044521</v>
      </c>
      <c r="Z65" s="4">
        <v>653.22724393247222</v>
      </c>
      <c r="AA65" s="4">
        <v>159.05066816248268</v>
      </c>
      <c r="AB65" s="4">
        <v>257.1823024395145</v>
      </c>
      <c r="AC65" s="4">
        <v>52.841652111802411</v>
      </c>
      <c r="AD65" s="4">
        <v>532.74619276423812</v>
      </c>
      <c r="AE65" s="4">
        <v>52.181316313797893</v>
      </c>
      <c r="AF65" s="4">
        <v>93.629165832547542</v>
      </c>
      <c r="AG65" s="4"/>
      <c r="AH65" s="4"/>
      <c r="AI65" s="4"/>
      <c r="AJ65" s="4"/>
      <c r="AK65" s="4"/>
      <c r="AL65" s="4"/>
      <c r="AM65" s="4"/>
      <c r="AN65" s="4"/>
      <c r="AO65" s="4"/>
      <c r="AP65" s="4"/>
      <c r="AQ65" s="4"/>
      <c r="AR65" s="4"/>
      <c r="AS65" s="4"/>
      <c r="AT65" s="4"/>
      <c r="AU65" s="4"/>
      <c r="AV65" s="4"/>
      <c r="AW65" s="4"/>
      <c r="AX65" s="4"/>
      <c r="AY65" s="4"/>
      <c r="AZ65" s="4"/>
      <c r="BA65" s="4"/>
      <c r="BB65" s="4"/>
    </row>
    <row r="66" spans="1:54" x14ac:dyDescent="0.3">
      <c r="A66" s="4">
        <v>4040</v>
      </c>
      <c r="B66" s="4"/>
      <c r="C66" s="4">
        <v>974.65953929705768</v>
      </c>
      <c r="D66" s="4">
        <v>-1.4415547008229457E-12</v>
      </c>
      <c r="E66" s="4">
        <v>-8.5756658935494372E-12</v>
      </c>
      <c r="F66" s="4">
        <v>-1.1017867230753107E-9</v>
      </c>
      <c r="G66" s="4">
        <v>-1.3683698472432774E-9</v>
      </c>
      <c r="H66" s="4">
        <v>-3.0166939838671553E-8</v>
      </c>
      <c r="I66" s="4">
        <v>-1.2120864857357096E-7</v>
      </c>
      <c r="J66" s="4">
        <v>-8.8892868707866528E-6</v>
      </c>
      <c r="K66" s="4">
        <v>-1.8521393202464486E-5</v>
      </c>
      <c r="L66" s="4">
        <v>-7.7114481009058966E-5</v>
      </c>
      <c r="M66" s="4">
        <v>-8.2718153777754024E-4</v>
      </c>
      <c r="N66" s="4">
        <v>-8.3183275553494074E-3</v>
      </c>
      <c r="O66" s="4">
        <v>-7.9260466757914844E-2</v>
      </c>
      <c r="P66" s="4">
        <v>-0.28344100872033068</v>
      </c>
      <c r="Q66" s="4">
        <v>-3.9650453510502025E-2</v>
      </c>
      <c r="R66" s="4">
        <v>-1.8220353106363021</v>
      </c>
      <c r="S66" s="4">
        <v>-0.71198107334108562</v>
      </c>
      <c r="T66" s="4">
        <v>1.1203446447473413</v>
      </c>
      <c r="U66" s="4">
        <v>1.738878369898627</v>
      </c>
      <c r="V66" s="4">
        <v>-7.7680207405725241</v>
      </c>
      <c r="W66" s="4">
        <v>0.29433272168726948</v>
      </c>
      <c r="X66" s="4">
        <v>79.057093205748373</v>
      </c>
      <c r="Y66" s="4">
        <v>23.793572624946904</v>
      </c>
      <c r="Z66" s="4">
        <v>604.41052267082443</v>
      </c>
      <c r="AA66" s="4">
        <v>154.42644735810933</v>
      </c>
      <c r="AB66" s="4">
        <v>262.10448208996308</v>
      </c>
      <c r="AC66" s="4">
        <v>56.544095855791014</v>
      </c>
      <c r="AD66" s="4">
        <v>598.7433297220332</v>
      </c>
      <c r="AE66" s="4">
        <v>61.613860816763861</v>
      </c>
      <c r="AF66" s="4">
        <v>116.18575775525056</v>
      </c>
      <c r="AG66" s="4"/>
      <c r="AH66" s="4"/>
      <c r="AI66" s="4"/>
      <c r="AJ66" s="4"/>
      <c r="AK66" s="4"/>
      <c r="AL66" s="4"/>
      <c r="AM66" s="4"/>
      <c r="AN66" s="4"/>
      <c r="AO66" s="4"/>
      <c r="AP66" s="4"/>
      <c r="AQ66" s="4"/>
      <c r="AR66" s="4"/>
      <c r="AS66" s="4"/>
      <c r="AT66" s="4"/>
      <c r="AU66" s="4"/>
      <c r="AV66" s="4"/>
      <c r="AW66" s="4"/>
      <c r="AX66" s="4"/>
      <c r="AY66" s="4"/>
      <c r="AZ66" s="4"/>
      <c r="BA66" s="4"/>
      <c r="BB66" s="4"/>
    </row>
    <row r="67" spans="1:54" x14ac:dyDescent="0.3">
      <c r="A67" s="4">
        <v>4030</v>
      </c>
      <c r="B67" s="4"/>
      <c r="C67" s="4">
        <v>984.9496815703244</v>
      </c>
      <c r="D67" s="4">
        <v>-4.8409584618541587E-13</v>
      </c>
      <c r="E67" s="4">
        <v>-3.0050473791968536E-12</v>
      </c>
      <c r="F67" s="4">
        <v>-4.0296231045084758E-10</v>
      </c>
      <c r="G67" s="4">
        <v>-5.2246245136165192E-10</v>
      </c>
      <c r="H67" s="4">
        <v>-1.2027349256580001E-8</v>
      </c>
      <c r="I67" s="4">
        <v>-5.0473435016641889E-8</v>
      </c>
      <c r="J67" s="4">
        <v>-3.8671535808235216E-6</v>
      </c>
      <c r="K67" s="4">
        <v>-8.4197504342763367E-6</v>
      </c>
      <c r="L67" s="4">
        <v>-3.664119132670014E-5</v>
      </c>
      <c r="M67" s="4">
        <v>-4.1091384240740734E-4</v>
      </c>
      <c r="N67" s="4">
        <v>-4.3212728739073728E-3</v>
      </c>
      <c r="O67" s="4">
        <v>-4.3069390156593779E-2</v>
      </c>
      <c r="P67" s="4">
        <v>-0.1611473478132783</v>
      </c>
      <c r="Q67" s="4">
        <v>-2.3592299048515342E-2</v>
      </c>
      <c r="R67" s="4">
        <v>-1.1348934351453965</v>
      </c>
      <c r="S67" s="4">
        <v>-0.46436430556541286</v>
      </c>
      <c r="T67" s="4">
        <v>0.76533463052590223</v>
      </c>
      <c r="U67" s="4">
        <v>1.2445057565887065</v>
      </c>
      <c r="V67" s="4">
        <v>-5.8262096888390857</v>
      </c>
      <c r="W67" s="4">
        <v>0.23141088997082665</v>
      </c>
      <c r="X67" s="4">
        <v>65.174624933118338</v>
      </c>
      <c r="Y67" s="4">
        <v>20.573786746329873</v>
      </c>
      <c r="Z67" s="4">
        <v>548.31409754466608</v>
      </c>
      <c r="AA67" s="4">
        <v>147.02438573216071</v>
      </c>
      <c r="AB67" s="4">
        <v>261.96392413104991</v>
      </c>
      <c r="AC67" s="4">
        <v>59.345022303315417</v>
      </c>
      <c r="AD67" s="4">
        <v>660.08519189670449</v>
      </c>
      <c r="AE67" s="4">
        <v>71.372995964143882</v>
      </c>
      <c r="AF67" s="4">
        <v>141.46214025688442</v>
      </c>
      <c r="AG67" s="4"/>
      <c r="AH67" s="4"/>
      <c r="AI67" s="4"/>
      <c r="AJ67" s="4"/>
      <c r="AK67" s="4"/>
      <c r="AL67" s="4"/>
      <c r="AM67" s="4"/>
      <c r="AN67" s="4"/>
      <c r="AO67" s="4"/>
      <c r="AP67" s="4"/>
      <c r="AQ67" s="4"/>
      <c r="AR67" s="4"/>
      <c r="AS67" s="4"/>
      <c r="AT67" s="4"/>
      <c r="AU67" s="4"/>
      <c r="AV67" s="4"/>
      <c r="AW67" s="4"/>
      <c r="AX67" s="4"/>
      <c r="AY67" s="4"/>
      <c r="AZ67" s="4"/>
      <c r="BA67" s="4"/>
      <c r="BB67" s="4"/>
    </row>
    <row r="68" spans="1:54" x14ac:dyDescent="0.3">
      <c r="A68" s="4">
        <v>4020</v>
      </c>
      <c r="B68" s="4"/>
      <c r="C68" s="4">
        <v>986.37340588782865</v>
      </c>
      <c r="D68" s="4">
        <v>-1.589736935677162E-13</v>
      </c>
      <c r="E68" s="4">
        <v>-1.0298509997359487E-12</v>
      </c>
      <c r="F68" s="4">
        <v>-1.4415081144196534E-10</v>
      </c>
      <c r="G68" s="4">
        <v>-1.9513665839385606E-10</v>
      </c>
      <c r="H68" s="4">
        <v>-4.6912378811492364E-9</v>
      </c>
      <c r="I68" s="4">
        <v>-2.0564488703793487E-8</v>
      </c>
      <c r="J68" s="4">
        <v>-1.6462239381956424E-6</v>
      </c>
      <c r="K68" s="4">
        <v>-3.7458056170312641E-6</v>
      </c>
      <c r="L68" s="4">
        <v>-1.7040071134940887E-5</v>
      </c>
      <c r="M68" s="4">
        <v>-1.9980984071757331E-4</v>
      </c>
      <c r="N68" s="4">
        <v>-2.1976159118895044E-3</v>
      </c>
      <c r="O68" s="4">
        <v>-2.2913624033794749E-2</v>
      </c>
      <c r="P68" s="4">
        <v>-8.9710942444029246E-2</v>
      </c>
      <c r="Q68" s="4">
        <v>-1.3746851680290363E-2</v>
      </c>
      <c r="R68" s="4">
        <v>-0.69233077519065034</v>
      </c>
      <c r="S68" s="4">
        <v>-0.29666009963914253</v>
      </c>
      <c r="T68" s="4">
        <v>0.51216627451842389</v>
      </c>
      <c r="U68" s="4">
        <v>0.87263928411465574</v>
      </c>
      <c r="V68" s="4">
        <v>-4.2817622164438527</v>
      </c>
      <c r="W68" s="4">
        <v>0.17829558719119906</v>
      </c>
      <c r="X68" s="4">
        <v>52.659769801461394</v>
      </c>
      <c r="Y68" s="4">
        <v>17.437450949474115</v>
      </c>
      <c r="Z68" s="4">
        <v>487.63265220768216</v>
      </c>
      <c r="AA68" s="4">
        <v>137.23823945149755</v>
      </c>
      <c r="AB68" s="4">
        <v>256.7314178660136</v>
      </c>
      <c r="AC68" s="4">
        <v>61.080779144340944</v>
      </c>
      <c r="AD68" s="4">
        <v>713.73271453471762</v>
      </c>
      <c r="AE68" s="4">
        <v>81.099681651182607</v>
      </c>
      <c r="AF68" s="4">
        <v>168.97054941634457</v>
      </c>
      <c r="AG68" s="4"/>
      <c r="AH68" s="4"/>
      <c r="AI68" s="4"/>
      <c r="AJ68" s="4"/>
      <c r="AK68" s="4"/>
      <c r="AL68" s="4"/>
      <c r="AM68" s="4"/>
      <c r="AN68" s="4"/>
      <c r="AO68" s="4"/>
      <c r="AP68" s="4"/>
      <c r="AQ68" s="4"/>
      <c r="AR68" s="4"/>
      <c r="AS68" s="4"/>
      <c r="AT68" s="4"/>
      <c r="AU68" s="4"/>
      <c r="AV68" s="4"/>
      <c r="AW68" s="4"/>
      <c r="AX68" s="4"/>
      <c r="AY68" s="4"/>
      <c r="AZ68" s="4"/>
      <c r="BA68" s="4"/>
      <c r="BB68" s="4"/>
    </row>
    <row r="69" spans="1:54" x14ac:dyDescent="0.3">
      <c r="A69" s="4">
        <v>4010</v>
      </c>
      <c r="B69" s="4"/>
      <c r="C69" s="4">
        <v>978.80810424423919</v>
      </c>
      <c r="D69" s="4">
        <v>-5.1043827539875188E-14</v>
      </c>
      <c r="E69" s="4">
        <v>-3.4511805127988129E-13</v>
      </c>
      <c r="F69" s="4">
        <v>-5.0429697641981394E-11</v>
      </c>
      <c r="G69" s="4">
        <v>-7.1282989630037324E-11</v>
      </c>
      <c r="H69" s="4">
        <v>-1.7898439143133233E-9</v>
      </c>
      <c r="I69" s="4">
        <v>-8.1965351927232587E-9</v>
      </c>
      <c r="J69" s="4">
        <v>-6.8563214572883668E-7</v>
      </c>
      <c r="K69" s="4">
        <v>-1.6305860132660133E-6</v>
      </c>
      <c r="L69" s="4">
        <v>-7.7548542458688873E-6</v>
      </c>
      <c r="M69" s="4">
        <v>-9.5089294199507147E-5</v>
      </c>
      <c r="N69" s="4">
        <v>-1.0939287637567166E-3</v>
      </c>
      <c r="O69" s="4">
        <v>-1.1933415832430089E-2</v>
      </c>
      <c r="P69" s="4">
        <v>-4.8894799090996637E-2</v>
      </c>
      <c r="Q69" s="4">
        <v>-7.8429701317367147E-3</v>
      </c>
      <c r="R69" s="4">
        <v>-0.41358630542574054</v>
      </c>
      <c r="S69" s="4">
        <v>-0.18561083484301358</v>
      </c>
      <c r="T69" s="4">
        <v>0.3357103080291724</v>
      </c>
      <c r="U69" s="4">
        <v>0.59940064137903237</v>
      </c>
      <c r="V69" s="4">
        <v>-3.0828640905285867</v>
      </c>
      <c r="W69" s="4">
        <v>0.13459964206437328</v>
      </c>
      <c r="X69" s="4">
        <v>41.694358547608445</v>
      </c>
      <c r="Y69" s="4">
        <v>14.484430216035063</v>
      </c>
      <c r="Z69" s="4">
        <v>425.06743877760664</v>
      </c>
      <c r="AA69" s="4">
        <v>125.57840290620807</v>
      </c>
      <c r="AB69" s="4">
        <v>246.67394871031092</v>
      </c>
      <c r="AC69" s="4">
        <v>61.643115747285009</v>
      </c>
      <c r="AD69" s="4">
        <v>756.80553226953975</v>
      </c>
      <c r="AE69" s="4">
        <v>90.379747934152846</v>
      </c>
      <c r="AF69" s="4">
        <v>197.97145430335027</v>
      </c>
      <c r="AG69" s="4"/>
      <c r="AH69" s="4"/>
      <c r="AI69" s="4"/>
      <c r="AJ69" s="4"/>
      <c r="AK69" s="4"/>
      <c r="AL69" s="4"/>
      <c r="AM69" s="4"/>
      <c r="AN69" s="4"/>
      <c r="AO69" s="4"/>
      <c r="AP69" s="4"/>
      <c r="AQ69" s="4"/>
      <c r="AR69" s="4"/>
      <c r="AS69" s="4"/>
      <c r="AT69" s="4"/>
      <c r="AU69" s="4"/>
      <c r="AV69" s="4"/>
      <c r="AW69" s="4"/>
      <c r="AX69" s="4"/>
      <c r="AY69" s="4"/>
      <c r="AZ69" s="4"/>
      <c r="BA69" s="4"/>
      <c r="BB69" s="4"/>
    </row>
    <row r="70" spans="1:54" x14ac:dyDescent="0.3">
      <c r="A70" s="4">
        <v>4000</v>
      </c>
      <c r="B70" s="4"/>
      <c r="C70" s="4">
        <v>962.22568770146734</v>
      </c>
      <c r="D70" s="4">
        <v>-1.6021936744017194E-14</v>
      </c>
      <c r="E70" s="4">
        <v>-1.1307358157987024E-13</v>
      </c>
      <c r="F70" s="4">
        <v>-1.7250530740239566E-11</v>
      </c>
      <c r="G70" s="4">
        <v>-2.5464001905761951E-11</v>
      </c>
      <c r="H70" s="4">
        <v>-6.6785735964128623E-10</v>
      </c>
      <c r="I70" s="4">
        <v>-3.1954421174587111E-9</v>
      </c>
      <c r="J70" s="4">
        <v>-2.7933756966981415E-7</v>
      </c>
      <c r="K70" s="4">
        <v>-6.9442610747560574E-7</v>
      </c>
      <c r="L70" s="4">
        <v>-3.453090225165188E-6</v>
      </c>
      <c r="M70" s="4">
        <v>-4.4281966113285514E-5</v>
      </c>
      <c r="N70" s="4">
        <v>-5.3291207300798407E-4</v>
      </c>
      <c r="O70" s="4">
        <v>-6.0829473201172504E-3</v>
      </c>
      <c r="P70" s="4">
        <v>-2.6086000993028931E-2</v>
      </c>
      <c r="Q70" s="4">
        <v>-4.3806147100244079E-3</v>
      </c>
      <c r="R70" s="4">
        <v>-0.24190548773761875</v>
      </c>
      <c r="S70" s="4">
        <v>-0.11371682723908962</v>
      </c>
      <c r="T70" s="4">
        <v>0.21549939766051285</v>
      </c>
      <c r="U70" s="4">
        <v>0.40325344850562467</v>
      </c>
      <c r="V70" s="4">
        <v>-2.1742812250625532</v>
      </c>
      <c r="W70" s="4">
        <v>9.9546978596141311E-2</v>
      </c>
      <c r="X70" s="4">
        <v>32.345076147149705</v>
      </c>
      <c r="Y70" s="4">
        <v>11.78974354935959</v>
      </c>
      <c r="Z70" s="4">
        <v>363.12798942519601</v>
      </c>
      <c r="AA70" s="4">
        <v>112.62744216738209</v>
      </c>
      <c r="AB70" s="4">
        <v>232.33248949497857</v>
      </c>
      <c r="AC70" s="4">
        <v>60.990228706754181</v>
      </c>
      <c r="AD70" s="4">
        <v>786.83245222456912</v>
      </c>
      <c r="AE70" s="4">
        <v>98.770286585387893</v>
      </c>
      <c r="AF70" s="4">
        <v>227.4844020052569</v>
      </c>
      <c r="AG70" s="4"/>
      <c r="AH70" s="4"/>
      <c r="AI70" s="4"/>
      <c r="AJ70" s="4"/>
      <c r="AK70" s="4"/>
      <c r="AL70" s="4"/>
      <c r="AM70" s="4"/>
      <c r="AN70" s="4"/>
      <c r="AO70" s="4"/>
      <c r="AP70" s="4"/>
      <c r="AQ70" s="4"/>
      <c r="AR70" s="4"/>
      <c r="AS70" s="4"/>
      <c r="AT70" s="4"/>
      <c r="AU70" s="4"/>
      <c r="AV70" s="4"/>
      <c r="AW70" s="4"/>
      <c r="AX70" s="4"/>
      <c r="AY70" s="4"/>
      <c r="AZ70" s="4"/>
      <c r="BA70" s="4"/>
      <c r="BB70" s="4"/>
    </row>
    <row r="71" spans="1:54" x14ac:dyDescent="0.3">
      <c r="A71" s="4">
        <v>3990</v>
      </c>
      <c r="B71" s="4"/>
      <c r="C71" s="4">
        <v>936.72995969560884</v>
      </c>
      <c r="D71" s="4">
        <v>-4.9155228889317618E-15</v>
      </c>
      <c r="E71" s="4">
        <v>-3.621463930397529E-14</v>
      </c>
      <c r="F71" s="4">
        <v>-5.7689259719752019E-12</v>
      </c>
      <c r="G71" s="4">
        <v>-8.8938733049192862E-12</v>
      </c>
      <c r="H71" s="4">
        <v>-2.4368184817841558E-10</v>
      </c>
      <c r="I71" s="4">
        <v>-1.2182885122031136E-9</v>
      </c>
      <c r="J71" s="4">
        <v>-1.1130994802591659E-7</v>
      </c>
      <c r="K71" s="4">
        <v>-2.8928305060913089E-7</v>
      </c>
      <c r="L71" s="4">
        <v>-1.5041989261276721E-6</v>
      </c>
      <c r="M71" s="4">
        <v>-2.0175947619013978E-5</v>
      </c>
      <c r="N71" s="4">
        <v>-2.5402873237361E-4</v>
      </c>
      <c r="O71" s="4">
        <v>-3.0344037711579016E-3</v>
      </c>
      <c r="P71" s="4">
        <v>-1.3621092145531068E-2</v>
      </c>
      <c r="Q71" s="4">
        <v>-2.394963911608471E-3</v>
      </c>
      <c r="R71" s="4">
        <v>-0.13851118251848493</v>
      </c>
      <c r="S71" s="4">
        <v>-6.8211265608872612E-2</v>
      </c>
      <c r="T71" s="4">
        <v>0.13545284197865756</v>
      </c>
      <c r="U71" s="4">
        <v>0.26567498587977501</v>
      </c>
      <c r="V71" s="4">
        <v>-1.50189667952961</v>
      </c>
      <c r="W71" s="4">
        <v>7.2115212496096162E-2</v>
      </c>
      <c r="X71" s="4">
        <v>24.581343584993771</v>
      </c>
      <c r="Y71" s="4">
        <v>9.4021268182865416</v>
      </c>
      <c r="Z71" s="4">
        <v>303.97157844786148</v>
      </c>
      <c r="AA71" s="4">
        <v>98.991461972910926</v>
      </c>
      <c r="AB71" s="4">
        <v>214.47371155352218</v>
      </c>
      <c r="AC71" s="4">
        <v>59.151660801479515</v>
      </c>
      <c r="AD71" s="4">
        <v>801.9828909894901</v>
      </c>
      <c r="AE71" s="4">
        <v>105.83287326445635</v>
      </c>
      <c r="AF71" s="4">
        <v>256.32697461629607</v>
      </c>
      <c r="AG71" s="4"/>
      <c r="AH71" s="4"/>
      <c r="AI71" s="4"/>
      <c r="AJ71" s="4"/>
      <c r="AK71" s="4"/>
      <c r="AL71" s="4"/>
      <c r="AM71" s="4"/>
      <c r="AN71" s="4"/>
      <c r="AO71" s="4"/>
      <c r="AP71" s="4"/>
      <c r="AQ71" s="4"/>
      <c r="AR71" s="4"/>
      <c r="AS71" s="4"/>
      <c r="AT71" s="4"/>
      <c r="AU71" s="4"/>
      <c r="AV71" s="4"/>
      <c r="AW71" s="4"/>
      <c r="AX71" s="4"/>
      <c r="AY71" s="4"/>
      <c r="AZ71" s="4"/>
      <c r="BA71" s="4"/>
      <c r="BB71" s="4"/>
    </row>
    <row r="72" spans="1:54" x14ac:dyDescent="0.3">
      <c r="A72" s="4">
        <v>3980</v>
      </c>
      <c r="B72" s="4"/>
      <c r="C72" s="4">
        <v>902.60134229140215</v>
      </c>
      <c r="D72" s="4">
        <v>-1.4737907896542968E-15</v>
      </c>
      <c r="E72" s="4">
        <v>-1.1336146019683101E-14</v>
      </c>
      <c r="F72" s="4">
        <v>-1.8857878054654971E-12</v>
      </c>
      <c r="G72" s="4">
        <v>-3.0367422259699552E-12</v>
      </c>
      <c r="H72" s="4">
        <v>-8.6928656894294044E-11</v>
      </c>
      <c r="I72" s="4">
        <v>-4.5416906323597749E-10</v>
      </c>
      <c r="J72" s="4">
        <v>-4.3374547659094065E-8</v>
      </c>
      <c r="K72" s="4">
        <v>-1.1785952830379952E-7</v>
      </c>
      <c r="L72" s="4">
        <v>-6.4090855334837976E-7</v>
      </c>
      <c r="M72" s="4">
        <v>-8.9925609722095547E-6</v>
      </c>
      <c r="N72" s="4">
        <v>-1.1846819216872E-4</v>
      </c>
      <c r="O72" s="4">
        <v>-1.4810640403116143E-3</v>
      </c>
      <c r="P72" s="4">
        <v>-6.9599690597618421E-3</v>
      </c>
      <c r="Q72" s="4">
        <v>-1.2814566831125872E-3</v>
      </c>
      <c r="R72" s="4">
        <v>-7.762745901219982E-2</v>
      </c>
      <c r="S72" s="4">
        <v>-4.0052494459359107E-2</v>
      </c>
      <c r="T72" s="4">
        <v>8.3353384417283752E-2</v>
      </c>
      <c r="U72" s="4">
        <v>0.17138293133088364</v>
      </c>
      <c r="V72" s="4">
        <v>-1.0159218377864501</v>
      </c>
      <c r="W72" s="4">
        <v>5.1165057920515837E-2</v>
      </c>
      <c r="X72" s="4">
        <v>18.297974873144355</v>
      </c>
      <c r="Y72" s="4">
        <v>7.3451442502225204</v>
      </c>
      <c r="Z72" s="4">
        <v>249.29383429324406</v>
      </c>
      <c r="AA72" s="4">
        <v>85.253007844951199</v>
      </c>
      <c r="AB72" s="4">
        <v>194.02161764417875</v>
      </c>
      <c r="AC72" s="4">
        <v>56.226281704088208</v>
      </c>
      <c r="AD72" s="4">
        <v>801.24960242320356</v>
      </c>
      <c r="AE72" s="4">
        <v>111.17041501473803</v>
      </c>
      <c r="AF72" s="4">
        <v>283.18235770584789</v>
      </c>
      <c r="AG72" s="4"/>
      <c r="AH72" s="4"/>
      <c r="AI72" s="4"/>
      <c r="AJ72" s="4"/>
      <c r="AK72" s="4"/>
      <c r="AL72" s="4"/>
      <c r="AM72" s="4"/>
      <c r="AN72" s="4"/>
      <c r="AO72" s="4"/>
      <c r="AP72" s="4"/>
      <c r="AQ72" s="4"/>
      <c r="AR72" s="4"/>
      <c r="AS72" s="4"/>
      <c r="AT72" s="4"/>
      <c r="AU72" s="4"/>
      <c r="AV72" s="4"/>
      <c r="AW72" s="4"/>
      <c r="AX72" s="4"/>
      <c r="AY72" s="4"/>
      <c r="AZ72" s="4"/>
      <c r="BA72" s="4"/>
      <c r="BB72" s="4"/>
    </row>
    <row r="73" spans="1:54" x14ac:dyDescent="0.3">
      <c r="A73" s="4">
        <v>3970</v>
      </c>
      <c r="B73" s="4"/>
      <c r="C73" s="4">
        <v>860.34043153238588</v>
      </c>
      <c r="D73" s="4">
        <v>-4.3175878721016793E-16</v>
      </c>
      <c r="E73" s="4">
        <v>-3.467632084155395E-15</v>
      </c>
      <c r="F73" s="4">
        <v>-6.0245460899947107E-13</v>
      </c>
      <c r="G73" s="4">
        <v>-1.0134589556756061E-12</v>
      </c>
      <c r="H73" s="4">
        <v>-3.0313205377767142E-11</v>
      </c>
      <c r="I73" s="4">
        <v>-1.6552445604203406E-10</v>
      </c>
      <c r="J73" s="4">
        <v>-1.6525763998498776E-8</v>
      </c>
      <c r="K73" s="4">
        <v>-4.6954873361793363E-8</v>
      </c>
      <c r="L73" s="4">
        <v>-2.670607438767105E-7</v>
      </c>
      <c r="M73" s="4">
        <v>-3.9201730464447516E-6</v>
      </c>
      <c r="N73" s="4">
        <v>-5.4043387339148891E-5</v>
      </c>
      <c r="O73" s="4">
        <v>-7.072060240125626E-4</v>
      </c>
      <c r="P73" s="4">
        <v>-3.479560426177729E-3</v>
      </c>
      <c r="Q73" s="4">
        <v>-6.709357317531559E-4</v>
      </c>
      <c r="R73" s="4">
        <v>-4.2576363890667997E-2</v>
      </c>
      <c r="S73" s="4">
        <v>-2.3018478879772517E-2</v>
      </c>
      <c r="T73" s="4">
        <v>5.0209184767167112E-2</v>
      </c>
      <c r="U73" s="4">
        <v>0.10823327721072844</v>
      </c>
      <c r="V73" s="4">
        <v>-0.67283520678745068</v>
      </c>
      <c r="W73" s="4">
        <v>3.554678833922751E-2</v>
      </c>
      <c r="X73" s="4">
        <v>13.339305136057868</v>
      </c>
      <c r="Y73" s="4">
        <v>5.6203077425075394</v>
      </c>
      <c r="Z73" s="4">
        <v>200.27591807718844</v>
      </c>
      <c r="AA73" s="4">
        <v>71.930608670764386</v>
      </c>
      <c r="AB73" s="4">
        <v>171.97763552661229</v>
      </c>
      <c r="AC73" s="4">
        <v>52.373507900693646</v>
      </c>
      <c r="AD73" s="4">
        <v>784.55761910675676</v>
      </c>
      <c r="AE73" s="4">
        <v>114.46347266790728</v>
      </c>
      <c r="AF73" s="4">
        <v>306.69184503200546</v>
      </c>
      <c r="AG73" s="4"/>
      <c r="AH73" s="4"/>
      <c r="AI73" s="4"/>
      <c r="AJ73" s="4"/>
      <c r="AK73" s="4"/>
      <c r="AL73" s="4"/>
      <c r="AM73" s="4"/>
      <c r="AN73" s="4"/>
      <c r="AO73" s="4"/>
      <c r="AP73" s="4"/>
      <c r="AQ73" s="4"/>
      <c r="AR73" s="4"/>
      <c r="AS73" s="4"/>
      <c r="AT73" s="4"/>
      <c r="AU73" s="4"/>
      <c r="AV73" s="4"/>
      <c r="AW73" s="4"/>
      <c r="AX73" s="4"/>
      <c r="AY73" s="4"/>
      <c r="AZ73" s="4"/>
      <c r="BA73" s="4"/>
      <c r="BB73" s="4"/>
    </row>
    <row r="74" spans="1:54" x14ac:dyDescent="0.3">
      <c r="A74" s="4">
        <v>3960</v>
      </c>
      <c r="B74" s="4"/>
      <c r="C74" s="4">
        <v>810.70060804931836</v>
      </c>
      <c r="D74" s="4">
        <v>-1.2356996773663915E-16</v>
      </c>
      <c r="E74" s="4">
        <v>-1.0363687631640891E-15</v>
      </c>
      <c r="F74" s="4">
        <v>-1.8806896581484144E-13</v>
      </c>
      <c r="G74" s="4">
        <v>-3.3053201681113919E-13</v>
      </c>
      <c r="H74" s="4">
        <v>-1.0331371640064617E-11</v>
      </c>
      <c r="I74" s="4">
        <v>-5.8967454854549817E-11</v>
      </c>
      <c r="J74" s="4">
        <v>-6.1552026652750204E-9</v>
      </c>
      <c r="K74" s="4">
        <v>-1.8289413248206444E-8</v>
      </c>
      <c r="L74" s="4">
        <v>-1.0881188675646998E-7</v>
      </c>
      <c r="M74" s="4">
        <v>-1.6712015801328571E-6</v>
      </c>
      <c r="N74" s="4">
        <v>-2.4112089528913717E-5</v>
      </c>
      <c r="O74" s="4">
        <v>-3.3030836013186522E-4</v>
      </c>
      <c r="P74" s="4">
        <v>-1.7017402070404286E-3</v>
      </c>
      <c r="Q74" s="4">
        <v>-3.4368478679912967E-4</v>
      </c>
      <c r="R74" s="4">
        <v>-2.2849413083781991E-2</v>
      </c>
      <c r="S74" s="4">
        <v>-1.294577745731307E-2</v>
      </c>
      <c r="T74" s="4">
        <v>2.9600500095189584E-2</v>
      </c>
      <c r="U74" s="4">
        <v>6.6905494367719157E-2</v>
      </c>
      <c r="V74" s="4">
        <v>-0.4362314250915113</v>
      </c>
      <c r="W74" s="4">
        <v>2.4179064754108984E-2</v>
      </c>
      <c r="X74" s="4">
        <v>9.5220035472567091</v>
      </c>
      <c r="Y74" s="4">
        <v>4.2115101607801213</v>
      </c>
      <c r="Z74" s="4">
        <v>157.58587057745498</v>
      </c>
      <c r="AA74" s="4">
        <v>59.448759558689275</v>
      </c>
      <c r="AB74" s="4">
        <v>149.33887675998105</v>
      </c>
      <c r="AC74" s="4">
        <v>47.798841252581624</v>
      </c>
      <c r="AD74" s="4">
        <v>752.78326907174471</v>
      </c>
      <c r="AE74" s="4">
        <v>115.50153026971958</v>
      </c>
      <c r="AF74" s="4">
        <v>325.56429810681561</v>
      </c>
      <c r="AG74" s="4"/>
      <c r="AH74" s="4"/>
      <c r="AI74" s="4"/>
      <c r="AJ74" s="4"/>
      <c r="AK74" s="4"/>
      <c r="AL74" s="4"/>
      <c r="AM74" s="4"/>
      <c r="AN74" s="4"/>
      <c r="AO74" s="4"/>
      <c r="AP74" s="4"/>
      <c r="AQ74" s="4"/>
      <c r="AR74" s="4"/>
      <c r="AS74" s="4"/>
      <c r="AT74" s="4"/>
      <c r="AU74" s="4"/>
      <c r="AV74" s="4"/>
      <c r="AW74" s="4"/>
      <c r="AX74" s="4"/>
      <c r="AY74" s="4"/>
      <c r="AZ74" s="4"/>
      <c r="BA74" s="4"/>
      <c r="BB74" s="4"/>
    </row>
    <row r="75" spans="1:54" x14ac:dyDescent="0.3">
      <c r="A75" s="4">
        <v>3950</v>
      </c>
      <c r="B75" s="4"/>
      <c r="C75" s="4">
        <v>754.70069658128921</v>
      </c>
      <c r="D75" s="4">
        <v>-3.4544394738926502E-17</v>
      </c>
      <c r="E75" s="4">
        <v>-3.0257711790556799E-16</v>
      </c>
      <c r="F75" s="4">
        <v>-5.7358557862362341E-14</v>
      </c>
      <c r="G75" s="4">
        <v>-1.0533125571173717E-13</v>
      </c>
      <c r="H75" s="4">
        <v>-3.4408742933769027E-12</v>
      </c>
      <c r="I75" s="4">
        <v>-2.0530328776769716E-11</v>
      </c>
      <c r="J75" s="4">
        <v>-2.2408116373140098E-9</v>
      </c>
      <c r="K75" s="4">
        <v>-6.9638627727599619E-9</v>
      </c>
      <c r="L75" s="4">
        <v>-4.3343440709070373E-8</v>
      </c>
      <c r="M75" s="4">
        <v>-6.9659907868072954E-7</v>
      </c>
      <c r="N75" s="4">
        <v>-1.0519802247956379E-5</v>
      </c>
      <c r="O75" s="4">
        <v>-1.5087729602791466E-4</v>
      </c>
      <c r="P75" s="4">
        <v>-8.1403561473835187E-4</v>
      </c>
      <c r="Q75" s="4">
        <v>-1.722153317795575E-4</v>
      </c>
      <c r="R75" s="4">
        <v>-1.199678261987328E-2</v>
      </c>
      <c r="S75" s="4">
        <v>-7.1238432498996543E-3</v>
      </c>
      <c r="T75" s="4">
        <v>1.70765986651846E-2</v>
      </c>
      <c r="U75" s="4">
        <v>4.0476341603710449E-2</v>
      </c>
      <c r="V75" s="4">
        <v>-0.2768318390863484</v>
      </c>
      <c r="W75" s="4">
        <v>1.6099861818773504E-2</v>
      </c>
      <c r="X75" s="4">
        <v>6.6545696814935598</v>
      </c>
      <c r="Y75" s="4">
        <v>3.0900493969613243</v>
      </c>
      <c r="Z75" s="4">
        <v>121.42532158383928</v>
      </c>
      <c r="AA75" s="4">
        <v>48.120403511767385</v>
      </c>
      <c r="AB75" s="4">
        <v>127.02391065427173</v>
      </c>
      <c r="AC75" s="4">
        <v>42.735559297451381</v>
      </c>
      <c r="AD75" s="4">
        <v>707.67907979766085</v>
      </c>
      <c r="AE75" s="4">
        <v>114.20500986341432</v>
      </c>
      <c r="AF75" s="4">
        <v>338.69093743580305</v>
      </c>
      <c r="AG75" s="4"/>
      <c r="AH75" s="4"/>
      <c r="AI75" s="4"/>
      <c r="AJ75" s="4"/>
      <c r="AK75" s="4"/>
      <c r="AL75" s="4"/>
      <c r="AM75" s="4"/>
      <c r="AN75" s="4"/>
      <c r="AO75" s="4"/>
      <c r="AP75" s="4"/>
      <c r="AQ75" s="4"/>
      <c r="AR75" s="4"/>
      <c r="AS75" s="4"/>
      <c r="AT75" s="4"/>
      <c r="AU75" s="4"/>
      <c r="AV75" s="4"/>
      <c r="AW75" s="4"/>
      <c r="AX75" s="4"/>
      <c r="AY75" s="4"/>
      <c r="AZ75" s="4"/>
      <c r="BA75" s="4"/>
      <c r="BB75" s="4"/>
    </row>
    <row r="76" spans="1:54" x14ac:dyDescent="0.3">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row>
    <row r="77" spans="1:54" x14ac:dyDescent="0.3">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row>
    <row r="78" spans="1:54"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row>
    <row r="79" spans="1:54"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row>
    <row r="80" spans="1:54"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row>
    <row r="81" spans="1:54"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row>
    <row r="82" spans="1:54"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row>
    <row r="83" spans="1:54"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row>
    <row r="84" spans="1:54"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row>
    <row r="85" spans="1:54"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row>
    <row r="86" spans="1:54"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row>
    <row r="87" spans="1:54"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row>
    <row r="88" spans="1:54"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row>
    <row r="89" spans="1:54"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row>
    <row r="90" spans="1:54"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row>
    <row r="91" spans="1:54" x14ac:dyDescent="0.3">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row>
    <row r="92" spans="1:54" x14ac:dyDescent="0.3">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row>
    <row r="93" spans="1:54" x14ac:dyDescent="0.3">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row>
    <row r="94" spans="1:54" x14ac:dyDescent="0.3">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row>
    <row r="95" spans="1:54" x14ac:dyDescent="0.3">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row>
    <row r="96" spans="1:54" x14ac:dyDescent="0.3">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row>
    <row r="97" spans="1:54" x14ac:dyDescent="0.3">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row>
    <row r="98" spans="1:54" x14ac:dyDescent="0.3">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row>
    <row r="99" spans="1:54" x14ac:dyDescent="0.3">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row>
    <row r="100" spans="1:54" x14ac:dyDescent="0.3">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row>
    <row r="101" spans="1:54" x14ac:dyDescent="0.3">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row>
    <row r="102" spans="1:54" x14ac:dyDescent="0.3">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row>
    <row r="103" spans="1:54" x14ac:dyDescent="0.3">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row>
    <row r="104" spans="1:54" x14ac:dyDescent="0.3">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row>
    <row r="105" spans="1:54"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row>
    <row r="106" spans="1:54"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row>
    <row r="107" spans="1:54"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row>
    <row r="108" spans="1:54" x14ac:dyDescent="0.3">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row>
    <row r="109" spans="1:54"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row>
    <row r="110" spans="1:54"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row>
    <row r="111" spans="1:54"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row>
    <row r="112" spans="1:54"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row>
    <row r="113" spans="1:54"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row>
    <row r="114" spans="1:54"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row>
    <row r="115" spans="1:54" x14ac:dyDescent="0.3">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row>
    <row r="116" spans="1:54"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row>
    <row r="117" spans="1:54"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row>
    <row r="118" spans="1:54"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row>
    <row r="119" spans="1:54"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row>
    <row r="120" spans="1:54"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row>
    <row r="121" spans="1:54"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row>
    <row r="122" spans="1:54"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row>
    <row r="123" spans="1:54"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row>
    <row r="124" spans="1:54"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row>
    <row r="125" spans="1:54"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row>
    <row r="126" spans="1:54"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row>
    <row r="127" spans="1:54"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row>
    <row r="128" spans="1:54"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row>
    <row r="129" spans="1:5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row>
    <row r="130" spans="1:5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row>
    <row r="131" spans="1:5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row>
    <row r="132" spans="1:5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row>
    <row r="133" spans="1:5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row>
    <row r="134" spans="1:5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row>
    <row r="135" spans="1:5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row>
    <row r="136" spans="1:5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row>
    <row r="137" spans="1:5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row>
    <row r="138" spans="1:5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row>
    <row r="139" spans="1:5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row>
    <row r="140" spans="1:5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row>
    <row r="141" spans="1:5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row>
    <row r="142" spans="1:5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row>
    <row r="143" spans="1:5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row>
    <row r="144" spans="1:5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row>
    <row r="145" spans="1:5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row>
    <row r="146" spans="1:5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row>
    <row r="147" spans="1:5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row>
    <row r="148" spans="1:5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row>
    <row r="149" spans="1:5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row>
    <row r="150" spans="1:5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row>
    <row r="151" spans="1:5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row>
    <row r="152" spans="1:5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row>
    <row r="153" spans="1:5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row>
    <row r="154" spans="1:5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row>
    <row r="155" spans="1:5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row>
    <row r="156" spans="1:5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row>
    <row r="157" spans="1:5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row>
    <row r="158" spans="1:5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row>
    <row r="159" spans="1:5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row>
    <row r="160" spans="1:5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row>
    <row r="161" spans="1:5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row>
    <row r="162" spans="1:5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row>
    <row r="163" spans="1:5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row>
    <row r="164" spans="1:5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row>
    <row r="165" spans="1:5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row>
    <row r="166" spans="1:5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row>
    <row r="167" spans="1:5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row>
    <row r="168" spans="1:5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row>
    <row r="169" spans="1:5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row>
    <row r="170" spans="1:5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row>
    <row r="171" spans="1:5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row>
    <row r="172" spans="1:5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row>
    <row r="173" spans="1:5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row>
    <row r="174" spans="1:5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row>
    <row r="175" spans="1:5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row>
    <row r="176" spans="1:5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row>
    <row r="177" spans="1:5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row>
    <row r="178" spans="1:5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row>
    <row r="179" spans="1:5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row>
    <row r="180" spans="1:5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row>
    <row r="181" spans="1:5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row>
    <row r="182" spans="1:5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row>
    <row r="183" spans="1:5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row>
    <row r="184" spans="1:5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row>
    <row r="185" spans="1:5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row>
    <row r="186" spans="1:5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row>
    <row r="187" spans="1:5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row>
    <row r="188" spans="1:5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row>
    <row r="189" spans="1:5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row>
    <row r="190" spans="1:5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row>
    <row r="191" spans="1:5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row>
    <row r="192" spans="1:5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row>
    <row r="193" spans="1:5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row>
    <row r="194" spans="1:5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row>
    <row r="195" spans="1:5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row>
    <row r="196" spans="1:5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row>
    <row r="197" spans="1:5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row>
    <row r="198" spans="1:5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row>
    <row r="199" spans="1:5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row>
    <row r="200" spans="1:5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row>
    <row r="201" spans="1:54" x14ac:dyDescent="0.3">
      <c r="B201" s="4"/>
      <c r="AQ201" s="4"/>
      <c r="AR201" s="4"/>
    </row>
    <row r="202" spans="1:54" x14ac:dyDescent="0.3">
      <c r="B202" s="4"/>
      <c r="AQ202" s="4"/>
      <c r="AR202" s="4"/>
    </row>
    <row r="203" spans="1:54" x14ac:dyDescent="0.3">
      <c r="B203" s="4"/>
      <c r="AQ203" s="4"/>
      <c r="AR203" s="4"/>
    </row>
    <row r="204" spans="1:54" x14ac:dyDescent="0.3">
      <c r="B204" s="4"/>
      <c r="AQ204" s="4"/>
      <c r="AR204" s="4"/>
    </row>
    <row r="205" spans="1:54" x14ac:dyDescent="0.3">
      <c r="B205" s="4"/>
      <c r="AQ205" s="4"/>
      <c r="AR205" s="4"/>
    </row>
    <row r="206" spans="1:54" x14ac:dyDescent="0.3">
      <c r="AR206" s="4"/>
    </row>
  </sheetData>
  <pageMargins left="0.7" right="0.7" top="0.78740157499999996" bottom="0.78740157499999996"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43ACC-FE0D-47E0-8464-63F39BC9FAAA}">
  <sheetPr codeName="Tabelle15"/>
  <dimension ref="A13:F15"/>
  <sheetViews>
    <sheetView workbookViewId="0">
      <selection activeCell="A13" sqref="A13:F16"/>
    </sheetView>
  </sheetViews>
  <sheetFormatPr baseColWidth="10" defaultRowHeight="14.4" x14ac:dyDescent="0.3"/>
  <cols>
    <col min="1" max="1" width="18.21875" bestFit="1" customWidth="1"/>
    <col min="2" max="5" width="12.5546875" bestFit="1" customWidth="1"/>
    <col min="6" max="8" width="12.5546875" customWidth="1"/>
    <col min="9" max="9" width="12.5546875" bestFit="1" customWidth="1"/>
    <col min="10" max="10" width="20.44140625" bestFit="1" customWidth="1"/>
    <col min="11" max="11" width="12.5546875" bestFit="1" customWidth="1"/>
    <col min="12" max="17" width="12.5546875" customWidth="1"/>
    <col min="18" max="25" width="12.5546875" bestFit="1" customWidth="1"/>
    <col min="26" max="28" width="12.5546875" customWidth="1"/>
    <col min="29" max="33" width="12.5546875" bestFit="1" customWidth="1"/>
    <col min="34" max="36" width="12.5546875" customWidth="1"/>
    <col min="37" max="39" width="12.5546875" bestFit="1" customWidth="1"/>
    <col min="40" max="44" width="12.5546875" customWidth="1"/>
    <col min="45" max="47" width="12.5546875" bestFit="1" customWidth="1"/>
    <col min="48" max="52" width="13" bestFit="1" customWidth="1"/>
    <col min="53" max="54" width="12.5546875" customWidth="1"/>
    <col min="55" max="55" width="12.5546875" bestFit="1" customWidth="1"/>
    <col min="56" max="59" width="12.6640625" bestFit="1" customWidth="1"/>
    <col min="60" max="61" width="12.6640625" customWidth="1"/>
    <col min="62" max="66" width="12.6640625" bestFit="1" customWidth="1"/>
    <col min="67" max="69" width="12.6640625" customWidth="1"/>
    <col min="70" max="73" width="12.6640625" bestFit="1" customWidth="1"/>
    <col min="74" max="77" width="12.6640625" customWidth="1"/>
    <col min="78" max="78" width="12.6640625" bestFit="1" customWidth="1"/>
    <col min="79" max="79" width="12.6640625" customWidth="1"/>
    <col min="80" max="83" width="12.6640625" bestFit="1" customWidth="1"/>
    <col min="84" max="85" width="12.6640625" customWidth="1"/>
    <col min="86" max="86" width="12.6640625" bestFit="1" customWidth="1"/>
    <col min="87" max="89" width="12.6640625" customWidth="1"/>
    <col min="90" max="94" width="12.6640625" bestFit="1" customWidth="1"/>
    <col min="95" max="96" width="12.6640625" customWidth="1"/>
    <col min="97" max="100" width="12.6640625" bestFit="1" customWidth="1"/>
    <col min="101" max="102" width="12.6640625" customWidth="1"/>
    <col min="103" max="103" width="12.6640625" bestFit="1" customWidth="1"/>
    <col min="104" max="104" width="12.6640625" customWidth="1"/>
    <col min="105" max="107" width="12.6640625" bestFit="1" customWidth="1"/>
    <col min="108" max="114" width="12.6640625" customWidth="1"/>
    <col min="115" max="121" width="12.6640625" bestFit="1" customWidth="1"/>
    <col min="122" max="124" width="12.6640625" customWidth="1"/>
    <col min="125" max="128" width="12.6640625" bestFit="1" customWidth="1"/>
    <col min="129" max="130" width="12.6640625" customWidth="1"/>
    <col min="131" max="131" width="12.6640625" bestFit="1" customWidth="1"/>
    <col min="132" max="134" width="12.6640625" customWidth="1"/>
    <col min="135" max="138" width="12.6640625" bestFit="1" customWidth="1"/>
    <col min="139" max="140" width="12.6640625" customWidth="1"/>
    <col min="141" max="141" width="12.6640625" bestFit="1" customWidth="1"/>
    <col min="142" max="144" width="12.6640625" customWidth="1"/>
    <col min="145" max="149" width="12.6640625" bestFit="1" customWidth="1"/>
    <col min="150" max="152" width="12.6640625" customWidth="1"/>
    <col min="153" max="157" width="12.6640625" bestFit="1" customWidth="1"/>
    <col min="158" max="159" width="12.6640625" customWidth="1"/>
    <col min="160" max="162" width="12.6640625" bestFit="1" customWidth="1"/>
    <col min="163" max="168" width="12.6640625" customWidth="1"/>
    <col min="169" max="170" width="12.6640625" bestFit="1" customWidth="1"/>
    <col min="171" max="172" width="12.6640625" customWidth="1"/>
    <col min="173" max="182" width="12.6640625" bestFit="1" customWidth="1"/>
    <col min="183" max="184" width="12.6640625" customWidth="1"/>
    <col min="185" max="185" width="12.6640625" bestFit="1" customWidth="1"/>
    <col min="186" max="186" width="21.6640625" bestFit="1" customWidth="1"/>
    <col min="187" max="195" width="12.6640625" bestFit="1" customWidth="1"/>
    <col min="196" max="198" width="12.6640625" customWidth="1"/>
    <col min="199" max="203" width="12.6640625" bestFit="1" customWidth="1"/>
    <col min="204" max="204" width="12.6640625" customWidth="1"/>
    <col min="205" max="213" width="12.6640625" bestFit="1" customWidth="1"/>
    <col min="214" max="218" width="12.6640625" customWidth="1"/>
    <col min="219" max="219" width="12.6640625" bestFit="1" customWidth="1"/>
    <col min="220" max="222" width="12.6640625" customWidth="1"/>
    <col min="223" max="226" width="12.6640625" bestFit="1" customWidth="1"/>
    <col min="227" max="237" width="12.6640625" customWidth="1"/>
    <col min="238" max="238" width="12.6640625" bestFit="1" customWidth="1"/>
    <col min="239" max="240" width="12.6640625" customWidth="1"/>
    <col min="241" max="245" width="12.6640625" bestFit="1" customWidth="1"/>
    <col min="246" max="248" width="12.6640625" customWidth="1"/>
    <col min="249" max="272" width="12.6640625" bestFit="1" customWidth="1"/>
    <col min="273" max="274" width="12.109375" bestFit="1" customWidth="1"/>
    <col min="275" max="275" width="13.109375" bestFit="1" customWidth="1"/>
    <col min="276" max="276" width="14.109375" bestFit="1" customWidth="1"/>
    <col min="277" max="277" width="15.109375" bestFit="1" customWidth="1"/>
    <col min="278" max="279" width="14.109375" bestFit="1" customWidth="1"/>
    <col min="280" max="282" width="15.109375" bestFit="1" customWidth="1"/>
    <col min="283" max="285" width="14.109375" bestFit="1" customWidth="1"/>
    <col min="286" max="288" width="13.109375" bestFit="1" customWidth="1"/>
    <col min="289" max="291" width="14.109375" bestFit="1" customWidth="1"/>
    <col min="292" max="292" width="15.109375" bestFit="1" customWidth="1"/>
    <col min="293" max="293" width="14.109375" bestFit="1" customWidth="1"/>
    <col min="294" max="294" width="13.109375" bestFit="1" customWidth="1"/>
    <col min="295" max="296" width="14.109375" bestFit="1" customWidth="1"/>
    <col min="297" max="297" width="13.109375" bestFit="1" customWidth="1"/>
    <col min="298" max="298" width="12.109375" bestFit="1" customWidth="1"/>
    <col min="299" max="299" width="14.109375" bestFit="1" customWidth="1"/>
    <col min="300" max="301" width="15.109375" bestFit="1" customWidth="1"/>
    <col min="302" max="303" width="14.109375" bestFit="1" customWidth="1"/>
    <col min="304" max="306" width="15.109375" bestFit="1" customWidth="1"/>
    <col min="307" max="308" width="14.109375" bestFit="1" customWidth="1"/>
    <col min="309" max="310" width="15.109375" bestFit="1" customWidth="1"/>
    <col min="311" max="312" width="14.109375" bestFit="1" customWidth="1"/>
    <col min="313" max="313" width="15.109375" bestFit="1" customWidth="1"/>
    <col min="314" max="317" width="14.109375" bestFit="1" customWidth="1"/>
    <col min="318" max="319" width="15.109375" bestFit="1" customWidth="1"/>
    <col min="320" max="321" width="14.109375" bestFit="1" customWidth="1"/>
    <col min="322" max="323" width="15.109375" bestFit="1" customWidth="1"/>
    <col min="324" max="325" width="14.109375" bestFit="1" customWidth="1"/>
    <col min="326" max="328" width="15.109375" bestFit="1" customWidth="1"/>
    <col min="329" max="329" width="14.109375" bestFit="1" customWidth="1"/>
    <col min="330" max="330" width="13.109375" bestFit="1" customWidth="1"/>
    <col min="331" max="333" width="14.109375" bestFit="1" customWidth="1"/>
    <col min="334" max="335" width="13.109375" bestFit="1" customWidth="1"/>
    <col min="336" max="338" width="14.109375" bestFit="1" customWidth="1"/>
    <col min="339" max="340" width="13.109375" bestFit="1" customWidth="1"/>
    <col min="341" max="343" width="14.109375" bestFit="1" customWidth="1"/>
    <col min="344" max="345" width="13.109375" bestFit="1" customWidth="1"/>
    <col min="346" max="348" width="14.109375" bestFit="1" customWidth="1"/>
    <col min="349" max="349" width="13.109375" bestFit="1" customWidth="1"/>
    <col min="350" max="350" width="12.109375" bestFit="1" customWidth="1"/>
    <col min="351" max="353" width="13.109375" bestFit="1" customWidth="1"/>
    <col min="354" max="354" width="12.109375" bestFit="1" customWidth="1"/>
    <col min="355" max="357" width="11.109375" bestFit="1" customWidth="1"/>
    <col min="358" max="359" width="12.109375" bestFit="1" customWidth="1"/>
    <col min="360" max="360" width="11.109375" bestFit="1" customWidth="1"/>
    <col min="361" max="366" width="12.109375" bestFit="1" customWidth="1"/>
    <col min="367" max="367" width="11.109375" bestFit="1" customWidth="1"/>
    <col min="368" max="368" width="15.109375" bestFit="1" customWidth="1"/>
    <col min="369" max="369" width="14.109375" bestFit="1" customWidth="1"/>
    <col min="370" max="370" width="13.109375" bestFit="1" customWidth="1"/>
    <col min="371" max="373" width="14.109375" bestFit="1" customWidth="1"/>
    <col min="374" max="374" width="13.109375" bestFit="1" customWidth="1"/>
    <col min="375" max="377" width="12.109375" bestFit="1" customWidth="1"/>
    <col min="378" max="380" width="14.109375" bestFit="1" customWidth="1"/>
    <col min="381" max="388" width="13.109375" bestFit="1" customWidth="1"/>
    <col min="389" max="389" width="12.109375" bestFit="1" customWidth="1"/>
    <col min="390" max="391" width="11.109375" bestFit="1" customWidth="1"/>
    <col min="392" max="392" width="12.109375" bestFit="1" customWidth="1"/>
    <col min="393" max="393" width="14.109375" bestFit="1" customWidth="1"/>
    <col min="394" max="396" width="15.109375" bestFit="1" customWidth="1"/>
    <col min="397" max="398" width="14.109375" bestFit="1" customWidth="1"/>
    <col min="399" max="401" width="15.109375" bestFit="1" customWidth="1"/>
    <col min="402" max="403" width="14.109375" bestFit="1" customWidth="1"/>
    <col min="404" max="408" width="15.109375" bestFit="1" customWidth="1"/>
    <col min="409" max="410" width="14.109375" bestFit="1" customWidth="1"/>
    <col min="411" max="411" width="15.109375" bestFit="1" customWidth="1"/>
    <col min="412" max="414" width="14.109375" bestFit="1" customWidth="1"/>
    <col min="415" max="415" width="13.109375" bestFit="1" customWidth="1"/>
    <col min="416" max="418" width="14.109375" bestFit="1" customWidth="1"/>
    <col min="419" max="420" width="13.109375" bestFit="1" customWidth="1"/>
    <col min="421" max="423" width="14.109375" bestFit="1" customWidth="1"/>
    <col min="424" max="425" width="13.109375" bestFit="1" customWidth="1"/>
    <col min="426" max="428" width="14.109375" bestFit="1" customWidth="1"/>
    <col min="429" max="430" width="13.109375" bestFit="1" customWidth="1"/>
    <col min="431" max="433" width="14.109375" bestFit="1" customWidth="1"/>
    <col min="434" max="434" width="13.109375" bestFit="1" customWidth="1"/>
    <col min="435" max="435" width="12.109375" bestFit="1" customWidth="1"/>
    <col min="436" max="441" width="13.109375" bestFit="1" customWidth="1"/>
    <col min="442" max="442" width="12.109375" bestFit="1" customWidth="1"/>
    <col min="443" max="444" width="11.109375" bestFit="1" customWidth="1"/>
    <col min="445" max="447" width="12.109375" bestFit="1" customWidth="1"/>
    <col min="448" max="448" width="11.109375" bestFit="1" customWidth="1"/>
    <col min="449" max="450" width="14.109375" bestFit="1" customWidth="1"/>
    <col min="451" max="451" width="13.109375" bestFit="1" customWidth="1"/>
    <col min="452" max="454" width="14.109375" bestFit="1" customWidth="1"/>
    <col min="455" max="456" width="13.109375" bestFit="1" customWidth="1"/>
    <col min="457" max="459" width="14.109375" bestFit="1" customWidth="1"/>
    <col min="460" max="461" width="13.109375" bestFit="1" customWidth="1"/>
    <col min="462" max="464" width="14.109375" bestFit="1" customWidth="1"/>
    <col min="465" max="466" width="13.109375" bestFit="1" customWidth="1"/>
    <col min="467" max="469" width="14.109375" bestFit="1" customWidth="1"/>
    <col min="470" max="470" width="13.109375" bestFit="1" customWidth="1"/>
    <col min="471" max="471" width="12.109375" bestFit="1" customWidth="1"/>
    <col min="472" max="477" width="13.109375" bestFit="1" customWidth="1"/>
    <col min="478" max="478" width="12.109375" bestFit="1" customWidth="1"/>
    <col min="479" max="480" width="11.109375" bestFit="1" customWidth="1"/>
    <col min="481" max="483" width="12.109375" bestFit="1" customWidth="1"/>
    <col min="484" max="484" width="11.109375" bestFit="1" customWidth="1"/>
  </cols>
  <sheetData>
    <row r="13" spans="1:6" x14ac:dyDescent="0.3">
      <c r="A13" t="s">
        <v>12</v>
      </c>
      <c r="B13" t="s">
        <v>295</v>
      </c>
      <c r="C13" t="s">
        <v>292</v>
      </c>
      <c r="D13" t="s">
        <v>289</v>
      </c>
      <c r="E13" t="s">
        <v>279</v>
      </c>
      <c r="F13" t="s">
        <v>280</v>
      </c>
    </row>
    <row r="14" spans="1:6" x14ac:dyDescent="0.3">
      <c r="A14" s="92" t="s">
        <v>281</v>
      </c>
      <c r="B14" s="92" t="s">
        <v>296</v>
      </c>
      <c r="C14" s="92" t="s">
        <v>293</v>
      </c>
      <c r="D14" s="92" t="s">
        <v>290</v>
      </c>
      <c r="E14" s="92" t="s">
        <v>282</v>
      </c>
      <c r="F14" s="92" t="s">
        <v>283</v>
      </c>
    </row>
    <row r="15" spans="1:6" x14ac:dyDescent="0.3">
      <c r="A15" s="92" t="s">
        <v>284</v>
      </c>
      <c r="B15" s="92" t="s">
        <v>297</v>
      </c>
      <c r="C15" s="92" t="s">
        <v>294</v>
      </c>
      <c r="D15" s="92" t="s">
        <v>291</v>
      </c>
      <c r="E15" s="92" t="s">
        <v>285</v>
      </c>
      <c r="F15" s="92" t="s">
        <v>286</v>
      </c>
    </row>
  </sheetData>
  <phoneticPr fontId="25" type="noConversion"/>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185E-AA76-4187-9FAD-E5A70E9034DC}">
  <sheetPr codeName="Tabelle12"/>
  <dimension ref="A1:F6"/>
  <sheetViews>
    <sheetView workbookViewId="0">
      <selection sqref="A1:F6"/>
    </sheetView>
  </sheetViews>
  <sheetFormatPr baseColWidth="10" defaultRowHeight="14.4" x14ac:dyDescent="0.3"/>
  <cols>
    <col min="1" max="1" width="20.33203125" bestFit="1" customWidth="1"/>
    <col min="2" max="2" width="11.5546875" bestFit="1" customWidth="1"/>
    <col min="4" max="4" width="7.88671875" bestFit="1" customWidth="1"/>
    <col min="5" max="5" width="9.88671875" bestFit="1" customWidth="1"/>
    <col min="6" max="6" width="6.6640625" bestFit="1" customWidth="1"/>
  </cols>
  <sheetData>
    <row r="1" spans="1:6" x14ac:dyDescent="0.3">
      <c r="A1" t="s">
        <v>65</v>
      </c>
      <c r="B1" t="s">
        <v>66</v>
      </c>
      <c r="C1" t="s">
        <v>113</v>
      </c>
      <c r="D1" t="s">
        <v>68</v>
      </c>
      <c r="E1" t="s">
        <v>67</v>
      </c>
      <c r="F1" t="s">
        <v>61</v>
      </c>
    </row>
    <row r="2" spans="1:6" x14ac:dyDescent="0.3">
      <c r="A2" t="s">
        <v>177</v>
      </c>
      <c r="B2" t="s">
        <v>183</v>
      </c>
      <c r="C2" t="s">
        <v>184</v>
      </c>
      <c r="D2">
        <v>65</v>
      </c>
      <c r="E2">
        <v>2747</v>
      </c>
    </row>
    <row r="3" spans="1:6" x14ac:dyDescent="0.3">
      <c r="A3" t="s">
        <v>94</v>
      </c>
      <c r="B3" t="s">
        <v>185</v>
      </c>
      <c r="C3" t="s">
        <v>179</v>
      </c>
      <c r="D3">
        <v>-15</v>
      </c>
      <c r="E3">
        <v>-650</v>
      </c>
    </row>
    <row r="4" spans="1:6" x14ac:dyDescent="0.3">
      <c r="A4" t="s">
        <v>69</v>
      </c>
      <c r="B4" t="s">
        <v>186</v>
      </c>
      <c r="C4" t="s">
        <v>180</v>
      </c>
      <c r="D4">
        <v>-10</v>
      </c>
      <c r="E4">
        <v>-433</v>
      </c>
    </row>
    <row r="5" spans="1:6" x14ac:dyDescent="0.3">
      <c r="A5" t="s">
        <v>175</v>
      </c>
      <c r="B5" s="88" t="s">
        <v>187</v>
      </c>
      <c r="C5" t="s">
        <v>181</v>
      </c>
      <c r="D5">
        <v>-13</v>
      </c>
      <c r="E5">
        <v>-565</v>
      </c>
    </row>
    <row r="6" spans="1:6" x14ac:dyDescent="0.3">
      <c r="A6" t="s">
        <v>99</v>
      </c>
      <c r="B6" t="s">
        <v>188</v>
      </c>
      <c r="C6" t="s">
        <v>182</v>
      </c>
      <c r="D6">
        <v>25</v>
      </c>
      <c r="E6">
        <v>1046</v>
      </c>
    </row>
  </sheetData>
  <phoneticPr fontId="25" type="noConversion"/>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FD252-F099-4458-903E-B1CF816E5233}">
  <sheetPr codeName="Tabelle14"/>
  <dimension ref="A1:B11"/>
  <sheetViews>
    <sheetView workbookViewId="0">
      <selection sqref="A1:B11"/>
    </sheetView>
  </sheetViews>
  <sheetFormatPr baseColWidth="10" defaultRowHeight="14.4" x14ac:dyDescent="0.3"/>
  <cols>
    <col min="1" max="2" width="10.77734375" bestFit="1" customWidth="1"/>
  </cols>
  <sheetData>
    <row r="1" spans="1:2" x14ac:dyDescent="0.3">
      <c r="A1" t="s">
        <v>12</v>
      </c>
      <c r="B1" t="s">
        <v>13</v>
      </c>
    </row>
    <row r="2" spans="1:2" x14ac:dyDescent="0.3">
      <c r="A2">
        <v>18102023</v>
      </c>
      <c r="B2">
        <v>3.993E-2</v>
      </c>
    </row>
    <row r="3" spans="1:2" x14ac:dyDescent="0.3">
      <c r="A3">
        <v>17102023</v>
      </c>
      <c r="B3">
        <v>3.9719999999999998E-2</v>
      </c>
    </row>
    <row r="4" spans="1:2" x14ac:dyDescent="0.3">
      <c r="A4">
        <v>16102023</v>
      </c>
      <c r="B4">
        <v>3.9750000000000001E-2</v>
      </c>
    </row>
    <row r="5" spans="1:2" x14ac:dyDescent="0.3">
      <c r="A5">
        <v>13102023</v>
      </c>
      <c r="B5">
        <v>3.9849999999999997E-2</v>
      </c>
    </row>
    <row r="6" spans="1:2" x14ac:dyDescent="0.3">
      <c r="A6">
        <v>12102023</v>
      </c>
      <c r="B6">
        <v>3.9649999999999998E-2</v>
      </c>
    </row>
    <row r="7" spans="1:2" x14ac:dyDescent="0.3">
      <c r="A7">
        <v>11102023</v>
      </c>
      <c r="B7">
        <v>3.952E-2</v>
      </c>
    </row>
    <row r="8" spans="1:2" x14ac:dyDescent="0.3">
      <c r="A8">
        <v>10102023</v>
      </c>
      <c r="B8">
        <v>3.9879999999999999E-2</v>
      </c>
    </row>
    <row r="9" spans="1:2" x14ac:dyDescent="0.3">
      <c r="A9">
        <v>9102023</v>
      </c>
      <c r="B9">
        <v>3.9800000000000002E-2</v>
      </c>
    </row>
    <row r="10" spans="1:2" x14ac:dyDescent="0.3">
      <c r="A10">
        <v>6102023</v>
      </c>
      <c r="B10">
        <v>3.9829999999999997E-2</v>
      </c>
    </row>
    <row r="11" spans="1:2" x14ac:dyDescent="0.3">
      <c r="A11">
        <v>5102023</v>
      </c>
      <c r="B11">
        <v>3.9719999999999998E-2</v>
      </c>
    </row>
  </sheetData>
  <phoneticPr fontId="25" type="noConversion"/>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23910-D5F9-4587-8D4A-0DD04333D23C}">
  <sheetPr codeName="Tabelle7"/>
  <dimension ref="A1:F11"/>
  <sheetViews>
    <sheetView workbookViewId="0">
      <selection sqref="A1:F11"/>
    </sheetView>
  </sheetViews>
  <sheetFormatPr baseColWidth="10" defaultRowHeight="14.4" x14ac:dyDescent="0.3"/>
  <cols>
    <col min="1" max="1" width="9.33203125" bestFit="1" customWidth="1"/>
    <col min="2" max="2" width="9.6640625" bestFit="1" customWidth="1"/>
    <col min="3" max="3" width="7.88671875" bestFit="1" customWidth="1"/>
    <col min="4" max="4" width="8.33203125" bestFit="1" customWidth="1"/>
    <col min="5" max="5" width="9.6640625" bestFit="1" customWidth="1"/>
    <col min="6" max="6" width="7.88671875" bestFit="1" customWidth="1"/>
  </cols>
  <sheetData>
    <row r="1" spans="1:6" ht="43.2" x14ac:dyDescent="0.3">
      <c r="A1" t="s">
        <v>60</v>
      </c>
      <c r="B1" s="25" t="s">
        <v>116</v>
      </c>
      <c r="C1" s="25" t="s">
        <v>117</v>
      </c>
      <c r="D1" t="s">
        <v>118</v>
      </c>
      <c r="E1" t="s">
        <v>119</v>
      </c>
      <c r="F1" t="s">
        <v>120</v>
      </c>
    </row>
    <row r="2" spans="1:6" ht="86.4" x14ac:dyDescent="0.3">
      <c r="A2">
        <v>17052023</v>
      </c>
      <c r="B2" s="25" t="s">
        <v>233</v>
      </c>
      <c r="C2" s="25" t="s">
        <v>234</v>
      </c>
      <c r="D2">
        <v>4293.57</v>
      </c>
      <c r="E2">
        <v>4323.2299999999996</v>
      </c>
      <c r="F2">
        <v>1.8E-3</v>
      </c>
    </row>
    <row r="3" spans="1:6" ht="86.4" x14ac:dyDescent="0.3">
      <c r="A3">
        <v>16052023</v>
      </c>
      <c r="B3" s="25" t="s">
        <v>235</v>
      </c>
      <c r="C3" s="25" t="s">
        <v>236</v>
      </c>
      <c r="D3">
        <v>4298.3100000000004</v>
      </c>
      <c r="E3">
        <v>4315.51</v>
      </c>
      <c r="F3">
        <v>-2.0000000000000001E-4</v>
      </c>
    </row>
    <row r="4" spans="1:6" ht="86.4" x14ac:dyDescent="0.3">
      <c r="A4">
        <v>15052023</v>
      </c>
      <c r="B4" s="25" t="s">
        <v>231</v>
      </c>
      <c r="C4" s="25" t="s">
        <v>232</v>
      </c>
      <c r="D4">
        <v>4302.76</v>
      </c>
      <c r="E4">
        <v>4316.41</v>
      </c>
      <c r="F4">
        <v>-2.9999999999999997E-4</v>
      </c>
    </row>
    <row r="5" spans="1:6" ht="86.4" x14ac:dyDescent="0.3">
      <c r="A5">
        <v>12052023</v>
      </c>
      <c r="B5" s="25" t="s">
        <v>217</v>
      </c>
      <c r="C5" s="25" t="s">
        <v>218</v>
      </c>
      <c r="D5">
        <v>4304.07</v>
      </c>
      <c r="E5">
        <v>4317.88</v>
      </c>
      <c r="F5">
        <v>1.9E-3</v>
      </c>
    </row>
    <row r="6" spans="1:6" ht="86.4" x14ac:dyDescent="0.3">
      <c r="A6">
        <v>11052023</v>
      </c>
      <c r="B6" s="25" t="s">
        <v>219</v>
      </c>
      <c r="C6" s="25" t="s">
        <v>220</v>
      </c>
      <c r="D6">
        <v>4281.6899999999996</v>
      </c>
      <c r="E6">
        <v>4309.75</v>
      </c>
      <c r="F6">
        <v>6.9999999999999999E-4</v>
      </c>
    </row>
    <row r="7" spans="1:6" ht="86.4" x14ac:dyDescent="0.3">
      <c r="A7">
        <v>10052023</v>
      </c>
      <c r="B7" s="25" t="s">
        <v>221</v>
      </c>
      <c r="C7" s="25" t="s">
        <v>222</v>
      </c>
      <c r="D7">
        <v>4293.21</v>
      </c>
      <c r="E7">
        <v>4306.76</v>
      </c>
      <c r="F7">
        <v>-3.8E-3</v>
      </c>
    </row>
    <row r="8" spans="1:6" ht="86.4" x14ac:dyDescent="0.3">
      <c r="A8">
        <v>9052023</v>
      </c>
      <c r="B8" s="25" t="s">
        <v>223</v>
      </c>
      <c r="C8" s="25" t="s">
        <v>224</v>
      </c>
      <c r="D8">
        <v>4305.3100000000004</v>
      </c>
      <c r="E8">
        <v>4323.09</v>
      </c>
      <c r="F8">
        <v>-5.8999999999999999E-3</v>
      </c>
    </row>
    <row r="9" spans="1:6" ht="86.4" x14ac:dyDescent="0.3">
      <c r="A9">
        <v>8052023</v>
      </c>
      <c r="B9" s="25" t="s">
        <v>225</v>
      </c>
      <c r="C9" s="25" t="s">
        <v>226</v>
      </c>
      <c r="D9">
        <v>4334.13</v>
      </c>
      <c r="E9">
        <v>4348.6499999999996</v>
      </c>
      <c r="F9">
        <v>1.9E-3</v>
      </c>
    </row>
    <row r="10" spans="1:6" ht="86.4" x14ac:dyDescent="0.3">
      <c r="A10">
        <v>5052023</v>
      </c>
      <c r="B10" s="25" t="s">
        <v>227</v>
      </c>
      <c r="C10" s="25" t="s">
        <v>228</v>
      </c>
      <c r="D10">
        <v>4280.92</v>
      </c>
      <c r="E10">
        <v>4340.43</v>
      </c>
      <c r="F10">
        <v>1.2500000000000001E-2</v>
      </c>
    </row>
    <row r="11" spans="1:6" ht="86.4" x14ac:dyDescent="0.3">
      <c r="A11">
        <v>4052023</v>
      </c>
      <c r="B11" s="25" t="s">
        <v>229</v>
      </c>
      <c r="C11" s="25" t="s">
        <v>230</v>
      </c>
      <c r="D11">
        <v>4264.41</v>
      </c>
      <c r="E11">
        <v>4287.03</v>
      </c>
      <c r="F11">
        <v>-5.4000000000000003E-3</v>
      </c>
    </row>
  </sheetData>
  <phoneticPr fontId="25" type="noConversion"/>
  <pageMargins left="0.7" right="0.7" top="0.78740157499999996" bottom="0.78740157499999996"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87D7F-CD88-40FB-87D5-AEC211CF1937}">
  <sheetPr codeName="Tabelle2"/>
  <dimension ref="A1:G21"/>
  <sheetViews>
    <sheetView workbookViewId="0">
      <selection sqref="A1:G21"/>
    </sheetView>
  </sheetViews>
  <sheetFormatPr baseColWidth="10" defaultRowHeight="14.4" x14ac:dyDescent="0.3"/>
  <cols>
    <col min="1" max="1" width="11.109375" bestFit="1" customWidth="1"/>
    <col min="2" max="2" width="9.109375" bestFit="1" customWidth="1"/>
    <col min="3" max="3" width="12" bestFit="1" customWidth="1"/>
    <col min="4" max="4" width="7.6640625" bestFit="1" customWidth="1"/>
    <col min="5" max="5" width="6.6640625" bestFit="1" customWidth="1"/>
    <col min="6" max="6" width="13.44140625" bestFit="1" customWidth="1"/>
    <col min="7" max="7" width="11.44140625" bestFit="1" customWidth="1"/>
  </cols>
  <sheetData>
    <row r="1" spans="1:7" x14ac:dyDescent="0.3">
      <c r="A1" t="s">
        <v>12</v>
      </c>
      <c r="B1" t="s">
        <v>60</v>
      </c>
      <c r="C1" t="s">
        <v>0</v>
      </c>
      <c r="D1" t="s">
        <v>125</v>
      </c>
      <c r="E1" t="s">
        <v>118</v>
      </c>
      <c r="F1" t="s">
        <v>59</v>
      </c>
      <c r="G1" t="s">
        <v>126</v>
      </c>
    </row>
    <row r="2" spans="1:7" x14ac:dyDescent="0.3">
      <c r="A2" t="s">
        <v>121</v>
      </c>
      <c r="B2">
        <v>25052021</v>
      </c>
      <c r="C2">
        <v>19.16</v>
      </c>
      <c r="D2">
        <v>19.66</v>
      </c>
      <c r="E2">
        <v>18.64</v>
      </c>
      <c r="F2">
        <v>19.079999999999998</v>
      </c>
      <c r="G2">
        <v>0</v>
      </c>
    </row>
    <row r="3" spans="1:7" x14ac:dyDescent="0.3">
      <c r="A3" t="s">
        <v>121</v>
      </c>
      <c r="B3">
        <v>21052021</v>
      </c>
      <c r="C3">
        <v>21.51</v>
      </c>
      <c r="D3">
        <v>23.12</v>
      </c>
      <c r="E3">
        <v>20.3</v>
      </c>
      <c r="F3">
        <v>20.350000000000001</v>
      </c>
      <c r="G3">
        <v>0</v>
      </c>
    </row>
    <row r="4" spans="1:7" x14ac:dyDescent="0.3">
      <c r="A4" t="s">
        <v>121</v>
      </c>
      <c r="B4">
        <v>20052021</v>
      </c>
      <c r="C4">
        <v>22.8</v>
      </c>
      <c r="D4">
        <v>24.79</v>
      </c>
      <c r="E4">
        <v>22.05</v>
      </c>
      <c r="F4">
        <v>22.1</v>
      </c>
      <c r="G4">
        <v>0</v>
      </c>
    </row>
    <row r="5" spans="1:7" x14ac:dyDescent="0.3">
      <c r="A5" t="s">
        <v>121</v>
      </c>
      <c r="B5">
        <v>19052021</v>
      </c>
      <c r="C5">
        <v>23.78</v>
      </c>
      <c r="D5">
        <v>27.87</v>
      </c>
      <c r="E5">
        <v>23.09</v>
      </c>
      <c r="F5">
        <v>24.48</v>
      </c>
      <c r="G5">
        <v>0</v>
      </c>
    </row>
    <row r="6" spans="1:7" x14ac:dyDescent="0.3">
      <c r="A6" t="s">
        <v>121</v>
      </c>
      <c r="B6">
        <v>18052021</v>
      </c>
      <c r="C6">
        <v>20.22</v>
      </c>
      <c r="D6">
        <v>22.6</v>
      </c>
      <c r="E6">
        <v>19.809999999999999</v>
      </c>
      <c r="F6">
        <v>21.31</v>
      </c>
      <c r="G6">
        <v>0</v>
      </c>
    </row>
    <row r="7" spans="1:7" x14ac:dyDescent="0.3">
      <c r="A7" t="s">
        <v>121</v>
      </c>
      <c r="B7">
        <v>17052021</v>
      </c>
      <c r="C7">
        <v>19.66</v>
      </c>
      <c r="D7">
        <v>22.03</v>
      </c>
      <c r="E7">
        <v>19.66</v>
      </c>
      <c r="F7">
        <v>21.81</v>
      </c>
      <c r="G7">
        <v>0</v>
      </c>
    </row>
    <row r="8" spans="1:7" x14ac:dyDescent="0.3">
      <c r="A8" t="s">
        <v>121</v>
      </c>
      <c r="B8">
        <v>14052021</v>
      </c>
      <c r="C8">
        <v>21.48</v>
      </c>
      <c r="D8">
        <v>22.03</v>
      </c>
      <c r="E8">
        <v>19.5</v>
      </c>
      <c r="F8">
        <v>19.55</v>
      </c>
      <c r="G8">
        <v>0</v>
      </c>
    </row>
    <row r="9" spans="1:7" x14ac:dyDescent="0.3">
      <c r="A9" t="s">
        <v>121</v>
      </c>
      <c r="B9">
        <v>13052021</v>
      </c>
      <c r="C9">
        <v>26.07</v>
      </c>
      <c r="D9">
        <v>28.27</v>
      </c>
      <c r="E9">
        <v>22.27</v>
      </c>
      <c r="F9">
        <v>23.35</v>
      </c>
      <c r="G9">
        <v>0</v>
      </c>
    </row>
    <row r="10" spans="1:7" x14ac:dyDescent="0.3">
      <c r="A10" t="s">
        <v>121</v>
      </c>
      <c r="B10">
        <v>12052021</v>
      </c>
      <c r="C10">
        <v>23.09</v>
      </c>
      <c r="D10">
        <v>23.96</v>
      </c>
      <c r="E10">
        <v>21.95</v>
      </c>
      <c r="F10">
        <v>23.94</v>
      </c>
      <c r="G10">
        <v>0</v>
      </c>
    </row>
    <row r="11" spans="1:7" x14ac:dyDescent="0.3">
      <c r="A11" t="s">
        <v>121</v>
      </c>
      <c r="B11">
        <v>11052021</v>
      </c>
      <c r="C11">
        <v>21.72</v>
      </c>
      <c r="D11">
        <v>23.89</v>
      </c>
      <c r="E11">
        <v>21.15</v>
      </c>
      <c r="F11">
        <v>22.56</v>
      </c>
      <c r="G11">
        <v>0</v>
      </c>
    </row>
    <row r="12" spans="1:7" x14ac:dyDescent="0.3">
      <c r="A12" t="s">
        <v>121</v>
      </c>
      <c r="B12">
        <v>10052021</v>
      </c>
      <c r="C12">
        <v>18.7</v>
      </c>
      <c r="D12">
        <v>19</v>
      </c>
      <c r="E12">
        <v>18.29</v>
      </c>
      <c r="F12">
        <v>18.5</v>
      </c>
      <c r="G12">
        <v>0</v>
      </c>
    </row>
    <row r="13" spans="1:7" x14ac:dyDescent="0.3">
      <c r="A13" t="s">
        <v>121</v>
      </c>
      <c r="B13">
        <v>7052021</v>
      </c>
      <c r="C13">
        <v>19.77</v>
      </c>
      <c r="D13">
        <v>20.11</v>
      </c>
      <c r="E13">
        <v>18.37</v>
      </c>
      <c r="F13">
        <v>18.38</v>
      </c>
      <c r="G13">
        <v>0</v>
      </c>
    </row>
    <row r="14" spans="1:7" x14ac:dyDescent="0.3">
      <c r="A14" t="s">
        <v>121</v>
      </c>
      <c r="B14">
        <v>6052021</v>
      </c>
      <c r="C14">
        <v>19.170000000000002</v>
      </c>
      <c r="D14">
        <v>21.49</v>
      </c>
      <c r="E14">
        <v>19.14</v>
      </c>
      <c r="F14">
        <v>20.38</v>
      </c>
      <c r="G14">
        <v>0</v>
      </c>
    </row>
    <row r="15" spans="1:7" x14ac:dyDescent="0.3">
      <c r="A15" t="s">
        <v>121</v>
      </c>
      <c r="B15">
        <v>5052021</v>
      </c>
      <c r="C15">
        <v>20.6</v>
      </c>
      <c r="D15">
        <v>20.73</v>
      </c>
      <c r="E15">
        <v>19.82</v>
      </c>
      <c r="F15">
        <v>19.899999999999999</v>
      </c>
      <c r="G15">
        <v>0</v>
      </c>
    </row>
    <row r="16" spans="1:7" x14ac:dyDescent="0.3">
      <c r="A16" t="s">
        <v>121</v>
      </c>
      <c r="B16">
        <v>4052021</v>
      </c>
      <c r="C16">
        <v>19.079999999999998</v>
      </c>
      <c r="D16">
        <v>22.98</v>
      </c>
      <c r="E16">
        <v>18.850000000000001</v>
      </c>
      <c r="F16">
        <v>22.82</v>
      </c>
      <c r="G16">
        <v>0</v>
      </c>
    </row>
    <row r="17" spans="1:7" x14ac:dyDescent="0.3">
      <c r="A17" t="s">
        <v>121</v>
      </c>
      <c r="B17">
        <v>3052021</v>
      </c>
      <c r="C17">
        <v>20.48</v>
      </c>
      <c r="D17">
        <v>21.66</v>
      </c>
      <c r="E17">
        <v>19.55</v>
      </c>
      <c r="F17">
        <v>19.93</v>
      </c>
      <c r="G17">
        <v>0</v>
      </c>
    </row>
    <row r="18" spans="1:7" x14ac:dyDescent="0.3">
      <c r="A18" t="s">
        <v>121</v>
      </c>
      <c r="B18">
        <v>30042021</v>
      </c>
      <c r="C18">
        <v>18.45</v>
      </c>
      <c r="D18">
        <v>20.65</v>
      </c>
      <c r="E18">
        <v>18.34</v>
      </c>
      <c r="F18">
        <v>20.63</v>
      </c>
      <c r="G18">
        <v>0</v>
      </c>
    </row>
    <row r="19" spans="1:7" x14ac:dyDescent="0.3">
      <c r="A19" t="s">
        <v>121</v>
      </c>
      <c r="B19">
        <v>29042021</v>
      </c>
      <c r="C19">
        <v>18</v>
      </c>
      <c r="D19">
        <v>19.670000000000002</v>
      </c>
      <c r="E19">
        <v>17.399999999999999</v>
      </c>
      <c r="F19">
        <v>18.88</v>
      </c>
      <c r="G19">
        <v>0</v>
      </c>
    </row>
    <row r="20" spans="1:7" x14ac:dyDescent="0.3">
      <c r="A20" t="s">
        <v>121</v>
      </c>
      <c r="B20">
        <v>28042021</v>
      </c>
      <c r="C20">
        <v>18.57</v>
      </c>
      <c r="D20">
        <v>18.78</v>
      </c>
      <c r="E20">
        <v>17.920000000000002</v>
      </c>
      <c r="F20">
        <v>18.38</v>
      </c>
      <c r="G20">
        <v>0</v>
      </c>
    </row>
    <row r="21" spans="1:7" x14ac:dyDescent="0.3">
      <c r="A21" t="s">
        <v>121</v>
      </c>
      <c r="B21">
        <v>27042021</v>
      </c>
      <c r="C21">
        <v>18.41</v>
      </c>
      <c r="D21">
        <v>19.22</v>
      </c>
      <c r="E21">
        <v>17.899999999999999</v>
      </c>
      <c r="F21">
        <v>19.21</v>
      </c>
      <c r="G21">
        <v>0</v>
      </c>
    </row>
  </sheetData>
  <phoneticPr fontId="25" type="noConversion"/>
  <pageMargins left="0.7" right="0.7" top="0.78740157499999996" bottom="0.78740157499999996"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33AFA-5312-4872-B7AF-33E30B66C458}">
  <sheetPr codeName="Tabelle4"/>
  <dimension ref="A1:C5"/>
  <sheetViews>
    <sheetView workbookViewId="0">
      <selection sqref="A1:C5"/>
    </sheetView>
  </sheetViews>
  <sheetFormatPr baseColWidth="10" defaultRowHeight="14.4" x14ac:dyDescent="0.3"/>
  <cols>
    <col min="1" max="1" width="11.109375" bestFit="1" customWidth="1"/>
    <col min="2" max="2" width="11.6640625" bestFit="1" customWidth="1"/>
    <col min="3" max="3" width="11.109375" bestFit="1" customWidth="1"/>
  </cols>
  <sheetData>
    <row r="1" spans="1:3" x14ac:dyDescent="0.3">
      <c r="A1" t="s">
        <v>12</v>
      </c>
      <c r="B1" t="s">
        <v>13</v>
      </c>
      <c r="C1" t="s">
        <v>127</v>
      </c>
    </row>
    <row r="2" spans="1:3" x14ac:dyDescent="0.3">
      <c r="A2" t="s">
        <v>128</v>
      </c>
      <c r="B2" t="s">
        <v>129</v>
      </c>
      <c r="C2">
        <v>27.6629</v>
      </c>
    </row>
    <row r="3" spans="1:3" x14ac:dyDescent="0.3">
      <c r="A3" t="s">
        <v>128</v>
      </c>
      <c r="B3" t="s">
        <v>130</v>
      </c>
      <c r="C3">
        <v>31.37</v>
      </c>
    </row>
    <row r="4" spans="1:3" x14ac:dyDescent="0.3">
      <c r="A4" t="s">
        <v>128</v>
      </c>
      <c r="B4" t="s">
        <v>131</v>
      </c>
      <c r="C4">
        <v>29.08</v>
      </c>
    </row>
    <row r="5" spans="1:3" x14ac:dyDescent="0.3">
      <c r="A5" t="s">
        <v>128</v>
      </c>
      <c r="B5" t="s">
        <v>132</v>
      </c>
      <c r="C5">
        <v>32.590000000000003</v>
      </c>
    </row>
  </sheetData>
  <phoneticPr fontId="25" type="noConversion"/>
  <pageMargins left="0.7" right="0.7" top="0.78740157499999996" bottom="0.78740157499999996"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1E6AE-042E-493F-954D-BA02DCAB5696}">
  <sheetPr codeName="Tabelle8"/>
  <dimension ref="A1:D9"/>
  <sheetViews>
    <sheetView workbookViewId="0">
      <selection sqref="A1:D9"/>
    </sheetView>
  </sheetViews>
  <sheetFormatPr baseColWidth="10" defaultRowHeight="14.4" x14ac:dyDescent="0.3"/>
  <cols>
    <col min="1" max="1" width="21.88671875" bestFit="1" customWidth="1"/>
    <col min="2" max="2" width="9" bestFit="1" customWidth="1"/>
    <col min="3" max="3" width="5.6640625" bestFit="1" customWidth="1"/>
    <col min="4" max="4" width="8.109375" bestFit="1" customWidth="1"/>
  </cols>
  <sheetData>
    <row r="1" spans="1:4" x14ac:dyDescent="0.3">
      <c r="A1" t="s">
        <v>190</v>
      </c>
      <c r="B1" t="s">
        <v>66</v>
      </c>
      <c r="C1" t="s">
        <v>120</v>
      </c>
      <c r="D1" t="s">
        <v>61</v>
      </c>
    </row>
    <row r="2" spans="1:4" x14ac:dyDescent="0.3">
      <c r="A2" t="s">
        <v>191</v>
      </c>
      <c r="B2">
        <v>4046.96</v>
      </c>
      <c r="C2">
        <v>-0.32</v>
      </c>
      <c r="D2" s="90">
        <v>0.36805555555555558</v>
      </c>
    </row>
    <row r="3" spans="1:4" x14ac:dyDescent="0.3">
      <c r="A3" t="s">
        <v>192</v>
      </c>
      <c r="B3">
        <v>3082.35</v>
      </c>
      <c r="C3">
        <v>-0.75</v>
      </c>
      <c r="D3" s="90">
        <v>0.73541666666666672</v>
      </c>
    </row>
    <row r="4" spans="1:4" x14ac:dyDescent="0.3">
      <c r="A4" t="s">
        <v>193</v>
      </c>
      <c r="B4">
        <v>10448.23</v>
      </c>
      <c r="C4">
        <v>-2.13</v>
      </c>
      <c r="D4" s="90">
        <v>0.72986111111111107</v>
      </c>
    </row>
    <row r="5" spans="1:4" x14ac:dyDescent="0.3">
      <c r="A5" t="s">
        <v>194</v>
      </c>
      <c r="B5">
        <v>33298.22</v>
      </c>
      <c r="C5">
        <v>-0.15</v>
      </c>
      <c r="D5" s="90">
        <v>0.36805555555555558</v>
      </c>
    </row>
    <row r="6" spans="1:4" x14ac:dyDescent="0.3">
      <c r="A6" t="s">
        <v>195</v>
      </c>
      <c r="B6">
        <v>4256.08</v>
      </c>
      <c r="C6">
        <v>-0.2</v>
      </c>
      <c r="D6" s="90">
        <v>0.36805555555555558</v>
      </c>
    </row>
    <row r="7" spans="1:4" x14ac:dyDescent="0.3">
      <c r="A7" t="s">
        <v>196</v>
      </c>
      <c r="B7">
        <v>14685.96</v>
      </c>
      <c r="C7">
        <v>-0.2</v>
      </c>
      <c r="D7" s="90">
        <v>0.36805555555555558</v>
      </c>
    </row>
    <row r="8" spans="1:4" x14ac:dyDescent="0.3">
      <c r="A8" t="s">
        <v>197</v>
      </c>
      <c r="B8">
        <v>31241.759999999998</v>
      </c>
      <c r="C8">
        <v>-0.1</v>
      </c>
      <c r="D8" s="90">
        <v>0.36805555555555558</v>
      </c>
    </row>
    <row r="9" spans="1:4" x14ac:dyDescent="0.3">
      <c r="A9" t="s">
        <v>198</v>
      </c>
      <c r="B9">
        <v>17295.89</v>
      </c>
      <c r="C9">
        <v>-2.46</v>
      </c>
      <c r="D9" s="90">
        <v>0.42222222222222222</v>
      </c>
    </row>
  </sheetData>
  <phoneticPr fontId="25" type="noConversion"/>
  <pageMargins left="0.7" right="0.7" top="0.78740157499999996" bottom="0.78740157499999996"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D3332-DC13-4F6C-B101-9D0844BC8B37}">
  <sheetPr codeName="Tabelle21"/>
  <dimension ref="A1:E2"/>
  <sheetViews>
    <sheetView workbookViewId="0">
      <selection sqref="A1:E2"/>
    </sheetView>
  </sheetViews>
  <sheetFormatPr baseColWidth="10" defaultRowHeight="14.4" x14ac:dyDescent="0.3"/>
  <cols>
    <col min="1" max="1" width="10.109375" bestFit="1" customWidth="1"/>
    <col min="2" max="2" width="21.6640625" bestFit="1" customWidth="1"/>
    <col min="3" max="4" width="11.5546875" bestFit="1" customWidth="1"/>
    <col min="5" max="5" width="8.109375" bestFit="1" customWidth="1"/>
  </cols>
  <sheetData>
    <row r="1" spans="1:5" x14ac:dyDescent="0.3">
      <c r="A1" t="s">
        <v>203</v>
      </c>
      <c r="B1" t="s">
        <v>204</v>
      </c>
      <c r="C1" t="s">
        <v>205</v>
      </c>
      <c r="D1" t="s">
        <v>206</v>
      </c>
      <c r="E1" t="s">
        <v>207</v>
      </c>
    </row>
    <row r="2" spans="1:5" x14ac:dyDescent="0.3">
      <c r="A2" t="s">
        <v>208</v>
      </c>
      <c r="B2">
        <v>-1.9099999999999999E-2</v>
      </c>
      <c r="C2">
        <v>18.350000000000001</v>
      </c>
      <c r="D2">
        <v>34473</v>
      </c>
      <c r="E2" s="90">
        <v>0.91659722222222217</v>
      </c>
    </row>
  </sheetData>
  <phoneticPr fontId="25"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C5F8B-AEF4-4205-8BAA-9EFDEDC7E0ED}">
  <sheetPr codeName="Tabelle22"/>
  <dimension ref="A1:C24"/>
  <sheetViews>
    <sheetView workbookViewId="0">
      <selection activeCell="C3" sqref="C3"/>
    </sheetView>
  </sheetViews>
  <sheetFormatPr baseColWidth="10" defaultRowHeight="14.4" x14ac:dyDescent="0.3"/>
  <cols>
    <col min="1" max="1" width="9.109375" bestFit="1" customWidth="1"/>
    <col min="2" max="2" width="12" bestFit="1" customWidth="1"/>
    <col min="3" max="3" width="9.6640625" bestFit="1" customWidth="1"/>
  </cols>
  <sheetData>
    <row r="1" spans="1:3" x14ac:dyDescent="0.3">
      <c r="A1" t="s">
        <v>60</v>
      </c>
      <c r="B1" t="s">
        <v>0</v>
      </c>
      <c r="C1" t="s">
        <v>119</v>
      </c>
    </row>
    <row r="2" spans="1:3" x14ac:dyDescent="0.3">
      <c r="A2">
        <v>16112022</v>
      </c>
      <c r="B2">
        <v>21.14</v>
      </c>
      <c r="C2">
        <v>21.4</v>
      </c>
    </row>
    <row r="3" spans="1:3" x14ac:dyDescent="0.3">
      <c r="A3">
        <v>15112022</v>
      </c>
      <c r="B3">
        <v>20.9</v>
      </c>
      <c r="C3">
        <v>20.86</v>
      </c>
    </row>
    <row r="4" spans="1:3" x14ac:dyDescent="0.3">
      <c r="A4">
        <v>14112022</v>
      </c>
      <c r="B4">
        <v>21.35</v>
      </c>
      <c r="C4">
        <v>20.94</v>
      </c>
    </row>
    <row r="5" spans="1:3" x14ac:dyDescent="0.3">
      <c r="A5">
        <v>11112022</v>
      </c>
      <c r="B5">
        <v>21.59</v>
      </c>
      <c r="C5">
        <v>20.78</v>
      </c>
    </row>
    <row r="6" spans="1:3" x14ac:dyDescent="0.3">
      <c r="A6">
        <v>10112022</v>
      </c>
      <c r="B6">
        <v>23.73</v>
      </c>
      <c r="C6">
        <v>21.32</v>
      </c>
    </row>
    <row r="7" spans="1:3" x14ac:dyDescent="0.3">
      <c r="A7">
        <v>9112022</v>
      </c>
      <c r="B7">
        <v>23.19</v>
      </c>
      <c r="C7">
        <v>23.24</v>
      </c>
    </row>
    <row r="8" spans="1:3" x14ac:dyDescent="0.3">
      <c r="A8">
        <v>8112022</v>
      </c>
      <c r="B8">
        <v>22.89</v>
      </c>
      <c r="C8">
        <v>22.61</v>
      </c>
    </row>
    <row r="9" spans="1:3" x14ac:dyDescent="0.3">
      <c r="A9">
        <v>7112022</v>
      </c>
      <c r="B9">
        <v>23.74</v>
      </c>
      <c r="C9">
        <v>22.66</v>
      </c>
    </row>
    <row r="10" spans="1:3" x14ac:dyDescent="0.3">
      <c r="A10">
        <v>4112022</v>
      </c>
      <c r="B10">
        <v>23.57</v>
      </c>
      <c r="C10">
        <v>22.91</v>
      </c>
    </row>
    <row r="11" spans="1:3" x14ac:dyDescent="0.3">
      <c r="A11">
        <v>3112022</v>
      </c>
      <c r="B11">
        <v>24.21</v>
      </c>
      <c r="C11">
        <v>23.77</v>
      </c>
    </row>
    <row r="12" spans="1:3" x14ac:dyDescent="0.3">
      <c r="A12">
        <v>2112022</v>
      </c>
      <c r="B12">
        <v>24.54</v>
      </c>
      <c r="C12">
        <v>24.7</v>
      </c>
    </row>
    <row r="13" spans="1:3" x14ac:dyDescent="0.3">
      <c r="A13">
        <v>1112022</v>
      </c>
      <c r="B13">
        <v>24.47</v>
      </c>
      <c r="C13">
        <v>24.47</v>
      </c>
    </row>
    <row r="14" spans="1:3" x14ac:dyDescent="0.3">
      <c r="A14">
        <v>31102022</v>
      </c>
      <c r="B14">
        <v>25.74</v>
      </c>
      <c r="C14">
        <v>24.83</v>
      </c>
    </row>
    <row r="15" spans="1:3" x14ac:dyDescent="0.3">
      <c r="A15">
        <v>28102022</v>
      </c>
      <c r="B15">
        <v>26.33</v>
      </c>
      <c r="C15">
        <v>24.89</v>
      </c>
    </row>
    <row r="16" spans="1:3" x14ac:dyDescent="0.3">
      <c r="A16">
        <v>27102022</v>
      </c>
      <c r="B16">
        <v>27.03</v>
      </c>
      <c r="C16">
        <v>25.87</v>
      </c>
    </row>
    <row r="17" spans="1:3" x14ac:dyDescent="0.3">
      <c r="A17">
        <v>26102022</v>
      </c>
      <c r="B17">
        <v>27.28</v>
      </c>
      <c r="C17">
        <v>26.95</v>
      </c>
    </row>
    <row r="18" spans="1:3" x14ac:dyDescent="0.3">
      <c r="A18">
        <v>25102022</v>
      </c>
      <c r="B18">
        <v>28.33</v>
      </c>
      <c r="C18">
        <v>27.62</v>
      </c>
    </row>
    <row r="19" spans="1:3" x14ac:dyDescent="0.3">
      <c r="A19">
        <v>24102022</v>
      </c>
      <c r="B19">
        <v>28.79</v>
      </c>
      <c r="C19">
        <v>28.68</v>
      </c>
    </row>
    <row r="20" spans="1:3" x14ac:dyDescent="0.3">
      <c r="A20">
        <v>21102022</v>
      </c>
      <c r="B20">
        <v>28.24</v>
      </c>
      <c r="C20">
        <v>27.83</v>
      </c>
    </row>
    <row r="21" spans="1:3" x14ac:dyDescent="0.3">
      <c r="A21">
        <v>20102022</v>
      </c>
      <c r="B21">
        <v>28.67</v>
      </c>
      <c r="C21">
        <v>27.75</v>
      </c>
    </row>
    <row r="22" spans="1:3" x14ac:dyDescent="0.3">
      <c r="A22">
        <v>19102022</v>
      </c>
      <c r="B22">
        <v>28.55</v>
      </c>
      <c r="C22">
        <v>28.3</v>
      </c>
    </row>
    <row r="23" spans="1:3" x14ac:dyDescent="0.3">
      <c r="A23">
        <v>18102022</v>
      </c>
      <c r="B23">
        <v>29.3</v>
      </c>
      <c r="C23">
        <v>28.92</v>
      </c>
    </row>
    <row r="24" spans="1:3" x14ac:dyDescent="0.3">
      <c r="A24">
        <v>17102022</v>
      </c>
      <c r="B24">
        <v>30.36</v>
      </c>
      <c r="C24">
        <v>29.27</v>
      </c>
    </row>
  </sheetData>
  <phoneticPr fontId="25"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FEEA8-AF91-4BD4-B84E-41DBF570AF82}">
  <sheetPr codeName="Tabelle24"/>
  <dimension ref="A1:C8"/>
  <sheetViews>
    <sheetView workbookViewId="0">
      <selection sqref="A1:C8"/>
    </sheetView>
  </sheetViews>
  <sheetFormatPr baseColWidth="10" defaultRowHeight="14.4" x14ac:dyDescent="0.3"/>
  <cols>
    <col min="1" max="1" width="14.88671875" bestFit="1" customWidth="1"/>
    <col min="2" max="2" width="17.77734375" bestFit="1" customWidth="1"/>
    <col min="3" max="3" width="10.77734375" bestFit="1" customWidth="1"/>
  </cols>
  <sheetData>
    <row r="1" spans="1:3" x14ac:dyDescent="0.3">
      <c r="A1" t="s">
        <v>12</v>
      </c>
      <c r="B1" t="s">
        <v>13</v>
      </c>
      <c r="C1" t="s">
        <v>127</v>
      </c>
    </row>
    <row r="2" spans="1:3" x14ac:dyDescent="0.3">
      <c r="A2" t="s">
        <v>66</v>
      </c>
      <c r="B2" t="s">
        <v>298</v>
      </c>
      <c r="C2" s="25">
        <f>1*(LEFT(VSTOXX_Finanzen[[#This Row],[Column2]],5))</f>
        <v>22.3</v>
      </c>
    </row>
    <row r="3" spans="1:3" x14ac:dyDescent="0.3">
      <c r="A3" t="s">
        <v>210</v>
      </c>
      <c r="B3" t="s">
        <v>299</v>
      </c>
      <c r="C3" s="25">
        <f>1*(LEFT(VSTOXX_Finanzen[[#This Row],[Column2]],5))</f>
        <v>45218</v>
      </c>
    </row>
    <row r="4" spans="1:3" ht="28.8" x14ac:dyDescent="0.3">
      <c r="A4" s="25" t="s">
        <v>211</v>
      </c>
      <c r="B4" s="25" t="s">
        <v>300</v>
      </c>
      <c r="C4" s="25">
        <f>1*(LEFT(VSTOXX_Finanzen[[#This Row],[Column2]],5))</f>
        <v>22.1</v>
      </c>
    </row>
    <row r="5" spans="1:3" ht="28.8" x14ac:dyDescent="0.3">
      <c r="A5" s="25" t="s">
        <v>212</v>
      </c>
      <c r="B5" s="25" t="s">
        <v>301</v>
      </c>
      <c r="C5" s="25">
        <f>1*(LEFT(VSTOXX_Finanzen[[#This Row],[Column2]],5))</f>
        <v>21.61</v>
      </c>
    </row>
    <row r="6" spans="1:3" ht="28.8" x14ac:dyDescent="0.3">
      <c r="A6" s="25" t="s">
        <v>213</v>
      </c>
      <c r="B6" s="25" t="s">
        <v>237</v>
      </c>
      <c r="C6" s="25">
        <f>1*(LEFT(VSTOXX_Finanzen[[#This Row],[Column2]],5))</f>
        <v>12.89</v>
      </c>
    </row>
    <row r="7" spans="1:3" x14ac:dyDescent="0.3">
      <c r="A7" t="s">
        <v>214</v>
      </c>
      <c r="B7" t="s">
        <v>238</v>
      </c>
      <c r="C7" s="25">
        <f>1*(LEFT(VSTOXX_Finanzen[[#This Row],[Column2]],5))</f>
        <v>12.89</v>
      </c>
    </row>
    <row r="8" spans="1:3" x14ac:dyDescent="0.3">
      <c r="A8" t="s">
        <v>215</v>
      </c>
      <c r="B8" t="s">
        <v>287</v>
      </c>
      <c r="C8" s="25">
        <f>1*(LEFT(VSTOXX_Finanzen[[#This Row],[Column2]],5))</f>
        <v>33.5</v>
      </c>
    </row>
  </sheetData>
  <phoneticPr fontId="25"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83C518-2949-4416-B9E4-05A8F166BF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27</vt:i4>
      </vt:variant>
      <vt:variant>
        <vt:lpstr>Benannte Bereiche</vt:lpstr>
      </vt:variant>
      <vt:variant>
        <vt:i4>8</vt:i4>
      </vt:variant>
    </vt:vector>
  </HeadingPairs>
  <TitlesOfParts>
    <vt:vector size="35" baseType="lpstr">
      <vt:lpstr>Version</vt:lpstr>
      <vt:lpstr>Ueberhaenge</vt:lpstr>
      <vt:lpstr>STOXX_Call_Front</vt:lpstr>
      <vt:lpstr>STOXX_Put_Front</vt:lpstr>
      <vt:lpstr>STOXX_CallFront-1</vt:lpstr>
      <vt:lpstr>STOXX_PutFront-1</vt:lpstr>
      <vt:lpstr>STOXX_Call+01</vt:lpstr>
      <vt:lpstr>STOXX_Put+01</vt:lpstr>
      <vt:lpstr>AngeboteM</vt:lpstr>
      <vt:lpstr>AngeboteA</vt:lpstr>
      <vt:lpstr>STOXX_Infos</vt:lpstr>
      <vt:lpstr>STOXX_SummeryVerfall</vt:lpstr>
      <vt:lpstr>STOXX_Summery</vt:lpstr>
      <vt:lpstr>Glossar</vt:lpstr>
      <vt:lpstr>Disclaimer</vt:lpstr>
      <vt:lpstr>STOXX_HedgeBedarf</vt:lpstr>
      <vt:lpstr>STOXX_HedgeBedarf+01</vt:lpstr>
      <vt:lpstr>Rates</vt:lpstr>
      <vt:lpstr>Stoxx50</vt:lpstr>
      <vt:lpstr>Euribor3M</vt:lpstr>
      <vt:lpstr>Stoxx50Hist</vt:lpstr>
      <vt:lpstr>VSTOXX_Hist</vt:lpstr>
      <vt:lpstr>VSTOXX</vt:lpstr>
      <vt:lpstr>STOXX_CITI</vt:lpstr>
      <vt:lpstr>VSTOXX Eu</vt:lpstr>
      <vt:lpstr>VSTOXX Hist</vt:lpstr>
      <vt:lpstr>VSTOXX_Finanzen</vt:lpstr>
      <vt:lpstr>STOXX_Summery!Druckbereich</vt:lpstr>
      <vt:lpstr>STOXX_Summery!P</vt:lpstr>
      <vt:lpstr>STOXX_SummeryVerfall!P</vt:lpstr>
      <vt:lpstr>Disclaimer!Print_Area</vt:lpstr>
      <vt:lpstr>Glossar!Print_Area</vt:lpstr>
      <vt:lpstr>STOXX_Summery!Print_Area</vt:lpstr>
      <vt:lpstr>STOXX_SummeryVerfall!Print_Area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Detlef Dieball</cp:lastModifiedBy>
  <cp:lastPrinted>2023-10-20T07:02:32Z</cp:lastPrinted>
  <dcterms:created xsi:type="dcterms:W3CDTF">2018-08-10T12:34:01Z</dcterms:created>
  <dcterms:modified xsi:type="dcterms:W3CDTF">2023-10-21T16:51:57Z</dcterms:modified>
</cp:coreProperties>
</file>