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Detlef\Tradematiker\Research\Optionen\OI-Abfrage\STOXX\"/>
    </mc:Choice>
  </mc:AlternateContent>
  <xr:revisionPtr revIDLastSave="0" documentId="13_ncr:1_{68947889-A670-48A4-A515-2E1924D13F74}" xr6:coauthVersionLast="47" xr6:coauthVersionMax="47" xr10:uidLastSave="{00000000-0000-0000-0000-000000000000}"/>
  <bookViews>
    <workbookView xWindow="-108" yWindow="-108" windowWidth="23256" windowHeight="12456" tabRatio="751" firstSheet="13" activeTab="16" xr2:uid="{3CDFE83A-9C88-4766-961F-2D6C5E1FA6D2}"/>
  </bookViews>
  <sheets>
    <sheet name="Version" sheetId="44" r:id="rId1"/>
    <sheet name="Ueberhaenge" sheetId="1" r:id="rId2"/>
    <sheet name="STOXX_Call_Front" sheetId="82" r:id="rId3"/>
    <sheet name="STOXX_Put_Front" sheetId="83" r:id="rId4"/>
    <sheet name="STOXX_CallFront-1" sheetId="84" r:id="rId5"/>
    <sheet name="STOXX_PutFront-1" sheetId="85" r:id="rId6"/>
    <sheet name="STOXX_Call+01" sheetId="86" r:id="rId7"/>
    <sheet name="STOXX_Put+01" sheetId="87" r:id="rId8"/>
    <sheet name="AngeboteM" sheetId="69" r:id="rId9"/>
    <sheet name="AngeboteA" sheetId="70" r:id="rId10"/>
    <sheet name="STOXX_Infos" sheetId="19" r:id="rId11"/>
    <sheet name="STOXX_SummeryVerfall" sheetId="67" r:id="rId12"/>
    <sheet name="STOXX_Summery" sheetId="38" r:id="rId13"/>
    <sheet name="Glossar" sheetId="75" r:id="rId14"/>
    <sheet name="Disclaimer" sheetId="40" r:id="rId15"/>
    <sheet name="STOXX_HedgeBedarf" sheetId="18" r:id="rId16"/>
    <sheet name="STOXX_HedgeBedarf+01" sheetId="41" r:id="rId17"/>
    <sheet name="Rates" sheetId="17" r:id="rId18"/>
    <sheet name="Stoxx50" sheetId="61" r:id="rId19"/>
    <sheet name="Euribor3M" sheetId="63" r:id="rId20"/>
    <sheet name="Stoxx50Hist" sheetId="64" r:id="rId21"/>
    <sheet name="VSTOXX_Hist" sheetId="65" r:id="rId22"/>
    <sheet name="VSTOXX" sheetId="66" r:id="rId23"/>
    <sheet name="STOXX_CITI" sheetId="71" r:id="rId24"/>
    <sheet name="VSTOXX Eu" sheetId="72" r:id="rId25"/>
    <sheet name="VSTOXX Hist" sheetId="73" r:id="rId26"/>
    <sheet name="VSTOXX_Finanzen" sheetId="74" r:id="rId27"/>
  </sheets>
  <definedNames>
    <definedName name="_xlnm.Print_Area" localSheetId="12">STOXX_Summery!$A$1:$K$47</definedName>
    <definedName name="ExterneDaten_1" localSheetId="19" hidden="1">Euribor3M!$A$1:$B$11</definedName>
    <definedName name="ExterneDaten_1" localSheetId="23" hidden="1">STOXX_CITI!$A$1:$D$9</definedName>
    <definedName name="ExterneDaten_1" localSheetId="20" hidden="1">Stoxx50Hist!$A$1:$F$11</definedName>
    <definedName name="ExterneDaten_1" localSheetId="24" hidden="1">'VSTOXX Eu'!$A$1:$E$2</definedName>
    <definedName name="ExterneDaten_1" localSheetId="25" hidden="1">'VSTOXX Hist'!$A$1:$C$24</definedName>
    <definedName name="ExterneDaten_1" localSheetId="26" hidden="1">VSTOXX_Finanzen!$A$1:$B$8</definedName>
    <definedName name="ExterneDaten_3" localSheetId="17" hidden="1">Rates!$A$13:$F$15</definedName>
    <definedName name="P" localSheetId="12">STOXX_Summery!$A$1:$K$57</definedName>
    <definedName name="P" localSheetId="11">STOXX_SummeryVerfall!$A$1:$K$57</definedName>
    <definedName name="Print_Area" localSheetId="14">Disclaimer!$A$2:$K$27</definedName>
    <definedName name="Print_Area" localSheetId="13">Glossar!$A$4:$B$16</definedName>
    <definedName name="Print_Area" localSheetId="12">STOXX_Summery!$A$1:$K$47</definedName>
    <definedName name="Print_Area" localSheetId="11">STOXX_SummeryVerfall!$A$2:$K$47</definedName>
    <definedName name="Print_Area" localSheetId="1">Ueberhaenge!$A$1:$I$55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74" l="1"/>
  <c r="C3" i="74"/>
  <c r="C4" i="74"/>
  <c r="C5" i="74"/>
  <c r="C6" i="74"/>
  <c r="C7" i="74"/>
  <c r="C8" i="74"/>
  <c r="O8" i="1" l="1"/>
  <c r="N4" i="1" s="1"/>
  <c r="H3" i="38"/>
  <c r="X2" i="1"/>
  <c r="Y8" i="1"/>
  <c r="X4" i="1" s="1"/>
  <c r="G4" i="1"/>
  <c r="B10" i="67"/>
  <c r="A50" i="67" l="1"/>
  <c r="C9" i="67"/>
  <c r="D9" i="67" s="1"/>
  <c r="Q9" i="67" s="1"/>
  <c r="A50" i="38"/>
  <c r="P9" i="67" l="1"/>
  <c r="AE3" i="1"/>
  <c r="AE2" i="1"/>
  <c r="R6" i="1"/>
  <c r="AE4" i="1" l="1"/>
  <c r="Z4" i="1" s="1"/>
  <c r="X9" i="1"/>
  <c r="X8" i="1" s="1"/>
  <c r="X7" i="1" s="1"/>
  <c r="N3" i="1"/>
  <c r="Y9" i="1"/>
  <c r="G3" i="1"/>
  <c r="I8" i="1" l="1"/>
  <c r="H8" i="1"/>
  <c r="G8" i="1"/>
  <c r="F8" i="1"/>
  <c r="B32" i="19"/>
  <c r="B31" i="19"/>
  <c r="D8" i="1" s="1"/>
  <c r="O8" i="67" l="1"/>
  <c r="B7" i="67"/>
  <c r="G46" i="67"/>
  <c r="E8" i="1"/>
  <c r="B33" i="19"/>
  <c r="G45" i="67" l="1"/>
  <c r="X5" i="1" l="1"/>
  <c r="Z5" i="1" l="1"/>
  <c r="G2" i="1" l="1"/>
  <c r="C3" i="67" s="1"/>
  <c r="U51" i="1" l="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10" i="1"/>
  <c r="R5" i="1"/>
  <c r="R4" i="1" l="1"/>
  <c r="G1" i="1"/>
  <c r="C9" i="38"/>
  <c r="D9" i="38" s="1"/>
  <c r="O8" i="38"/>
  <c r="B7" i="38"/>
  <c r="G1" i="38" l="1"/>
  <c r="G1" i="67"/>
  <c r="C3" i="38"/>
  <c r="P9" i="38"/>
  <c r="Q9" i="38"/>
  <c r="A28" i="19" l="1"/>
  <c r="A24" i="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5B80BF-C023-43D8-97C1-35A83AD1E706}" keepAlive="1" name="Abfrage - Euribor3M" description="Verbindung mit der Abfrage 'Euribor3M' in der Arbeitsmappe." type="5" refreshedVersion="7" background="1" saveData="1">
    <dbPr connection="Provider=Microsoft.Mashup.OleDb.1;Data Source=$Workbook$;Location=Euribor3M;Extended Properties=&quot;&quot;" command="SELECT * FROM [Euribor3M]"/>
  </connection>
  <connection id="2" xr16:uid="{C2B06F10-FB3C-4CE9-A0C4-0ED6991DEEA4}" keepAlive="1" name="Abfrage - Historische Kurse VSTOXX" description="Verbindung mit der Abfrage 'Historische Kurse VSTOXX' in der Arbeitsmappe." type="5" refreshedVersion="8" background="1" saveData="1">
    <dbPr connection="Provider=Microsoft.Mashup.OleDb.1;Data Source=$Workbook$;Location=&quot;Historische Kurse VSTOXX&quot;;Extended Properties=&quot;&quot;" command="SELECT * FROM [Historische Kurse VSTOXX]"/>
  </connection>
  <connection id="3" xr16:uid="{E08BC714-C41A-4E2C-BABA-2616CA428715}" keepAlive="1" name="Abfrage - Libor" description="Verbindung mit der Abfrage 'Libor' in der Arbeitsmappe." type="5" refreshedVersion="7" background="1" saveData="1">
    <dbPr connection="Provider=Microsoft.Mashup.OleDb.1;Data Source=$Workbook$;Location=Libor;Extended Properties=&quot;&quot;" command="SELECT * FROM [Libor]"/>
  </connection>
  <connection id="4" xr16:uid="{DFF14FEE-55C2-4F6E-9F7F-F2A63837101F}" keepAlive="1" name="Abfrage - Stuttgart" description="Verbindung mit der Abfrage 'Stuttgart' in der Arbeitsmappe." type="5" refreshedVersion="7" background="1" saveData="1">
    <dbPr connection="Provider=Microsoft.Mashup.OleDb.1;Data Source=$Workbook$;Location=Stuttgart;Extended Properties=&quot;&quot;" command="SELECT * FROM [Stuttgart]"/>
  </connection>
  <connection id="5" xr16:uid="{6B6A468E-F151-4CA2-9A18-353F0ADBB15D}" keepAlive="1" name="Abfrage - VSTOXX EUREX" description="Verbindung mit der Abfrage 'VSTOXX EUREX' in der Arbeitsmappe." type="5" refreshedVersion="8" background="1" saveData="1">
    <dbPr connection="Provider=Microsoft.Mashup.OleDb.1;Data Source=$Workbook$;Location=&quot;VSTOXX EUREX&quot;;Extended Properties=&quot;&quot;" command="SELECT * FROM [VSTOXX EUREX]"/>
  </connection>
  <connection id="6" xr16:uid="{AD67065E-6E95-4FBA-A1B5-BE88EF1AEB21}" keepAlive="1" name="Abfrage - VSTOXX_Finanzen" description="Verbindung mit der Abfrage 'VSTOXX_Finanzen' in der Arbeitsmappe." type="5" refreshedVersion="7" background="1" saveData="1">
    <dbPr connection="Provider=Microsoft.Mashup.OleDb.1;Data Source=$Workbook$;Location=VSTOXX_Finanzen;Extended Properties=&quot;&quot;" command="SELECT * FROM [VSTOXX_Finanzen]"/>
  </connection>
</connections>
</file>

<file path=xl/sharedStrings.xml><?xml version="1.0" encoding="utf-8"?>
<sst xmlns="http://schemas.openxmlformats.org/spreadsheetml/2006/main" count="492" uniqueCount="303">
  <si>
    <t>Eröffnung</t>
  </si>
  <si>
    <t>Basis</t>
  </si>
  <si>
    <t>Überhang</t>
  </si>
  <si>
    <t>Front</t>
  </si>
  <si>
    <t>ZentralKurs</t>
  </si>
  <si>
    <t>Spannweite</t>
  </si>
  <si>
    <t>Schritt</t>
  </si>
  <si>
    <t>P</t>
  </si>
  <si>
    <t>+01</t>
  </si>
  <si>
    <t>+02</t>
  </si>
  <si>
    <t>6M</t>
  </si>
  <si>
    <t>9M</t>
  </si>
  <si>
    <t>Column1</t>
  </si>
  <si>
    <t>Column2</t>
  </si>
  <si>
    <t>Link zur Statistik:</t>
  </si>
  <si>
    <t>KursDatum</t>
  </si>
  <si>
    <t>Format:"YYYYMMDD"</t>
  </si>
  <si>
    <t>Tage bis Verfall</t>
  </si>
  <si>
    <t>risikoloser Zins</t>
  </si>
  <si>
    <t>Volatilität</t>
  </si>
  <si>
    <t>Summe</t>
  </si>
  <si>
    <r>
      <t xml:space="preserve">OpenInterest und HedgeBedarf
</t>
    </r>
    <r>
      <rPr>
        <i/>
        <sz val="11"/>
        <color theme="1"/>
        <rFont val="Calibri"/>
        <family val="2"/>
        <scheme val="minor"/>
      </rPr>
      <t>basierend auf Daten von der EUREX
(http://www.eurexchange.com/exchange-de/disclaimer)</t>
    </r>
  </si>
  <si>
    <t>Verfall</t>
  </si>
  <si>
    <t>heute</t>
  </si>
  <si>
    <t>Datum vorletzter Handelstag</t>
  </si>
  <si>
    <t>Wochentag heute</t>
  </si>
  <si>
    <t>Änderung</t>
  </si>
  <si>
    <t>Tage bis Verfall:</t>
  </si>
  <si>
    <t>Gamma long (Put long Überhänge)</t>
  </si>
  <si>
    <t>Gamma short (Call short Überhänge)</t>
  </si>
  <si>
    <t>Nur Front-Monat betrachtet für den aktuellen und den letzten Handelstag</t>
  </si>
  <si>
    <t>Delta</t>
  </si>
  <si>
    <r>
      <t xml:space="preserve">Future-Hedgebedarf für Überhänge der Optionen
</t>
    </r>
    <r>
      <rPr>
        <b/>
        <i/>
        <sz val="14"/>
        <color theme="1"/>
        <rFont val="Calibri"/>
        <family val="2"/>
        <scheme val="minor"/>
      </rPr>
      <t>(Überhang/5)*delta</t>
    </r>
  </si>
  <si>
    <t>Änderung des Hedgebedarfs für den Frontmonat (Kontrakte/P)</t>
  </si>
  <si>
    <t>Tage bis Verfall nächster Kontrakt</t>
  </si>
  <si>
    <t>Verfall nächster Kontrakt</t>
  </si>
  <si>
    <t>summe H&amp;H+1</t>
  </si>
  <si>
    <t>12M</t>
  </si>
  <si>
    <t>Change in hedge requirement for front and following month (contracts/P, estimated)</t>
  </si>
  <si>
    <t>VDAX-Laufzeit/d</t>
  </si>
  <si>
    <t>Front +1</t>
  </si>
  <si>
    <t>Front &amp; Front+1</t>
  </si>
  <si>
    <t>last trading day close</t>
  </si>
  <si>
    <t>3.3</t>
  </si>
  <si>
    <t xml:space="preserve">Datum </t>
  </si>
  <si>
    <t>Version</t>
  </si>
  <si>
    <t>Releaser</t>
  </si>
  <si>
    <t>Detlef</t>
  </si>
  <si>
    <t>Datumsberechnung Abfragedatum hinzugefügt (Überhänge), Versionshistorie hinzugefügt</t>
  </si>
  <si>
    <t>löschen der letzten Tagesschlußstände in HedgeBedarf+01 gefixt</t>
  </si>
  <si>
    <t>3.4</t>
  </si>
  <si>
    <t>3.5</t>
  </si>
  <si>
    <t>Schaltfläche Hedge verschoben, Schaltflächen 1 und 2 farblich inaktiv gestaltet</t>
  </si>
  <si>
    <t>aktuell</t>
  </si>
  <si>
    <t>Druckpfad</t>
  </si>
  <si>
    <t>DruckDateiSummery</t>
  </si>
  <si>
    <t>3.6</t>
  </si>
  <si>
    <t>pdf von Summy, SummeryVerfall (umbenannt von Summery (2)) per VBA, HedgeGrafik(eng); Buttons umgeordnet</t>
  </si>
  <si>
    <t>XETRA</t>
  </si>
  <si>
    <t>Schlusskurs</t>
  </si>
  <si>
    <t>Datum</t>
  </si>
  <si>
    <t>Zeit</t>
  </si>
  <si>
    <t>Settlement</t>
  </si>
  <si>
    <t>EUREX</t>
  </si>
  <si>
    <t>Godmode</t>
  </si>
  <si>
    <t>Name</t>
  </si>
  <si>
    <t>Kurs</t>
  </si>
  <si>
    <t>+/- abs.</t>
  </si>
  <si>
    <t>+/- %</t>
  </si>
  <si>
    <t>Forex Capital Markets</t>
  </si>
  <si>
    <t>4.0</t>
  </si>
  <si>
    <t>Kontraktabfragen</t>
  </si>
  <si>
    <t>4.1</t>
  </si>
  <si>
    <t>Abfrage</t>
  </si>
  <si>
    <t>Jahr</t>
  </si>
  <si>
    <t>Monat</t>
  </si>
  <si>
    <t>Automatisches Kontraktupdate mit Tabelle auf Infos eingeführt</t>
  </si>
  <si>
    <t>4.2</t>
  </si>
  <si>
    <t>Bug in manueller Kontraktzuweisung korrigiert</t>
  </si>
  <si>
    <t>automatische Abfrage Schlusskurs L&amp;S, XETRA, FDAX</t>
  </si>
  <si>
    <t>4.3</t>
  </si>
  <si>
    <t>Börse Frankfurt</t>
  </si>
  <si>
    <t>Vorletzter Handelstag am Monatsanfang automatisiert; alternativer VDAX von Börse Frankfurt abgefragt</t>
  </si>
  <si>
    <t>4.4</t>
  </si>
  <si>
    <t>VDAX nur noch 2M und 12M aus Frankfurt; Börse Stuttgart gelöscht</t>
  </si>
  <si>
    <t>VDAX</t>
  </si>
  <si>
    <t>2M</t>
  </si>
  <si>
    <t>http://www.boerse-frankfurt.de/index/VDAX-NEW-2M</t>
  </si>
  <si>
    <t>http://www.boerse-frankfurt.de/index/VDAX-NEW-12M</t>
  </si>
  <si>
    <t>http://www.boerse-frankfurt.de/index/DAX</t>
  </si>
  <si>
    <t>https://www.eurexchange.com/exchange-de/marktdaten/statistik/online-marktstatistiken/</t>
  </si>
  <si>
    <t>alternativ mit bereinigtem OI: https://www.eurexchange.com/exchange-de/produkte/idx/dax/DAX-Optionen-141164</t>
  </si>
  <si>
    <t>neu</t>
  </si>
  <si>
    <t>Table 0</t>
  </si>
  <si>
    <t>JFD Bank</t>
  </si>
  <si>
    <t>let_x000D_
    Quelle = Web.Page(Web.Contents("https://www.eurexchange.com/exchange-de/marktdaten/statistik/online-marktstatistiken/4302!onlineStats?productGroupId=13394&amp;productId=70044&amp;viewType=&amp;cp=Put&amp;month=5&amp;year=2019&amp;busDate=20190426")),_x000D_
    Data0 = Quelle{0}[Data],_x000D_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Int64.Type}})_x000D_
in_x000D_
    #"Geänderter Typ"</t>
  </si>
  <si>
    <t>https://www.eurexchange.com/exchange-de/marktdaten/statistik/online-marktstatistiken/4302!onlineStats?productGroupId=13370&amp;productId=69660&amp;viewType=3&amp;cp=Put&amp;month=6&amp;year=2019&amp;busDate=20190517</t>
  </si>
  <si>
    <t>StoxxPut Front</t>
  </si>
  <si>
    <t>StoxxCall Front</t>
  </si>
  <si>
    <t>STOXX</t>
  </si>
  <si>
    <t>STOXX (e)</t>
  </si>
  <si>
    <r>
      <t xml:space="preserve">STOXX 50 OpenInterest und HedgeBedarf
</t>
    </r>
    <r>
      <rPr>
        <i/>
        <sz val="14"/>
        <color theme="0"/>
        <rFont val="Calibri"/>
        <family val="2"/>
        <scheme val="minor"/>
      </rPr>
      <t>basierend auf Daten von der EUREX
(http://www.eurexchange.com/exchange-de/disclaimer)</t>
    </r>
  </si>
  <si>
    <t>6.0</t>
  </si>
  <si>
    <t>STOXX OI-Abfrage</t>
  </si>
  <si>
    <r>
      <t xml:space="preserve">Future-Hedgebedarf für Überhänge der Optionen
</t>
    </r>
    <r>
      <rPr>
        <b/>
        <i/>
        <sz val="14"/>
        <color theme="0"/>
        <rFont val="Calibri"/>
        <family val="2"/>
        <scheme val="minor"/>
      </rPr>
      <t>(Überhang)*delta</t>
    </r>
  </si>
  <si>
    <t>Kontraktwert</t>
  </si>
  <si>
    <t>FESX/OESX</t>
  </si>
  <si>
    <t>STOXX Hedge und Überhänge; KontraktWert = FESX/OESX in Überhänge (C&amp;) hinzugefügt</t>
  </si>
  <si>
    <t>StoxxPut +1</t>
  </si>
  <si>
    <t>StoxxCall +1</t>
  </si>
  <si>
    <t>StoxxPut/CallFrontLast wieder umbenannt in Put/CallFrontLast damit das automatische Datumsupdate funktioniert</t>
  </si>
  <si>
    <t>6.01</t>
  </si>
  <si>
    <t>Kontraktwert in Hedgeberechnung durch Variable ersetzt</t>
  </si>
  <si>
    <t>Vortag</t>
  </si>
  <si>
    <t>6.02</t>
  </si>
  <si>
    <t>PDF Hedgegrafik herausgenommen</t>
  </si>
  <si>
    <t>Erster 
                    Schluss</t>
  </si>
  <si>
    <t>Hoch 
                    Tief</t>
  </si>
  <si>
    <t>Tief</t>
  </si>
  <si>
    <t>Schluss</t>
  </si>
  <si>
    <t>%</t>
  </si>
  <si>
    <t/>
  </si>
  <si>
    <t>6.03</t>
  </si>
  <si>
    <t>Max. Hedge</t>
  </si>
  <si>
    <t xml:space="preserve">Min. Hedge </t>
  </si>
  <si>
    <t>Hoch</t>
  </si>
  <si>
    <t>Volumen</t>
  </si>
  <si>
    <t>Column3</t>
  </si>
  <si>
    <t>Aktuell</t>
  </si>
  <si>
    <t>Eröffnung:</t>
  </si>
  <si>
    <t>Tages-Hoch:</t>
  </si>
  <si>
    <t>Tages-Tief:</t>
  </si>
  <si>
    <t>Schlusskurs:</t>
  </si>
  <si>
    <t>Adjusted</t>
  </si>
  <si>
    <t>OI-Spalte:</t>
  </si>
  <si>
    <t>Unadjusted</t>
  </si>
  <si>
    <t>OI-Daten-Spalte</t>
  </si>
  <si>
    <t>6.1</t>
  </si>
  <si>
    <t>OI-Spalte adjusted/unadjusted (I oder J) zur Auswahl (Infos: O30) hinzugefügt</t>
  </si>
  <si>
    <t>Spannweite auf 28 Werte reduziert, Löschen der Tabelle auf Summery eingeschränkt, 
anualisierte Volatilität VSTOXX verwendet (sigma = VDAX    '* ((Tage / VDAX_Laufzeit) ^ 0.5) ),
VSTOXX alternativen und STOXX Schlusskurs-Alternativen aufgenommen
Pfeilposition 5% der Spannweite</t>
  </si>
  <si>
    <t>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</si>
  <si>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Die September-Angebote 14.9. – 24.09.2021</t>
  </si>
  <si>
    <t>Options-Analysen:</t>
  </si>
  <si>
    <r>
      <t>OI-Tabelle FDAX Professionell</t>
    </r>
    <r>
      <rPr>
        <sz val="11"/>
        <color theme="1"/>
        <rFont val="Calibri"/>
        <family val="2"/>
        <scheme val="minor"/>
      </rPr>
      <t xml:space="preserve"> </t>
    </r>
  </si>
  <si>
    <t>Only Verfallswoche - 5 Analysen</t>
  </si>
  <si>
    <t>OI-Tabelle STOXX</t>
  </si>
  <si>
    <t>Versand per Mail, Kündigungsfrist 1 Woche zum Monatsende</t>
  </si>
  <si>
    <t>Weitere Angebote</t>
  </si>
  <si>
    <t>Programmierungen</t>
  </si>
  <si>
    <t>Analysen und Statistiken</t>
  </si>
  <si>
    <t>Alle Preise enthalten 19% Mehrwertsteuer</t>
  </si>
  <si>
    <t xml:space="preserve">Nur im September: </t>
  </si>
  <si>
    <t xml:space="preserve">die ersten 3 Monate: 13,00€/M </t>
  </si>
  <si>
    <t>danach 18,00€/M</t>
  </si>
  <si>
    <t>(Mo- Fr der Verfallswoche):  8,00€/M</t>
  </si>
  <si>
    <t xml:space="preserve">Nur im September und nur für </t>
  </si>
  <si>
    <t xml:space="preserve">Minotaurus-Kunden: </t>
  </si>
  <si>
    <t xml:space="preserve">die ersten 3 Monate: 10,00€/M </t>
  </si>
  <si>
    <t>danach 15,00€/M</t>
  </si>
  <si>
    <t xml:space="preserve">Algo-Entwicklungen </t>
  </si>
  <si>
    <t>Backtesting</t>
  </si>
  <si>
    <t>Nach Aufwand</t>
  </si>
  <si>
    <t>Ing.-Büro Dieball   Oderstr.8    01109 Dresden   0351 84 722 726   info@dieball.de</t>
  </si>
  <si>
    <t>regulär 24,00€/M  Minotaurus-Kunden 19,00€/M</t>
  </si>
  <si>
    <t xml:space="preserve">regulär 24,00€/M  </t>
  </si>
  <si>
    <t>danach 19,00€/M</t>
  </si>
  <si>
    <t xml:space="preserve">regulär 21,00€/M  </t>
  </si>
  <si>
    <t>danach 17,00€/M</t>
  </si>
  <si>
    <t>Angebote</t>
  </si>
  <si>
    <t>Minotaurus</t>
  </si>
  <si>
    <t>Allgemein</t>
  </si>
  <si>
    <t>aktiv/ passiv</t>
  </si>
  <si>
    <t>passiv</t>
  </si>
  <si>
    <t>StoxxPutFrontLast</t>
  </si>
  <si>
    <t>StoxxCallFrontLast</t>
  </si>
  <si>
    <t>ARIVA Indikation</t>
  </si>
  <si>
    <t>klein/ groß</t>
  </si>
  <si>
    <t>TTMzero Indikation</t>
  </si>
  <si>
    <t>morgen</t>
  </si>
  <si>
    <t>4,257.50 Pkt</t>
  </si>
  <si>
    <t>4,259.36 Pkt</t>
  </si>
  <si>
    <t>4,260.87 Pkt</t>
  </si>
  <si>
    <t>4,257.82 Pkt</t>
  </si>
  <si>
    <t>4,282.33 Pkt</t>
  </si>
  <si>
    <t>4,254.86 Pkt</t>
  </si>
  <si>
    <t>4,251.00 Pkt</t>
  </si>
  <si>
    <t>4,255.03 Pkt</t>
  </si>
  <si>
    <t>4,255.22 Pkt</t>
  </si>
  <si>
    <t>4,268.28 Pkt</t>
  </si>
  <si>
    <t>Pfad</t>
  </si>
  <si>
    <t>Indizes EU / USA / INT</t>
  </si>
  <si>
    <t>CITI Euro Stoxx 50</t>
  </si>
  <si>
    <t>ATX</t>
  </si>
  <si>
    <t>SMI</t>
  </si>
  <si>
    <t>CITI Dow Jones</t>
  </si>
  <si>
    <t>CITI S&amp;P 500</t>
  </si>
  <si>
    <t>CITI US TECH 100</t>
  </si>
  <si>
    <t>Citi Nikkei 225</t>
  </si>
  <si>
    <t>Hang Seng</t>
  </si>
  <si>
    <t>Stuutgart</t>
  </si>
  <si>
    <t>8.15</t>
  </si>
  <si>
    <t>done</t>
  </si>
  <si>
    <t>klein</t>
  </si>
  <si>
    <t>Product</t>
  </si>
  <si>
    <t>Diff. to prev. day last</t>
  </si>
  <si>
    <t>Last price</t>
  </si>
  <si>
    <t>Contracts</t>
  </si>
  <si>
    <t>Time</t>
  </si>
  <si>
    <t>FVS</t>
  </si>
  <si>
    <t>VSTOXX F</t>
  </si>
  <si>
    <t>Kurszeit</t>
  </si>
  <si>
    <t>Eröffnung /_x000D_
Vortag</t>
  </si>
  <si>
    <t>Tagestief /_x000D_
Tageshoch</t>
  </si>
  <si>
    <t>Jahrestief /_x000D_
Jahreshoch</t>
  </si>
  <si>
    <t>52 Wochen Tief</t>
  </si>
  <si>
    <t>52 Wochen Hoch</t>
  </si>
  <si>
    <t>C:\Detlef\Tradematiker\Research\Optionen\OI-Abfrage\send</t>
  </si>
  <si>
    <t>4.304,07_x000D_
                        4.317,88</t>
  </si>
  <si>
    <t>4.344,32_x000D_
                        4.304,07</t>
  </si>
  <si>
    <t>4.303,98_x000D_
                        4.309,75</t>
  </si>
  <si>
    <t>4.341,59_x000D_
                        4.281,69</t>
  </si>
  <si>
    <t>4.322,65_x000D_
                        4.306,76</t>
  </si>
  <si>
    <t>4.332,29_x000D_
                        4.293,21</t>
  </si>
  <si>
    <t>4.344,42_x000D_
                        4.323,09</t>
  </si>
  <si>
    <t>4.344,42_x000D_
                        4.305,31</t>
  </si>
  <si>
    <t>4.335,22_x000D_
                        4.348,65</t>
  </si>
  <si>
    <t>4.355,41_x000D_
                        4.334,13</t>
  </si>
  <si>
    <t>4.280,92_x000D_
                        4.340,43</t>
  </si>
  <si>
    <t>4.340,48_x000D_
                        4.280,92</t>
  </si>
  <si>
    <t>4.280,66_x000D_
                        4.287,03</t>
  </si>
  <si>
    <t>4.302,04_x000D_
                        4.264,41</t>
  </si>
  <si>
    <t>4.315,85_x000D_
                        4.316,41</t>
  </si>
  <si>
    <t>4.338,14_x000D_
                        4.302,76</t>
  </si>
  <si>
    <t>4.313,25_x000D_
                        4.323,23</t>
  </si>
  <si>
    <t>4.332,08_x000D_
                        4.293,57</t>
  </si>
  <si>
    <t>4.313,12_x000D_
                        4.315,51</t>
  </si>
  <si>
    <t>4.328,78_x000D_
                        4.298,31</t>
  </si>
  <si>
    <t>12,89 /_x000D_
33,50</t>
  </si>
  <si>
    <t>12,89 (21.06.2023)</t>
  </si>
  <si>
    <t>let
    Quelle = Web.Page(Web.Contents("https://www.eurexchange.com/exchange-de/marktdaten/statistik/online-marktstatistiken/4302!onlineStats?productGroupId=13370&amp;productId=69660&amp;viewType=&amp;cp=Put&amp;month=08&amp;year=2023&amp;busDate=20230811")),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</si>
  <si>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Web.Page(Web.Contents("https://www.eurexchange.com/exchange-de/marktdaten/statistik/online-marktstatistiken/4302!onlineStats?productGroupId=13370&amp;productId=69660&amp;viewType=&amp;cp=Call&amp;month=08&amp;year=2023&amp;busDate=20230811")),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</si>
  <si>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Web.Page(Web.Contents("https://www.eurexchange.com/exchange-de/marktdaten/statistik/online-marktstatistiken/4302!onlineStats?productGroupId=13370&amp;productId=69660&amp;viewType=3&amp;cp=Put&amp;month=09&amp;year=2023&amp;busDate=20230811")),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</si>
  <si>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Web.Page(Web.Contents("https://www.eurexchange.com/exchange-de/marktdaten/statistik/online-marktstatistiken/4302!onlineStats?productGroupId=13370&amp;productId=69660&amp;viewType=3&amp;cp=Call&amp;month=09&amp;year=2023&amp;busDate=20230811")),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</si>
  <si>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Web.Page(Web.Contents("https://www.eurexchange.com/exchange-de/marktdaten/statistik/online-marktstatistiken/4302!onlineStats?productGroupId=13370&amp;productId=69660&amp;viewType=&amp;cp=Put&amp;month=08&amp;year=2023&amp;busDate=20230810")),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</si>
  <si>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Web.Page(Web.Contents("https://www.eurexchange.com/exchange-de/marktdaten/statistik/online-marktstatistiken/4302!onlineStats?productGroupId=13370&amp;productId=69660&amp;viewType=&amp;cp=Call&amp;month=08&amp;year=2023&amp;busDate=20230810")),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</si>
  <si>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9.00</t>
  </si>
  <si>
    <t>Python auslesen der Eurexdaten via api, das Python script kopiert die Daten in diese Excel Tabelle</t>
  </si>
  <si>
    <t>Glossar</t>
  </si>
  <si>
    <t>Verfallsdatum ist für die DAX und STOXX Optionen jeweils der 3. Freitag jedes Monats</t>
  </si>
  <si>
    <t>Tage bis zum Verfallsdatum incl. Wochenende und Feiertage</t>
  </si>
  <si>
    <t xml:space="preserve">kleiner Verfall: </t>
  </si>
  <si>
    <t>Verfall der Optionen</t>
  </si>
  <si>
    <t>großer Verfall:</t>
  </si>
  <si>
    <t>Verfall der Optionen und Futuresgleichzeitig (mehrere Interessenlagen kommen zusammen!) =&gt; auf neuen Future-Kontrakt updaten</t>
  </si>
  <si>
    <t>Änderung des Optionspreises, wenn sich der Basispreis um 1 ändert.
Das Delta wird auch benutzt um die Ausübungswahrscheinlichkeit abzuschätzen:
Delta = 0,5 =&gt; 50% Wahrscheinlichkeit, dass die Option am Verfallstag mit Gewinn ausgeübt werden kann</t>
  </si>
  <si>
    <t>Future Delta Hedge</t>
  </si>
  <si>
    <t>Hedge an den Basispreisen im Future um Delta neutral zu sein</t>
  </si>
  <si>
    <t>Gamma</t>
  </si>
  <si>
    <t>Änderung des Deltas, wenn sich der Basispreis um 1 ändert, Beschleunigung der Preisänderung.</t>
  </si>
  <si>
    <t>Gamma long</t>
  </si>
  <si>
    <t>Gamma positiv
Der Theta-Gamma Optionshändler kann bei jeder Marktbewegung gewinnen =&gt; der Markt wird „klebrig“</t>
  </si>
  <si>
    <t>Gamma short</t>
  </si>
  <si>
    <t>Gamma negativ
Bei jeder Marktbewegung muss der Theta-Gamma Optionshändler hedgen – in Bewegungsrichtung
=&gt; der Markt wird hektisch</t>
  </si>
  <si>
    <t>Abschätzung des Hedgebedarfs</t>
  </si>
  <si>
    <t>Der Hedgebedarf im Future wird abgeschätzt nach dem Black-Scholes-Modell. Die Annahme ist, dass die wesentlichen Optionspositionen in wenigen Händen sind – daher wird je nach Markt hier ca. 50% abgeschätzt.
In der Kurve wird der Hedgebedarf bei Änderung des Basispreises um 1P abgeschätzt. Wie und wann die Theta-Gamma Optionshändler dann tatsächlich hedgen dürfte ein gut gehütetes Betriebsgeheimnis sein.</t>
  </si>
  <si>
    <t>10</t>
  </si>
  <si>
    <t>Call</t>
  </si>
  <si>
    <t>dSettle</t>
  </si>
  <si>
    <t>last</t>
  </si>
  <si>
    <t>low</t>
  </si>
  <si>
    <t>high</t>
  </si>
  <si>
    <t>open</t>
  </si>
  <si>
    <t>openInterest</t>
  </si>
  <si>
    <t>volume</t>
  </si>
  <si>
    <t>versionNumber</t>
  </si>
  <si>
    <t>strike</t>
  </si>
  <si>
    <t>callOrPut</t>
  </si>
  <si>
    <t>Put</t>
  </si>
  <si>
    <t>13-10-2023</t>
  </si>
  <si>
    <t>12-10-2023</t>
  </si>
  <si>
    <t>11-10-2023</t>
  </si>
  <si>
    <t>10-10-2023</t>
  </si>
  <si>
    <t>09-10-2023</t>
  </si>
  <si>
    <t>USD LIBOR 1 Monat</t>
  </si>
  <si>
    <t>5,44981 %</t>
  </si>
  <si>
    <t>5,44898 %</t>
  </si>
  <si>
    <t>5,44686 %</t>
  </si>
  <si>
    <t>5,46325 %</t>
  </si>
  <si>
    <t>5,45555 %</t>
  </si>
  <si>
    <t>GBP LIBOR 3 Monate</t>
  </si>
  <si>
    <t>5,40710 %</t>
  </si>
  <si>
    <t>5,40450 %</t>
  </si>
  <si>
    <t>5,40400 %</t>
  </si>
  <si>
    <t>5,40880 %</t>
  </si>
  <si>
    <t>5,40920 %</t>
  </si>
  <si>
    <t>33,50 (20.03.2023)</t>
  </si>
  <si>
    <t>11</t>
  </si>
  <si>
    <t>Hedge fertig</t>
  </si>
  <si>
    <t>C:\Detlef\Tradematiker\Research\Optionen\OI-Abfrage\send\STOXX OI-Abfrage 2023-10-17 V9.00.pdf</t>
  </si>
  <si>
    <t>19,87 PKT</t>
  </si>
  <si>
    <t>17.10.2023 17:30:00</t>
  </si>
  <si>
    <t>19,52 /_x000D_
19,92</t>
  </si>
  <si>
    <t>19,21 /_x000D_
20,73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</si>
</sst>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409]d\-mmm\-yy;@"/>
    <numFmt numFmtId="167" formatCode="[$-F400]h:mm:ss\ AM/PM"/>
  </numFmts>
  <fonts count="41" x14ac:knownFonts="1">
    <font>
      <sz val="11"/>
      <color theme="1"/>
      <name val="Calibri"/>
      <family val="2"/>
      <scheme val="minor"/>
    </font>
    <font>
      <b/>
      <i/>
      <sz val="22"/>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b/>
      <sz val="24"/>
      <color theme="1"/>
      <name val="Calibri"/>
      <family val="2"/>
      <scheme val="minor"/>
    </font>
    <font>
      <b/>
      <i/>
      <sz val="24"/>
      <color theme="1"/>
      <name val="Calibri"/>
      <family val="2"/>
      <scheme val="minor"/>
    </font>
    <font>
      <b/>
      <sz val="16"/>
      <color theme="1"/>
      <name val="Calibri"/>
      <family val="2"/>
      <scheme val="minor"/>
    </font>
    <font>
      <sz val="14"/>
      <color theme="1"/>
      <name val="Calibri"/>
      <family val="2"/>
      <scheme val="minor"/>
    </font>
    <font>
      <b/>
      <sz val="14"/>
      <color theme="1"/>
      <name val="Calibri"/>
      <family val="2"/>
      <scheme val="minor"/>
    </font>
    <font>
      <b/>
      <i/>
      <sz val="14"/>
      <color theme="1"/>
      <name val="Calibri"/>
      <family val="2"/>
      <scheme val="minor"/>
    </font>
    <font>
      <b/>
      <i/>
      <sz val="8"/>
      <color theme="1"/>
      <name val="Calibri"/>
      <family val="2"/>
      <scheme val="minor"/>
    </font>
    <font>
      <sz val="14"/>
      <color rgb="FF595959"/>
      <name val="Calibri"/>
      <family val="2"/>
      <scheme val="minor"/>
    </font>
    <font>
      <u/>
      <sz val="11"/>
      <color theme="10"/>
      <name val="Calibri"/>
      <family val="2"/>
      <scheme val="minor"/>
    </font>
    <font>
      <b/>
      <sz val="11"/>
      <color theme="1"/>
      <name val="Calibri"/>
      <family val="2"/>
      <scheme val="minor"/>
    </font>
    <font>
      <sz val="11"/>
      <color theme="0"/>
      <name val="Calibri"/>
      <family val="2"/>
      <scheme val="minor"/>
    </font>
    <font>
      <b/>
      <sz val="14"/>
      <name val="Calibri"/>
      <family val="2"/>
      <scheme val="minor"/>
    </font>
    <font>
      <b/>
      <i/>
      <sz val="22"/>
      <color theme="0"/>
      <name val="Calibri"/>
      <family val="2"/>
      <scheme val="minor"/>
    </font>
    <font>
      <i/>
      <sz val="14"/>
      <color theme="0"/>
      <name val="Calibri"/>
      <family val="2"/>
      <scheme val="minor"/>
    </font>
    <font>
      <b/>
      <i/>
      <sz val="22"/>
      <color theme="0"/>
      <name val="Arial"/>
      <family val="2"/>
    </font>
    <font>
      <b/>
      <i/>
      <sz val="24"/>
      <color theme="0"/>
      <name val="Calibri"/>
      <family val="2"/>
      <scheme val="minor"/>
    </font>
    <font>
      <b/>
      <i/>
      <sz val="14"/>
      <color theme="0"/>
      <name val="Calibri"/>
      <family val="2"/>
      <scheme val="minor"/>
    </font>
    <font>
      <b/>
      <sz val="14"/>
      <color theme="0"/>
      <name val="Calibri"/>
      <family val="2"/>
      <scheme val="minor"/>
    </font>
    <font>
      <b/>
      <sz val="24"/>
      <color theme="0"/>
      <name val="Calibri"/>
      <family val="2"/>
      <scheme val="minor"/>
    </font>
    <font>
      <sz val="14"/>
      <color theme="0"/>
      <name val="Calibri"/>
      <family val="2"/>
      <scheme val="minor"/>
    </font>
    <font>
      <sz val="8"/>
      <name val="Calibri"/>
      <family val="2"/>
      <scheme val="minor"/>
    </font>
    <font>
      <sz val="11"/>
      <name val="Calibri"/>
      <family val="2"/>
      <scheme val="minor"/>
    </font>
    <font>
      <sz val="10"/>
      <color rgb="FF000000"/>
      <name val="Arial"/>
      <family val="2"/>
    </font>
    <font>
      <sz val="14"/>
      <color rgb="FF000000"/>
      <name val="Calibri"/>
      <family val="2"/>
    </font>
    <font>
      <sz val="11"/>
      <color rgb="FF000000"/>
      <name val="Calibri"/>
      <family val="2"/>
    </font>
    <font>
      <i/>
      <sz val="22"/>
      <color rgb="FF000000"/>
      <name val="Calibri"/>
      <family val="2"/>
    </font>
    <font>
      <b/>
      <sz val="16"/>
      <color rgb="FF2F5496"/>
      <name val="Calibri Light"/>
      <family val="2"/>
    </font>
    <font>
      <sz val="13"/>
      <color theme="1"/>
      <name val="Calibri"/>
      <family val="2"/>
      <scheme val="minor"/>
    </font>
    <font>
      <sz val="18"/>
      <color theme="1"/>
      <name val="Calibri"/>
      <family val="2"/>
      <scheme val="minor"/>
    </font>
    <font>
      <b/>
      <sz val="18"/>
      <color rgb="FF2F5496"/>
      <name val="Calibri Light"/>
      <family val="2"/>
    </font>
    <font>
      <b/>
      <sz val="22"/>
      <color theme="4" tint="-0.499984740745262"/>
      <name val="Calibri"/>
      <family val="2"/>
      <scheme val="minor"/>
    </font>
    <font>
      <sz val="11"/>
      <color theme="1" tint="0.34998626667073579"/>
      <name val="Calibri"/>
      <family val="2"/>
      <scheme val="minor"/>
    </font>
    <font>
      <sz val="11"/>
      <color theme="0" tint="-0.34998626667073579"/>
      <name val="Calibri"/>
      <family val="2"/>
      <scheme val="minor"/>
    </font>
    <font>
      <b/>
      <i/>
      <sz val="12"/>
      <color theme="1"/>
      <name val="Calibri"/>
      <family val="2"/>
      <scheme val="minor"/>
    </font>
    <font>
      <b/>
      <vertAlign val="subscript"/>
      <sz val="16"/>
      <color rgb="FF000000"/>
      <name val="Calibri"/>
      <family val="2"/>
      <scheme val="minor"/>
    </font>
    <font>
      <vertAlign val="subscript"/>
      <sz val="16"/>
      <color rgb="FF000000"/>
      <name val="Calibri"/>
      <family val="2"/>
      <scheme val="minor"/>
    </font>
  </fonts>
  <fills count="24">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indexed="11"/>
        <bgColor indexed="64"/>
      </patternFill>
    </fill>
    <fill>
      <patternFill patternType="solid">
        <fgColor theme="4" tint="0.59999389629810485"/>
        <bgColor indexed="64"/>
      </patternFill>
    </fill>
    <fill>
      <patternFill patternType="solid">
        <fgColor rgb="FF5CB6D2"/>
        <bgColor indexed="64"/>
      </patternFill>
    </fill>
    <fill>
      <patternFill patternType="solid">
        <fgColor rgb="FF8ADE9A"/>
        <bgColor indexed="64"/>
      </patternFill>
    </fill>
    <fill>
      <patternFill patternType="solid">
        <fgColor theme="0"/>
        <bgColor indexed="64"/>
      </patternFill>
    </fill>
    <fill>
      <patternFill patternType="solid">
        <fgColor rgb="FFFFFF00"/>
        <bgColor indexed="64"/>
      </patternFill>
    </fill>
    <fill>
      <patternFill patternType="solid">
        <fgColor theme="7"/>
        <bgColor indexed="64"/>
      </patternFill>
    </fill>
    <fill>
      <patternFill patternType="solid">
        <fgColor theme="8" tint="0.39997558519241921"/>
        <bgColor indexed="64"/>
      </patternFill>
    </fill>
    <fill>
      <patternFill patternType="solid">
        <fgColor rgb="FF9BC2E6"/>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rgb="FFFFFFFF"/>
        <bgColor rgb="FF000000"/>
      </patternFill>
    </fill>
    <fill>
      <patternFill patternType="solid">
        <fgColor theme="5"/>
        <bgColor indexed="64"/>
      </patternFill>
    </fill>
    <fill>
      <patternFill patternType="solid">
        <fgColor theme="0" tint="-0.14999847407452621"/>
        <bgColor indexed="64"/>
      </patternFill>
    </fill>
    <fill>
      <patternFill patternType="solid">
        <fgColor theme="5" tint="0.79998168889431442"/>
        <bgColor indexed="64"/>
      </patternFill>
    </fill>
  </fills>
  <borders count="2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2">
    <xf numFmtId="0" fontId="0" fillId="0" borderId="0"/>
    <xf numFmtId="0" fontId="13" fillId="0" borderId="0" applyNumberFormat="0" applyFill="0" applyBorder="0" applyAlignment="0" applyProtection="0"/>
  </cellStyleXfs>
  <cellXfs count="139">
    <xf numFmtId="0" fontId="0" fillId="0" borderId="0" xfId="0"/>
    <xf numFmtId="0" fontId="0" fillId="2" borderId="0" xfId="0" applyFill="1"/>
    <xf numFmtId="0" fontId="0" fillId="2" borderId="0" xfId="0" applyFill="1" applyAlignment="1">
      <alignment vertical="center"/>
    </xf>
    <xf numFmtId="3" fontId="0" fillId="2" borderId="0" xfId="0" applyNumberFormat="1" applyFill="1" applyAlignment="1">
      <alignment vertical="center"/>
    </xf>
    <xf numFmtId="164" fontId="0" fillId="2" borderId="0" xfId="0" applyNumberFormat="1" applyFill="1"/>
    <xf numFmtId="164" fontId="0" fillId="0" borderId="0" xfId="0" applyNumberFormat="1"/>
    <xf numFmtId="0" fontId="0" fillId="2" borderId="2" xfId="0" applyFill="1" applyBorder="1"/>
    <xf numFmtId="0" fontId="0" fillId="2" borderId="3" xfId="0" applyFill="1" applyBorder="1"/>
    <xf numFmtId="0" fontId="0" fillId="2" borderId="4" xfId="0" applyFill="1" applyBorder="1"/>
    <xf numFmtId="0" fontId="2" fillId="0" borderId="0" xfId="0" applyFont="1"/>
    <xf numFmtId="0" fontId="2" fillId="3" borderId="1" xfId="0" applyFont="1" applyFill="1" applyBorder="1"/>
    <xf numFmtId="3" fontId="2" fillId="3" borderId="1" xfId="0" applyNumberFormat="1" applyFont="1" applyFill="1" applyBorder="1"/>
    <xf numFmtId="165" fontId="2" fillId="4" borderId="0" xfId="0" applyNumberFormat="1" applyFont="1" applyFill="1"/>
    <xf numFmtId="0" fontId="3" fillId="0" borderId="0" xfId="0" applyFont="1"/>
    <xf numFmtId="0" fontId="3" fillId="0" borderId="0" xfId="0" quotePrefix="1" applyFont="1"/>
    <xf numFmtId="0" fontId="2" fillId="4" borderId="0" xfId="0" applyFont="1" applyFill="1"/>
    <xf numFmtId="14" fontId="0" fillId="3" borderId="1" xfId="0" applyNumberFormat="1" applyFill="1" applyBorder="1"/>
    <xf numFmtId="14" fontId="0" fillId="5" borderId="0" xfId="0" applyNumberFormat="1" applyFill="1"/>
    <xf numFmtId="0" fontId="0" fillId="0" borderId="0" xfId="0" applyAlignment="1">
      <alignment horizontal="center"/>
    </xf>
    <xf numFmtId="0" fontId="2" fillId="6" borderId="0" xfId="0" applyFont="1" applyFill="1"/>
    <xf numFmtId="0" fontId="0" fillId="2" borderId="0" xfId="0" applyFill="1" applyAlignment="1">
      <alignment horizontal="center"/>
    </xf>
    <xf numFmtId="14" fontId="3" fillId="2" borderId="1" xfId="0" applyNumberFormat="1" applyFont="1" applyFill="1" applyBorder="1"/>
    <xf numFmtId="0" fontId="3" fillId="2" borderId="1" xfId="0" applyFont="1" applyFill="1" applyBorder="1"/>
    <xf numFmtId="0" fontId="8" fillId="0" borderId="0" xfId="0" applyFont="1"/>
    <xf numFmtId="0" fontId="0" fillId="2" borderId="0" xfId="0" applyFill="1" applyAlignment="1">
      <alignment horizontal="left"/>
    </xf>
    <xf numFmtId="0" fontId="0" fillId="0" borderId="0" xfId="0" applyAlignment="1">
      <alignment wrapText="1"/>
    </xf>
    <xf numFmtId="0" fontId="8" fillId="2" borderId="13" xfId="0" applyFont="1" applyFill="1" applyBorder="1" applyAlignment="1">
      <alignment horizontal="center"/>
    </xf>
    <xf numFmtId="1" fontId="8" fillId="2" borderId="5" xfId="0" applyNumberFormat="1" applyFont="1" applyFill="1" applyBorder="1"/>
    <xf numFmtId="1" fontId="8" fillId="2" borderId="6" xfId="0" applyNumberFormat="1" applyFont="1" applyFill="1" applyBorder="1"/>
    <xf numFmtId="1" fontId="8" fillId="2" borderId="8" xfId="0" applyNumberFormat="1" applyFont="1" applyFill="1" applyBorder="1"/>
    <xf numFmtId="1" fontId="8" fillId="2" borderId="0" xfId="0" applyNumberFormat="1" applyFont="1" applyFill="1"/>
    <xf numFmtId="1" fontId="8" fillId="2" borderId="9" xfId="0" applyNumberFormat="1" applyFont="1" applyFill="1" applyBorder="1"/>
    <xf numFmtId="0" fontId="8" fillId="2" borderId="14" xfId="0" applyFont="1" applyFill="1" applyBorder="1" applyAlignment="1">
      <alignment horizontal="center"/>
    </xf>
    <xf numFmtId="0" fontId="8" fillId="10" borderId="0" xfId="0" applyFont="1" applyFill="1" applyAlignment="1">
      <alignment horizontal="left"/>
    </xf>
    <xf numFmtId="0" fontId="8" fillId="9" borderId="0" xfId="0" applyFont="1" applyFill="1" applyAlignment="1">
      <alignment horizontal="left"/>
    </xf>
    <xf numFmtId="0" fontId="9" fillId="2" borderId="13" xfId="0" applyFont="1" applyFill="1" applyBorder="1"/>
    <xf numFmtId="0" fontId="9" fillId="2" borderId="14" xfId="0" applyFont="1" applyFill="1" applyBorder="1"/>
    <xf numFmtId="0" fontId="6" fillId="0" borderId="0" xfId="0" applyFont="1" applyAlignment="1">
      <alignment wrapText="1"/>
    </xf>
    <xf numFmtId="0" fontId="6" fillId="11" borderId="0" xfId="0" applyFont="1" applyFill="1" applyAlignment="1">
      <alignment wrapText="1"/>
    </xf>
    <xf numFmtId="0" fontId="0" fillId="12" borderId="0" xfId="0" applyFill="1"/>
    <xf numFmtId="14" fontId="2" fillId="0" borderId="0" xfId="0" applyNumberFormat="1" applyFont="1"/>
    <xf numFmtId="14" fontId="0" fillId="0" borderId="0" xfId="0" applyNumberFormat="1"/>
    <xf numFmtId="4" fontId="2" fillId="12" borderId="1" xfId="0" applyNumberFormat="1" applyFont="1" applyFill="1" applyBorder="1" applyAlignment="1">
      <alignment wrapText="1"/>
    </xf>
    <xf numFmtId="49" fontId="2" fillId="0" borderId="0" xfId="0" quotePrefix="1" applyNumberFormat="1" applyFont="1"/>
    <xf numFmtId="0" fontId="2" fillId="11" borderId="0" xfId="0" applyFont="1" applyFill="1"/>
    <xf numFmtId="166" fontId="2" fillId="0" borderId="0" xfId="0" applyNumberFormat="1" applyFont="1"/>
    <xf numFmtId="0" fontId="13" fillId="0" borderId="0" xfId="1"/>
    <xf numFmtId="0" fontId="14" fillId="15" borderId="0" xfId="0" applyFont="1" applyFill="1"/>
    <xf numFmtId="49" fontId="0" fillId="16" borderId="0" xfId="0" applyNumberFormat="1" applyFill="1" applyAlignment="1">
      <alignment horizontal="center"/>
    </xf>
    <xf numFmtId="0" fontId="0" fillId="5" borderId="0" xfId="0" applyFill="1" applyAlignment="1">
      <alignment horizontal="center"/>
    </xf>
    <xf numFmtId="10" fontId="2" fillId="0" borderId="0" xfId="0" applyNumberFormat="1" applyFont="1"/>
    <xf numFmtId="0" fontId="2" fillId="17" borderId="0" xfId="0" applyFont="1" applyFill="1"/>
    <xf numFmtId="0" fontId="0" fillId="18" borderId="0" xfId="0" applyFill="1"/>
    <xf numFmtId="0" fontId="2" fillId="12" borderId="0" xfId="0" applyFont="1" applyFill="1"/>
    <xf numFmtId="0" fontId="12" fillId="0" borderId="0" xfId="0" applyFont="1" applyAlignment="1">
      <alignment horizontal="left" vertical="center" readingOrder="1"/>
    </xf>
    <xf numFmtId="0" fontId="15" fillId="19" borderId="21" xfId="0" applyFont="1" applyFill="1" applyBorder="1"/>
    <xf numFmtId="0" fontId="22" fillId="19" borderId="17" xfId="0" applyFont="1" applyFill="1" applyBorder="1"/>
    <xf numFmtId="14" fontId="22" fillId="19" borderId="1" xfId="0" applyNumberFormat="1" applyFont="1" applyFill="1" applyBorder="1"/>
    <xf numFmtId="0" fontId="3" fillId="19" borderId="11" xfId="0" applyFont="1" applyFill="1" applyBorder="1"/>
    <xf numFmtId="0" fontId="0" fillId="19" borderId="0" xfId="0" applyFill="1"/>
    <xf numFmtId="0" fontId="3" fillId="19" borderId="0" xfId="0" applyFont="1" applyFill="1"/>
    <xf numFmtId="0" fontId="15" fillId="19" borderId="0" xfId="0" applyFont="1" applyFill="1" applyAlignment="1">
      <alignment horizontal="center"/>
    </xf>
    <xf numFmtId="0" fontId="15" fillId="19" borderId="0" xfId="0" applyFont="1" applyFill="1"/>
    <xf numFmtId="0" fontId="24" fillId="19" borderId="0" xfId="0" applyFont="1" applyFill="1"/>
    <xf numFmtId="0" fontId="22" fillId="19" borderId="0" xfId="0" applyFont="1" applyFill="1"/>
    <xf numFmtId="0" fontId="16" fillId="6" borderId="0" xfId="0" applyFont="1" applyFill="1" applyAlignment="1">
      <alignment horizontal="center"/>
    </xf>
    <xf numFmtId="165" fontId="2" fillId="0" borderId="0" xfId="0" applyNumberFormat="1" applyFont="1"/>
    <xf numFmtId="0" fontId="26" fillId="12" borderId="0" xfId="0" applyFont="1" applyFill="1"/>
    <xf numFmtId="4" fontId="27" fillId="0" borderId="0" xfId="0" applyNumberFormat="1" applyFont="1"/>
    <xf numFmtId="0" fontId="8" fillId="2" borderId="0" xfId="0" applyFont="1" applyFill="1" applyAlignment="1">
      <alignment horizontal="center"/>
    </xf>
    <xf numFmtId="0" fontId="29" fillId="20" borderId="0" xfId="0" applyFont="1" applyFill="1" applyAlignment="1">
      <alignment horizontal="left"/>
    </xf>
    <xf numFmtId="0" fontId="8" fillId="2" borderId="6" xfId="0" applyFont="1" applyFill="1" applyBorder="1" applyAlignment="1">
      <alignment horizontal="center"/>
    </xf>
    <xf numFmtId="0" fontId="28" fillId="20" borderId="0" xfId="0" applyFont="1" applyFill="1" applyAlignment="1">
      <alignment horizontal="center" vertical="top" wrapText="1"/>
    </xf>
    <xf numFmtId="10" fontId="2" fillId="17" borderId="0" xfId="0" applyNumberFormat="1" applyFont="1" applyFill="1"/>
    <xf numFmtId="0" fontId="0" fillId="0" borderId="0" xfId="0" applyAlignment="1">
      <alignment vertical="top"/>
    </xf>
    <xf numFmtId="49" fontId="0" fillId="0" borderId="0" xfId="0" applyNumberFormat="1" applyAlignment="1">
      <alignment horizontal="center" vertical="top"/>
    </xf>
    <xf numFmtId="14" fontId="0" fillId="0" borderId="0" xfId="0" applyNumberFormat="1" applyAlignment="1">
      <alignment vertical="top"/>
    </xf>
    <xf numFmtId="0" fontId="0" fillId="0" borderId="0" xfId="0" applyAlignment="1">
      <alignment vertical="top" wrapText="1"/>
    </xf>
    <xf numFmtId="49" fontId="0" fillId="11" borderId="0" xfId="0" applyNumberFormat="1" applyFill="1" applyAlignment="1">
      <alignment horizontal="center" vertical="top"/>
    </xf>
    <xf numFmtId="0" fontId="0" fillId="21" borderId="0" xfId="0" applyFill="1"/>
    <xf numFmtId="0" fontId="14" fillId="0" borderId="0" xfId="0" applyFont="1"/>
    <xf numFmtId="0" fontId="31" fillId="0" borderId="0" xfId="0" applyFont="1" applyAlignment="1">
      <alignment vertical="center"/>
    </xf>
    <xf numFmtId="0" fontId="9" fillId="0" borderId="0" xfId="0" applyFont="1"/>
    <xf numFmtId="0" fontId="34" fillId="0" borderId="0" xfId="0" applyFont="1" applyAlignment="1">
      <alignment vertical="center"/>
    </xf>
    <xf numFmtId="0" fontId="35" fillId="0" borderId="0" xfId="0" applyFont="1"/>
    <xf numFmtId="0" fontId="32" fillId="0" borderId="0" xfId="0" applyFont="1"/>
    <xf numFmtId="0" fontId="33" fillId="0" borderId="0" xfId="0" applyFont="1"/>
    <xf numFmtId="0" fontId="0" fillId="0" borderId="0" xfId="0" applyAlignment="1">
      <alignment horizontal="left" vertical="center"/>
    </xf>
    <xf numFmtId="0" fontId="27" fillId="0" borderId="0" xfId="0" applyFont="1"/>
    <xf numFmtId="14" fontId="37" fillId="22" borderId="0" xfId="0" applyNumberFormat="1" applyFont="1" applyFill="1"/>
    <xf numFmtId="167" fontId="0" fillId="0" borderId="0" xfId="0" applyNumberFormat="1"/>
    <xf numFmtId="10" fontId="2" fillId="23" borderId="0" xfId="0" applyNumberFormat="1" applyFont="1" applyFill="1"/>
    <xf numFmtId="0" fontId="0" fillId="0" borderId="0" xfId="0" applyNumberFormat="1"/>
    <xf numFmtId="49" fontId="0" fillId="13" borderId="0" xfId="0" applyNumberFormat="1" applyFill="1" applyAlignment="1">
      <alignment horizontal="center"/>
    </xf>
    <xf numFmtId="0" fontId="38" fillId="0" borderId="0" xfId="0" applyFont="1" applyAlignment="1">
      <alignment horizontal="left" vertical="top" wrapText="1"/>
    </xf>
    <xf numFmtId="0" fontId="14" fillId="0" borderId="0" xfId="0" applyFont="1" applyAlignment="1">
      <alignment horizontal="left" vertical="top" wrapText="1"/>
    </xf>
    <xf numFmtId="0" fontId="39" fillId="0" borderId="0" xfId="0" applyFont="1" applyAlignment="1">
      <alignment horizontal="left" vertical="top" readingOrder="1"/>
    </xf>
    <xf numFmtId="0" fontId="40" fillId="0" borderId="0" xfId="0" applyFont="1" applyAlignment="1">
      <alignment horizontal="left" vertical="center" readingOrder="1"/>
    </xf>
    <xf numFmtId="0" fontId="40" fillId="0" borderId="0" xfId="0" applyFont="1" applyAlignment="1">
      <alignment vertical="center" readingOrder="1"/>
    </xf>
    <xf numFmtId="0" fontId="40" fillId="0" borderId="0" xfId="0" applyFont="1" applyAlignment="1">
      <alignment vertical="center" wrapText="1" readingOrder="1"/>
    </xf>
    <xf numFmtId="0" fontId="0" fillId="0" borderId="0" xfId="0" applyAlignment="1">
      <alignment horizontal="left" vertical="top" wrapText="1"/>
    </xf>
    <xf numFmtId="0" fontId="1" fillId="0" borderId="0" xfId="0" applyFont="1" applyAlignment="1">
      <alignment horizontal="center" vertical="top" wrapText="1"/>
    </xf>
    <xf numFmtId="14" fontId="5" fillId="0" borderId="0" xfId="0" applyNumberFormat="1" applyFont="1" applyAlignment="1">
      <alignment horizontal="left" vertical="top"/>
    </xf>
    <xf numFmtId="0" fontId="5" fillId="0" borderId="0" xfId="0" applyFont="1" applyAlignment="1">
      <alignment horizontal="left" vertical="top"/>
    </xf>
    <xf numFmtId="0" fontId="0" fillId="7" borderId="0" xfId="0" applyFill="1" applyAlignment="1">
      <alignment horizontal="center" wrapText="1"/>
    </xf>
    <xf numFmtId="0" fontId="36" fillId="0" borderId="0" xfId="0" applyFont="1" applyAlignment="1">
      <alignment horizontal="center"/>
    </xf>
    <xf numFmtId="0" fontId="0" fillId="0" borderId="0" xfId="0" applyAlignment="1">
      <alignment horizontal="left" wrapText="1"/>
    </xf>
    <xf numFmtId="0" fontId="14" fillId="14" borderId="0" xfId="0" applyFont="1" applyFill="1" applyAlignment="1">
      <alignment horizontal="center"/>
    </xf>
    <xf numFmtId="0" fontId="13" fillId="0" borderId="0" xfId="1" applyAlignment="1">
      <alignment horizontal="left" wrapText="1"/>
    </xf>
    <xf numFmtId="0" fontId="14" fillId="15" borderId="0" xfId="0" applyFont="1" applyFill="1" applyAlignment="1">
      <alignment horizontal="center"/>
    </xf>
    <xf numFmtId="0" fontId="14" fillId="15" borderId="0" xfId="0" applyFont="1" applyFill="1" applyAlignment="1">
      <alignment horizontal="center" vertical="center"/>
    </xf>
    <xf numFmtId="0" fontId="17" fillId="19" borderId="19" xfId="0" applyFont="1" applyFill="1" applyBorder="1" applyAlignment="1">
      <alignment horizontal="center" vertical="top" wrapText="1"/>
    </xf>
    <xf numFmtId="0" fontId="17" fillId="19" borderId="20" xfId="0" applyFont="1" applyFill="1" applyBorder="1" applyAlignment="1">
      <alignment horizontal="center" vertical="top" wrapText="1"/>
    </xf>
    <xf numFmtId="14" fontId="19" fillId="19" borderId="20" xfId="0" applyNumberFormat="1" applyFont="1" applyFill="1" applyBorder="1" applyAlignment="1">
      <alignment horizontal="center" vertical="top"/>
    </xf>
    <xf numFmtId="0" fontId="20" fillId="19" borderId="8" xfId="0" applyFont="1" applyFill="1" applyBorder="1" applyAlignment="1">
      <alignment horizontal="center" vertical="center" wrapText="1"/>
    </xf>
    <xf numFmtId="0" fontId="20" fillId="19" borderId="0" xfId="0" applyFont="1" applyFill="1" applyAlignment="1">
      <alignment horizontal="center" vertical="center" wrapText="1"/>
    </xf>
    <xf numFmtId="0" fontId="6" fillId="8" borderId="0" xfId="0" applyFont="1" applyFill="1" applyAlignment="1">
      <alignment horizontal="center" wrapText="1"/>
    </xf>
    <xf numFmtId="0" fontId="22" fillId="19" borderId="18" xfId="0" applyFont="1" applyFill="1" applyBorder="1" applyAlignment="1">
      <alignment horizontal="center"/>
    </xf>
    <xf numFmtId="0" fontId="22" fillId="19" borderId="13" xfId="0" applyFont="1" applyFill="1" applyBorder="1" applyAlignment="1">
      <alignment horizontal="center"/>
    </xf>
    <xf numFmtId="0" fontId="22" fillId="19" borderId="14" xfId="0" applyFont="1" applyFill="1" applyBorder="1" applyAlignment="1">
      <alignment horizontal="center"/>
    </xf>
    <xf numFmtId="0" fontId="23" fillId="19" borderId="5" xfId="0" applyFont="1" applyFill="1" applyBorder="1" applyAlignment="1">
      <alignment horizontal="center" vertical="center"/>
    </xf>
    <xf numFmtId="0" fontId="23" fillId="19" borderId="6" xfId="0" applyFont="1" applyFill="1" applyBorder="1" applyAlignment="1">
      <alignment horizontal="center" vertical="center"/>
    </xf>
    <xf numFmtId="0" fontId="23" fillId="19" borderId="7" xfId="0" applyFont="1" applyFill="1" applyBorder="1" applyAlignment="1">
      <alignment horizontal="center" vertical="center"/>
    </xf>
    <xf numFmtId="0" fontId="23" fillId="19" borderId="10" xfId="0" applyFont="1" applyFill="1" applyBorder="1" applyAlignment="1">
      <alignment horizontal="center" vertical="center"/>
    </xf>
    <xf numFmtId="0" fontId="23" fillId="19" borderId="11" xfId="0" applyFont="1" applyFill="1" applyBorder="1" applyAlignment="1">
      <alignment horizontal="center" vertical="center"/>
    </xf>
    <xf numFmtId="0" fontId="23" fillId="19" borderId="12" xfId="0" applyFont="1" applyFill="1" applyBorder="1" applyAlignment="1">
      <alignment horizontal="center" vertical="center"/>
    </xf>
    <xf numFmtId="0" fontId="7" fillId="2" borderId="15" xfId="0" applyFont="1" applyFill="1" applyBorder="1" applyAlignment="1">
      <alignment horizontal="center"/>
    </xf>
    <xf numFmtId="0" fontId="7" fillId="2" borderId="16" xfId="0" applyFont="1" applyFill="1" applyBorder="1" applyAlignment="1">
      <alignment horizontal="center"/>
    </xf>
    <xf numFmtId="0" fontId="7" fillId="2" borderId="17" xfId="0" applyFont="1" applyFill="1" applyBorder="1" applyAlignment="1">
      <alignment horizontal="center"/>
    </xf>
    <xf numFmtId="0" fontId="0" fillId="2" borderId="0" xfId="0" applyFill="1" applyAlignment="1">
      <alignment horizontal="center" wrapText="1"/>
    </xf>
    <xf numFmtId="0" fontId="0" fillId="2" borderId="0" xfId="0" applyFill="1" applyAlignment="1">
      <alignment horizontal="center"/>
    </xf>
    <xf numFmtId="0" fontId="28" fillId="20" borderId="15" xfId="0" applyFont="1" applyFill="1" applyBorder="1" applyAlignment="1">
      <alignment horizontal="center" vertical="top" wrapText="1"/>
    </xf>
    <xf numFmtId="0" fontId="28" fillId="20" borderId="16" xfId="0" applyFont="1" applyFill="1" applyBorder="1" applyAlignment="1">
      <alignment horizontal="center" vertical="top" wrapText="1"/>
    </xf>
    <xf numFmtId="0" fontId="28" fillId="20" borderId="17" xfId="0" applyFont="1" applyFill="1" applyBorder="1" applyAlignment="1">
      <alignment horizontal="center" vertical="top" wrapText="1"/>
    </xf>
    <xf numFmtId="0" fontId="0" fillId="2" borderId="0" xfId="0" applyFill="1" applyAlignment="1">
      <alignment horizontal="center" vertical="center" wrapText="1"/>
    </xf>
    <xf numFmtId="0" fontId="11" fillId="0" borderId="0" xfId="0" applyFont="1" applyAlignment="1">
      <alignment horizontal="center" wrapText="1"/>
    </xf>
    <xf numFmtId="0" fontId="2" fillId="2" borderId="0" xfId="0" applyFont="1" applyFill="1" applyAlignment="1">
      <alignment horizontal="center" vertical="center" wrapText="1"/>
    </xf>
    <xf numFmtId="0" fontId="30" fillId="20" borderId="0" xfId="0" applyFont="1" applyFill="1" applyAlignment="1">
      <alignment horizontal="center" vertical="top" wrapText="1"/>
    </xf>
    <xf numFmtId="0" fontId="14" fillId="0" borderId="22" xfId="0" applyFont="1" applyBorder="1" applyAlignment="1">
      <alignment horizontal="center" vertical="top"/>
    </xf>
  </cellXfs>
  <cellStyles count="2">
    <cellStyle name="Link" xfId="1" builtinId="8"/>
    <cellStyle name="Standard" xfId="0" builtinId="0"/>
  </cellStyles>
  <dxfs count="63">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theme="1"/>
      </font>
      <fill>
        <patternFill>
          <bgColor rgb="FF8ADE9A"/>
        </patternFill>
      </fill>
    </dxf>
    <dxf>
      <font>
        <color theme="1"/>
      </font>
      <fill>
        <patternFill>
          <bgColor rgb="FF5CB6D2"/>
        </patternFill>
      </fill>
    </dxf>
    <dxf>
      <font>
        <color theme="1"/>
      </font>
      <fill>
        <patternFill>
          <bgColor rgb="FF8ADE9A"/>
        </patternFill>
      </fill>
    </dxf>
    <dxf>
      <font>
        <color theme="1"/>
      </font>
      <fill>
        <patternFill>
          <bgColor rgb="FF5CB6D2"/>
        </patternFill>
      </fil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C5D3ED"/>
      <color rgb="FF9BC2E6"/>
      <color rgb="FF5CB6D2"/>
      <color rgb="FF8ADE9A"/>
      <color rgb="FF8BA7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image" Target="../media/image11.JPG"/></Relationships>
</file>

<file path=xl/charts/_rels/chart2.xml.rels><?xml version="1.0" encoding="UTF-8" standalone="yes"?>
<Relationships xmlns="http://schemas.openxmlformats.org/package/2006/relationships"><Relationship Id="rId1" Type="http://schemas.openxmlformats.org/officeDocument/2006/relationships/image" Target="../media/image11.JPG"/></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Hedgebedarf+01</c:v>
          </c:tx>
          <c:spPr>
            <a:ln w="19050" cap="rnd">
              <a:solidFill>
                <a:schemeClr val="accent1"/>
              </a:solidFill>
              <a:round/>
            </a:ln>
            <a:effectLst/>
          </c:spPr>
          <c:marker>
            <c:symbol val="none"/>
          </c:marker>
          <c:xVal>
            <c:numRef>
              <c:f>'STOXX_HedgeBedarf+01'!$C$5:$C$205</c:f>
              <c:numCache>
                <c:formatCode>0.0</c:formatCode>
                <c:ptCount val="201"/>
                <c:pt idx="0">
                  <c:v>-76.729997398522542</c:v>
                </c:pt>
                <c:pt idx="1">
                  <c:v>-88.629205814088678</c:v>
                </c:pt>
                <c:pt idx="2">
                  <c:v>-101.64424291510271</c:v>
                </c:pt>
                <c:pt idx="3">
                  <c:v>-115.81032025882891</c:v>
                </c:pt>
                <c:pt idx="4">
                  <c:v>-131.17560854379329</c:v>
                </c:pt>
                <c:pt idx="5">
                  <c:v>-147.80829597832025</c:v>
                </c:pt>
                <c:pt idx="6">
                  <c:v>-165.80383053648211</c:v>
                </c:pt>
                <c:pt idx="7">
                  <c:v>-185.29176534716945</c:v>
                </c:pt>
                <c:pt idx="8">
                  <c:v>-206.44147050807692</c:v>
                </c:pt>
                <c:pt idx="9">
                  <c:v>-229.4657966099837</c:v>
                </c:pt>
                <c:pt idx="10">
                  <c:v>-254.62158867109355</c:v>
                </c:pt>
                <c:pt idx="11">
                  <c:v>-282.20578657133552</c:v>
                </c:pt>
                <c:pt idx="12">
                  <c:v>-312.54576303998908</c:v>
                </c:pt>
                <c:pt idx="13">
                  <c:v>-345.98261348223383</c:v>
                </c:pt>
                <c:pt idx="14">
                  <c:v>-382.84640005643564</c:v>
                </c:pt>
                <c:pt idx="15">
                  <c:v>-423.42292996673734</c:v>
                </c:pt>
                <c:pt idx="16">
                  <c:v>-467.91254499016526</c:v>
                </c:pt>
                <c:pt idx="17">
                  <c:v>-516.38258933027919</c:v>
                </c:pt>
                <c:pt idx="18">
                  <c:v>-568.71660712078335</c:v>
                </c:pt>
                <c:pt idx="19">
                  <c:v>-624.56472467104902</c:v>
                </c:pt>
                <c:pt idx="20">
                  <c:v>-683.30085911153901</c:v>
                </c:pt>
                <c:pt idx="21">
                  <c:v>-743.99309765718556</c:v>
                </c:pt>
                <c:pt idx="22">
                  <c:v>-805.3935608474992</c:v>
                </c:pt>
                <c:pt idx="23">
                  <c:v>-865.95312205719836</c:v>
                </c:pt>
                <c:pt idx="24">
                  <c:v>-923.86445192397014</c:v>
                </c:pt>
                <c:pt idx="25">
                  <c:v>-977.13409783967529</c:v>
                </c:pt>
                <c:pt idx="26">
                  <c:v>-1023.6809716720679</c:v>
                </c:pt>
                <c:pt idx="27">
                  <c:v>-1061.4551234646158</c:v>
                </c:pt>
                <c:pt idx="28">
                  <c:v>-1088.5675308378172</c:v>
                </c:pt>
                <c:pt idx="29">
                  <c:v>-1103.4193425463297</c:v>
                </c:pt>
                <c:pt idx="30">
                  <c:v>-1104.8180014567286</c:v>
                </c:pt>
                <c:pt idx="31">
                  <c:v>-1092.0681882524702</c:v>
                </c:pt>
                <c:pt idx="32">
                  <c:v>-1065.0275986850804</c:v>
                </c:pt>
                <c:pt idx="33">
                  <c:v>-1024.1209809112547</c:v>
                </c:pt>
                <c:pt idx="34">
                  <c:v>-970.31019234221401</c:v>
                </c:pt>
                <c:pt idx="35">
                  <c:v>-905.02272297577451</c:v>
                </c:pt>
                <c:pt idx="36">
                  <c:v>-830.04556102326615</c:v>
                </c:pt>
                <c:pt idx="37">
                  <c:v>-747.39488221548345</c:v>
                </c:pt>
                <c:pt idx="38">
                  <c:v>-659.17439400873252</c:v>
                </c:pt>
                <c:pt idx="39">
                  <c:v>-567.43601394311077</c:v>
                </c:pt>
                <c:pt idx="40">
                  <c:v>-474.05586649746397</c:v>
                </c:pt>
                <c:pt idx="41">
                  <c:v>-380.63649361003058</c:v>
                </c:pt>
                <c:pt idx="42">
                  <c:v>-288.44298938220879</c:v>
                </c:pt>
                <c:pt idx="43">
                  <c:v>-198.37688663511096</c:v>
                </c:pt>
                <c:pt idx="44">
                  <c:v>-110.98748592897699</c:v>
                </c:pt>
                <c:pt idx="45">
                  <c:v>-26.516372739523877</c:v>
                </c:pt>
                <c:pt idx="46">
                  <c:v>55.032470568161102</c:v>
                </c:pt>
                <c:pt idx="47">
                  <c:v>133.80693210569859</c:v>
                </c:pt>
                <c:pt idx="48">
                  <c:v>210.01655011401411</c:v>
                </c:pt>
                <c:pt idx="49">
                  <c:v>283.84872938060664</c:v>
                </c:pt>
                <c:pt idx="50">
                  <c:v>355.40074701262552</c:v>
                </c:pt>
                <c:pt idx="51">
                  <c:v>424.63414273155371</c:v>
                </c:pt>
                <c:pt idx="52">
                  <c:v>491.35450508688876</c:v>
                </c:pt>
                <c:pt idx="53">
                  <c:v>555.21577267136342</c:v>
                </c:pt>
                <c:pt idx="54">
                  <c:v>615.7445841736893</c:v>
                </c:pt>
                <c:pt idx="55">
                  <c:v>672.37754883946604</c:v>
                </c:pt>
                <c:pt idx="56">
                  <c:v>724.5030651579707</c:v>
                </c:pt>
                <c:pt idx="57">
                  <c:v>771.49974671389418</c:v>
                </c:pt>
                <c:pt idx="58">
                  <c:v>812.76555193484057</c:v>
                </c:pt>
                <c:pt idx="59">
                  <c:v>847.73494365180647</c:v>
                </c:pt>
                <c:pt idx="60">
                  <c:v>875.88512075131916</c:v>
                </c:pt>
                <c:pt idx="61">
                  <c:v>896.73571137849524</c:v>
                </c:pt>
                <c:pt idx="62">
                  <c:v>909.84847737486632</c:v>
                </c:pt>
                <c:pt idx="63">
                  <c:v>914.83397448390065</c:v>
                </c:pt>
                <c:pt idx="64">
                  <c:v>911.37056157518111</c:v>
                </c:pt>
                <c:pt idx="65">
                  <c:v>899.2379409946634</c:v>
                </c:pt>
                <c:pt idx="66">
                  <c:v>878.36324899742181</c:v>
                </c:pt>
                <c:pt idx="67">
                  <c:v>848.8735737212919</c:v>
                </c:pt>
                <c:pt idx="68">
                  <c:v>811.14566742860245</c:v>
                </c:pt>
                <c:pt idx="69">
                  <c:v>765.84233781105797</c:v>
                </c:pt>
                <c:pt idx="70">
                  <c:v>713.92593906617537</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0-E407-4308-BD3C-1ADFF8D3F681}"/>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601.53911719132179</c:v>
                </c:pt>
              </c:numCache>
            </c:numRef>
          </c:xVal>
          <c:yVal>
            <c:numRef>
              <c:f>Ueberhaenge!$X$4</c:f>
              <c:numCache>
                <c:formatCode>#,##0.00</c:formatCode>
                <c:ptCount val="1"/>
                <c:pt idx="0">
                  <c:v>4159.1899999999996</c:v>
                </c:pt>
              </c:numCache>
            </c:numRef>
          </c:yVal>
          <c:smooth val="0"/>
          <c:extLst>
            <c:ext xmlns:c16="http://schemas.microsoft.com/office/drawing/2014/chart" uri="{C3380CC4-5D6E-409C-BE32-E72D297353CC}">
              <c16:uniqueId val="{00000001-E407-4308-BD3C-1ADFF8D3F681}"/>
            </c:ext>
          </c:extLst>
        </c:ser>
        <c:ser>
          <c:idx val="3"/>
          <c:order val="3"/>
          <c:tx>
            <c:v>Summe 2 Monate</c:v>
          </c:tx>
          <c:marker>
            <c:symbol val="none"/>
          </c:marker>
          <c:xVal>
            <c:numRef>
              <c:f>Ueberhaenge!$U$10:$U$210</c:f>
              <c:numCache>
                <c:formatCode>General</c:formatCode>
                <c:ptCount val="201"/>
                <c:pt idx="0">
                  <c:v>-400.87319318757869</c:v>
                </c:pt>
                <c:pt idx="1">
                  <c:v>-448.42038503681715</c:v>
                </c:pt>
                <c:pt idx="2">
                  <c:v>-497.95643591556467</c:v>
                </c:pt>
                <c:pt idx="3">
                  <c:v>-549.13278001184904</c:v>
                </c:pt>
                <c:pt idx="4">
                  <c:v>-601.59442880066831</c:v>
                </c:pt>
                <c:pt idx="5">
                  <c:v>-654.99582473518853</c:v>
                </c:pt>
                <c:pt idx="6">
                  <c:v>-709.01628081376521</c:v>
                </c:pt>
                <c:pt idx="7">
                  <c:v>-763.37415501040721</c:v>
                </c:pt>
                <c:pt idx="8">
                  <c:v>-817.83890943240851</c:v>
                </c:pt>
                <c:pt idx="9">
                  <c:v>-872.24016887326025</c:v>
                </c:pt>
                <c:pt idx="10">
                  <c:v>-926.47281321637229</c:v>
                </c:pt>
                <c:pt idx="11">
                  <c:v>-980.49703125051428</c:v>
                </c:pt>
                <c:pt idx="12">
                  <c:v>-1034.3321799148569</c:v>
                </c:pt>
                <c:pt idx="13">
                  <c:v>-1088.0433107079057</c:v>
                </c:pt>
                <c:pt idx="14">
                  <c:v>-1141.719436335015</c:v>
                </c:pt>
                <c:pt idx="15">
                  <c:v>-1195.4431003778263</c:v>
                </c:pt>
                <c:pt idx="16">
                  <c:v>-1249.2516307659057</c:v>
                </c:pt>
                <c:pt idx="17">
                  <c:v>-1303.0915927169497</c:v>
                </c:pt>
                <c:pt idx="18">
                  <c:v>-1356.7693172099398</c:v>
                </c:pt>
                <c:pt idx="19">
                  <c:v>-1409.901791605781</c:v>
                </c:pt>
                <c:pt idx="20">
                  <c:v>-1461.8734156892651</c:v>
                </c:pt>
                <c:pt idx="21">
                  <c:v>-1511.804871833584</c:v>
                </c:pt>
                <c:pt idx="22">
                  <c:v>-1558.5403729332288</c:v>
                </c:pt>
                <c:pt idx="23">
                  <c:v>-1600.6586535919353</c:v>
                </c:pt>
                <c:pt idx="24">
                  <c:v>-1636.5112062205944</c:v>
                </c:pt>
                <c:pt idx="25">
                  <c:v>-1664.2885468416566</c:v>
                </c:pt>
                <c:pt idx="26">
                  <c:v>-1682.1120093716549</c:v>
                </c:pt>
                <c:pt idx="27">
                  <c:v>-1688.1451383211097</c:v>
                </c:pt>
                <c:pt idx="28">
                  <c:v>-1680.7156854809643</c:v>
                </c:pt>
                <c:pt idx="29">
                  <c:v>-1658.4370197159096</c:v>
                </c:pt>
                <c:pt idx="30">
                  <c:v>-1620.3168382768592</c:v>
                </c:pt>
                <c:pt idx="31">
                  <c:v>-1565.841655307891</c:v>
                </c:pt>
                <c:pt idx="32">
                  <c:v>-1495.0276445390584</c:v>
                </c:pt>
                <c:pt idx="33">
                  <c:v>-1408.4317989425381</c:v>
                </c:pt>
                <c:pt idx="34">
                  <c:v>-1307.1216093969383</c:v>
                </c:pt>
                <c:pt idx="35">
                  <c:v>-1192.6059957298162</c:v>
                </c:pt>
                <c:pt idx="36">
                  <c:v>-1066.73444757108</c:v>
                </c:pt>
                <c:pt idx="37">
                  <c:v>-931.57470679143671</c:v>
                </c:pt>
                <c:pt idx="38">
                  <c:v>-789.28144071819952</c:v>
                </c:pt>
                <c:pt idx="39">
                  <c:v>-641.96899267236824</c:v>
                </c:pt>
                <c:pt idx="40">
                  <c:v>-491.60042877686635</c:v>
                </c:pt>
                <c:pt idx="41">
                  <c:v>-339.90288398831359</c:v>
                </c:pt>
                <c:pt idx="42">
                  <c:v>-188.31594579993873</c:v>
                </c:pt>
                <c:pt idx="43">
                  <c:v>-37.975897187032416</c:v>
                </c:pt>
                <c:pt idx="44">
                  <c:v>110.26548246804965</c:v>
                </c:pt>
                <c:pt idx="45">
                  <c:v>255.79273146850193</c:v>
                </c:pt>
                <c:pt idx="46">
                  <c:v>398.1574948322716</c:v>
                </c:pt>
                <c:pt idx="47">
                  <c:v>536.99877305644918</c:v>
                </c:pt>
                <c:pt idx="48">
                  <c:v>671.96389504069668</c:v>
                </c:pt>
                <c:pt idx="49">
                  <c:v>802.64076823778862</c:v>
                </c:pt>
                <c:pt idx="50">
                  <c:v>928.50979275953603</c:v>
                </c:pt>
                <c:pt idx="51">
                  <c:v>1048.9204552883541</c:v>
                </c:pt>
                <c:pt idx="52">
                  <c:v>1163.0935127407188</c:v>
                </c:pt>
                <c:pt idx="53">
                  <c:v>1270.1454844684608</c:v>
                </c:pt>
                <c:pt idx="54">
                  <c:v>1369.1286358745485</c:v>
                </c:pt>
                <c:pt idx="55">
                  <c:v>1459.0774531775551</c:v>
                </c:pt>
                <c:pt idx="56">
                  <c:v>1539.0522778296004</c:v>
                </c:pt>
                <c:pt idx="57">
                  <c:v>1608.1724494031209</c:v>
                </c:pt>
                <c:pt idx="58">
                  <c:v>1665.6347319174015</c:v>
                </c:pt>
                <c:pt idx="59">
                  <c:v>1710.7172837337116</c:v>
                </c:pt>
                <c:pt idx="60">
                  <c:v>1742.773977344958</c:v>
                </c:pt>
                <c:pt idx="61">
                  <c:v>1761.2273778834872</c:v>
                </c:pt>
                <c:pt idx="62">
                  <c:v>1765.5701946244321</c:v>
                </c:pt>
                <c:pt idx="63">
                  <c:v>1755.383976249253</c:v>
                </c:pt>
                <c:pt idx="64">
                  <c:v>1730.3802514876788</c:v>
                </c:pt>
                <c:pt idx="65">
                  <c:v>1690.4638636058303</c:v>
                </c:pt>
                <c:pt idx="66">
                  <c:v>1635.812058760288</c:v>
                </c:pt>
                <c:pt idx="67">
                  <c:v>1566.957372426004</c:v>
                </c:pt>
                <c:pt idx="68">
                  <c:v>1484.8588544550189</c:v>
                </c:pt>
                <c:pt idx="69">
                  <c:v>1390.9456275997304</c:v>
                </c:pt>
                <c:pt idx="70">
                  <c:v>1287.1195002713948</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4-E407-4308-BD3C-1ADFF8D3F681}"/>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STOXX_HedgeBedarf!$A$5:$A$205</c15:sqref>
                        </c15:formulaRef>
                      </c:ext>
                    </c:extLst>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xVal>
                <c:yVal>
                  <c:numRef>
                    <c:extLst>
                      <c:ext uri="{02D57815-91ED-43cb-92C2-25804820EDAC}">
                        <c15:formulaRef>
                          <c15:sqref>STOXX_HedgeBedarf!$B$5:$B$205</c15:sqref>
                        </c15:formulaRef>
                      </c:ext>
                    </c:extLst>
                    <c:numCache>
                      <c:formatCode>0.0</c:formatCode>
                      <c:ptCount val="201"/>
                    </c:numCache>
                  </c:numRef>
                </c:yVal>
                <c:smooth val="0"/>
                <c:extLst>
                  <c:ext xmlns:c16="http://schemas.microsoft.com/office/drawing/2014/chart" uri="{C3380CC4-5D6E-409C-BE32-E72D297353CC}">
                    <c16:uniqueId val="{00000002-E407-4308-BD3C-1ADFF8D3F681}"/>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4650"/>
          <c:min val="39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out"/>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50"/>
        <c:minorUnit val="1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c:v>
          </c:tx>
          <c:spPr>
            <a:ln w="19050" cap="rnd">
              <a:solidFill>
                <a:schemeClr val="accent1"/>
              </a:solidFill>
              <a:round/>
            </a:ln>
            <a:effectLst/>
          </c:spPr>
          <c:marker>
            <c:symbol val="none"/>
          </c:marker>
          <c:xVal>
            <c:numRef>
              <c:f>STOXX_HedgeBedarf!$C$5:$C$205</c:f>
              <c:numCache>
                <c:formatCode>#,#00</c:formatCode>
                <c:ptCount val="201"/>
                <c:pt idx="0">
                  <c:v>-324.14319578905616</c:v>
                </c:pt>
                <c:pt idx="1">
                  <c:v>-359.79117922272849</c:v>
                </c:pt>
                <c:pt idx="2">
                  <c:v>-396.31219300046195</c:v>
                </c:pt>
                <c:pt idx="3">
                  <c:v>-433.3224597530201</c:v>
                </c:pt>
                <c:pt idx="4">
                  <c:v>-470.41882025687499</c:v>
                </c:pt>
                <c:pt idx="5">
                  <c:v>-507.18752875686829</c:v>
                </c:pt>
                <c:pt idx="6">
                  <c:v>-543.2124502772831</c:v>
                </c:pt>
                <c:pt idx="7">
                  <c:v>-578.08238966323779</c:v>
                </c:pt>
                <c:pt idx="8">
                  <c:v>-611.3974389243316</c:v>
                </c:pt>
                <c:pt idx="9">
                  <c:v>-642.77437226327652</c:v>
                </c:pt>
                <c:pt idx="10">
                  <c:v>-671.85122454527868</c:v>
                </c:pt>
                <c:pt idx="11">
                  <c:v>-698.2912446791787</c:v>
                </c:pt>
                <c:pt idx="12">
                  <c:v>-721.78641687486777</c:v>
                </c:pt>
                <c:pt idx="13">
                  <c:v>-742.0606972256719</c:v>
                </c:pt>
                <c:pt idx="14">
                  <c:v>-758.87303627857921</c:v>
                </c:pt>
                <c:pt idx="15">
                  <c:v>-772.02017041108888</c:v>
                </c:pt>
                <c:pt idx="16">
                  <c:v>-781.3390857757405</c:v>
                </c:pt>
                <c:pt idx="17">
                  <c:v>-786.70900338667047</c:v>
                </c:pt>
                <c:pt idx="18">
                  <c:v>-788.05271008915634</c:v>
                </c:pt>
                <c:pt idx="19">
                  <c:v>-785.33706693473187</c:v>
                </c:pt>
                <c:pt idx="20">
                  <c:v>-778.572556577726</c:v>
                </c:pt>
                <c:pt idx="21">
                  <c:v>-767.81177417639856</c:v>
                </c:pt>
                <c:pt idx="22">
                  <c:v>-753.14681208572949</c:v>
                </c:pt>
                <c:pt idx="23">
                  <c:v>-734.70553153473691</c:v>
                </c:pt>
                <c:pt idx="24">
                  <c:v>-712.64675429662429</c:v>
                </c:pt>
                <c:pt idx="25">
                  <c:v>-687.15444900198145</c:v>
                </c:pt>
                <c:pt idx="26">
                  <c:v>-658.43103769958691</c:v>
                </c:pt>
                <c:pt idx="27">
                  <c:v>-626.6900148564938</c:v>
                </c:pt>
                <c:pt idx="28">
                  <c:v>-592.14815464314711</c:v>
                </c:pt>
                <c:pt idx="29">
                  <c:v>-555.01767716957977</c:v>
                </c:pt>
                <c:pt idx="30">
                  <c:v>-515.49883682013069</c:v>
                </c:pt>
                <c:pt idx="31">
                  <c:v>-473.77346705542078</c:v>
                </c:pt>
                <c:pt idx="32">
                  <c:v>-430.00004585397795</c:v>
                </c:pt>
                <c:pt idx="33">
                  <c:v>-384.31081803128347</c:v>
                </c:pt>
                <c:pt idx="34">
                  <c:v>-336.81141705472419</c:v>
                </c:pt>
                <c:pt idx="35">
                  <c:v>-287.58327275404173</c:v>
                </c:pt>
                <c:pt idx="36">
                  <c:v>-236.68888654781389</c:v>
                </c:pt>
                <c:pt idx="37">
                  <c:v>-184.17982457595326</c:v>
                </c:pt>
                <c:pt idx="38">
                  <c:v>-130.107046709467</c:v>
                </c:pt>
                <c:pt idx="39">
                  <c:v>-74.532978729257522</c:v>
                </c:pt>
                <c:pt idx="40">
                  <c:v>-17.544562279402395</c:v>
                </c:pt>
                <c:pt idx="41">
                  <c:v>40.733609621717001</c:v>
                </c:pt>
                <c:pt idx="42">
                  <c:v>100.12704358227005</c:v>
                </c:pt>
                <c:pt idx="43">
                  <c:v>160.40098944807855</c:v>
                </c:pt>
                <c:pt idx="44">
                  <c:v>221.25296839702665</c:v>
                </c:pt>
                <c:pt idx="45">
                  <c:v>282.30910420802581</c:v>
                </c:pt>
                <c:pt idx="46">
                  <c:v>343.12502426411049</c:v>
                </c:pt>
                <c:pt idx="47">
                  <c:v>403.19184095075065</c:v>
                </c:pt>
                <c:pt idx="48">
                  <c:v>461.9473449266826</c:v>
                </c:pt>
                <c:pt idx="49">
                  <c:v>518.79203885718198</c:v>
                </c:pt>
                <c:pt idx="50">
                  <c:v>573.10904574691051</c:v>
                </c:pt>
                <c:pt idx="51">
                  <c:v>624.28631255680034</c:v>
                </c:pt>
                <c:pt idx="52">
                  <c:v>671.73900765382996</c:v>
                </c:pt>
                <c:pt idx="53">
                  <c:v>714.92971179709741</c:v>
                </c:pt>
                <c:pt idx="54">
                  <c:v>753.38405170085923</c:v>
                </c:pt>
                <c:pt idx="55">
                  <c:v>786.69990433808891</c:v>
                </c:pt>
                <c:pt idx="56">
                  <c:v>814.54921267162979</c:v>
                </c:pt>
                <c:pt idx="57">
                  <c:v>836.67270268922687</c:v>
                </c:pt>
                <c:pt idx="58">
                  <c:v>852.86917998256081</c:v>
                </c:pt>
                <c:pt idx="59">
                  <c:v>862.98234008190525</c:v>
                </c:pt>
                <c:pt idx="60">
                  <c:v>866.88885659363882</c:v>
                </c:pt>
                <c:pt idx="61">
                  <c:v>864.49166650499194</c:v>
                </c:pt>
                <c:pt idx="62">
                  <c:v>855.72171724956581</c:v>
                </c:pt>
                <c:pt idx="63">
                  <c:v>840.55000176535248</c:v>
                </c:pt>
                <c:pt idx="64">
                  <c:v>819.00968991249783</c:v>
                </c:pt>
                <c:pt idx="65">
                  <c:v>791.22592261116688</c:v>
                </c:pt>
                <c:pt idx="66">
                  <c:v>757.44880976286606</c:v>
                </c:pt>
                <c:pt idx="67">
                  <c:v>718.08379870471197</c:v>
                </c:pt>
                <c:pt idx="68">
                  <c:v>673.71318702641645</c:v>
                </c:pt>
                <c:pt idx="69">
                  <c:v>625.10328978867244</c:v>
                </c:pt>
                <c:pt idx="70">
                  <c:v>573.19356120521945</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0-C0D8-488E-AB60-5F97D29D7C2F}"/>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601.53911719132179</c:v>
                </c:pt>
              </c:numCache>
            </c:numRef>
          </c:xVal>
          <c:yVal>
            <c:numRef>
              <c:f>Ueberhaenge!$X$4</c:f>
              <c:numCache>
                <c:formatCode>#,##0.00</c:formatCode>
                <c:ptCount val="1"/>
                <c:pt idx="0">
                  <c:v>4159.1899999999996</c:v>
                </c:pt>
              </c:numCache>
            </c:numRef>
          </c:yVal>
          <c:smooth val="0"/>
          <c:extLst>
            <c:ext xmlns:c16="http://schemas.microsoft.com/office/drawing/2014/chart" uri="{C3380CC4-5D6E-409C-BE32-E72D297353CC}">
              <c16:uniqueId val="{00000000-5FF3-4E07-922B-3D28482B2D3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STOXX_HedgeBedarf!$A$5:$A$205</c15:sqref>
                        </c15:formulaRef>
                      </c:ext>
                    </c:extLst>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xVal>
                <c:yVal>
                  <c:numRef>
                    <c:extLst>
                      <c:ext uri="{02D57815-91ED-43cb-92C2-25804820EDAC}">
                        <c15:formulaRef>
                          <c15:sqref>STOXX_HedgeBedarf!$B$5:$B$205</c15:sqref>
                        </c15:formulaRef>
                      </c:ext>
                    </c:extLst>
                    <c:numCache>
                      <c:formatCode>#,#00</c:formatCode>
                      <c:ptCount val="201"/>
                    </c:numCache>
                  </c:numRef>
                </c:yVal>
                <c:smooth val="0"/>
                <c:extLst>
                  <c:ext xmlns:c16="http://schemas.microsoft.com/office/drawing/2014/chart" uri="{C3380CC4-5D6E-409C-BE32-E72D297353CC}">
                    <c16:uniqueId val="{00000001-C0D8-488E-AB60-5F97D29D7C2F}"/>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4650"/>
          <c:min val="39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out"/>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50"/>
        <c:minorUnit val="1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cat>
          <c:val>
            <c:numRef>
              <c:f>STOXX_HedgeBedarf!$AR$5:$AR$205</c:f>
              <c:numCache>
                <c:formatCode>0.0</c:formatCode>
                <c:ptCount val="201"/>
              </c:numCache>
            </c:numRef>
          </c:val>
          <c:smooth val="0"/>
          <c:extLst>
            <c:ext xmlns:c16="http://schemas.microsoft.com/office/drawing/2014/chart" uri="{C3380CC4-5D6E-409C-BE32-E72D297353CC}">
              <c16:uniqueId val="{00000000-F39A-4E79-8281-3126B65A1D0D}"/>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'STOXX_HedgeBedarf+01'!$A$5:$A$205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cat>
          <c:val>
            <c:numRef>
              <c:f>'STOXX_HedgeBedarf+01'!$AR$5:$AR$205</c:f>
              <c:numCache>
                <c:formatCode>0.0</c:formatCode>
                <c:ptCount val="201"/>
              </c:numCache>
            </c:numRef>
          </c:val>
          <c:smooth val="0"/>
          <c:extLst>
            <c:ext xmlns:c16="http://schemas.microsoft.com/office/drawing/2014/chart" uri="{C3380CC4-5D6E-409C-BE32-E72D297353CC}">
              <c16:uniqueId val="{00000000-748E-4F19-81C2-52FA1A7C690E}"/>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746760</xdr:colOff>
          <xdr:row>2</xdr:row>
          <xdr:rowOff>152400</xdr:rowOff>
        </xdr:from>
        <xdr:to>
          <xdr:col>12</xdr:col>
          <xdr:colOff>0</xdr:colOff>
          <xdr:row>4</xdr:row>
          <xdr:rowOff>121920</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746760</xdr:colOff>
          <xdr:row>0</xdr:row>
          <xdr:rowOff>121920</xdr:rowOff>
        </xdr:from>
        <xdr:to>
          <xdr:col>13</xdr:col>
          <xdr:colOff>220980</xdr:colOff>
          <xdr:row>1</xdr:row>
          <xdr:rowOff>160020</xdr:rowOff>
        </xdr:to>
        <xdr:sp macro="" textlink="">
          <xdr:nvSpPr>
            <xdr:cNvPr id="2050" name="AbfragenDatumUpdate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746760</xdr:colOff>
          <xdr:row>0</xdr:row>
          <xdr:rowOff>632460</xdr:rowOff>
        </xdr:from>
        <xdr:to>
          <xdr:col>12</xdr:col>
          <xdr:colOff>22860</xdr:colOff>
          <xdr:row>2</xdr:row>
          <xdr:rowOff>68580</xdr:rowOff>
        </xdr:to>
        <xdr:sp macro="" textlink="">
          <xdr:nvSpPr>
            <xdr:cNvPr id="2051" name="BoersenAbfrage"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99060</xdr:colOff>
          <xdr:row>0</xdr:row>
          <xdr:rowOff>121920</xdr:rowOff>
        </xdr:from>
        <xdr:to>
          <xdr:col>13</xdr:col>
          <xdr:colOff>160020</xdr:colOff>
          <xdr:row>0</xdr:row>
          <xdr:rowOff>502920</xdr:rowOff>
        </xdr:to>
        <xdr:sp macro="" textlink="">
          <xdr:nvSpPr>
            <xdr:cNvPr id="2052" name="Hedge"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754380</xdr:colOff>
          <xdr:row>0</xdr:row>
          <xdr:rowOff>68580</xdr:rowOff>
        </xdr:from>
        <xdr:to>
          <xdr:col>26</xdr:col>
          <xdr:colOff>548640</xdr:colOff>
          <xdr:row>0</xdr:row>
          <xdr:rowOff>441960</xdr:rowOff>
        </xdr:to>
        <xdr:sp macro="" textlink="">
          <xdr:nvSpPr>
            <xdr:cNvPr id="2053" name="VorletzterHandelsTag"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754380</xdr:colOff>
          <xdr:row>0</xdr:row>
          <xdr:rowOff>525780</xdr:rowOff>
        </xdr:from>
        <xdr:to>
          <xdr:col>26</xdr:col>
          <xdr:colOff>548640</xdr:colOff>
          <xdr:row>1</xdr:row>
          <xdr:rowOff>137160</xdr:rowOff>
        </xdr:to>
        <xdr:sp macro="" textlink="">
          <xdr:nvSpPr>
            <xdr:cNvPr id="2054" name="InterimsUeberHaenge"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176895</xdr:colOff>
      <xdr:row>0</xdr:row>
      <xdr:rowOff>680357</xdr:rowOff>
    </xdr:from>
    <xdr:to>
      <xdr:col>9</xdr:col>
      <xdr:colOff>721180</xdr:colOff>
      <xdr:row>1</xdr:row>
      <xdr:rowOff>163286</xdr:rowOff>
    </xdr:to>
    <xdr:sp macro="" textlink="">
      <xdr:nvSpPr>
        <xdr:cNvPr id="2" name="Pfeil: nach rechts 1">
          <a:extLst>
            <a:ext uri="{FF2B5EF4-FFF2-40B4-BE49-F238E27FC236}">
              <a16:creationId xmlns:a16="http://schemas.microsoft.com/office/drawing/2014/main" id="{00000000-0008-0000-0100-000002000000}"/>
            </a:ext>
          </a:extLst>
        </xdr:cNvPr>
        <xdr:cNvSpPr/>
      </xdr:nvSpPr>
      <xdr:spPr>
        <a:xfrm>
          <a:off x="7130145" y="680357"/>
          <a:ext cx="544285" cy="258536"/>
        </a:xfrm>
        <a:prstGeom prst="rightArrow">
          <a:avLst/>
        </a:prstGeom>
        <a:solidFill>
          <a:srgbClr val="FFC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9</xdr:col>
          <xdr:colOff>746760</xdr:colOff>
          <xdr:row>5</xdr:row>
          <xdr:rowOff>45720</xdr:rowOff>
        </xdr:from>
        <xdr:to>
          <xdr:col>11</xdr:col>
          <xdr:colOff>746760</xdr:colOff>
          <xdr:row>6</xdr:row>
          <xdr:rowOff>220980</xdr:rowOff>
        </xdr:to>
        <xdr:sp macro="" textlink="">
          <xdr:nvSpPr>
            <xdr:cNvPr id="2055" name="PDF"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182880</xdr:colOff>
          <xdr:row>0</xdr:row>
          <xdr:rowOff>121920</xdr:rowOff>
        </xdr:from>
        <xdr:to>
          <xdr:col>16</xdr:col>
          <xdr:colOff>91440</xdr:colOff>
          <xdr:row>0</xdr:row>
          <xdr:rowOff>495300</xdr:rowOff>
        </xdr:to>
        <xdr:sp macro="" textlink="">
          <xdr:nvSpPr>
            <xdr:cNvPr id="2056" name="Pdf_Verfall"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0</xdr:row>
          <xdr:rowOff>121920</xdr:rowOff>
        </xdr:from>
        <xdr:to>
          <xdr:col>21</xdr:col>
          <xdr:colOff>419100</xdr:colOff>
          <xdr:row>0</xdr:row>
          <xdr:rowOff>495300</xdr:rowOff>
        </xdr:to>
        <xdr:sp macro="" textlink="">
          <xdr:nvSpPr>
            <xdr:cNvPr id="2057" name="KontrakteUpdaten"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742950</xdr:colOff>
      <xdr:row>4</xdr:row>
      <xdr:rowOff>0</xdr:rowOff>
    </xdr:from>
    <xdr:to>
      <xdr:col>8</xdr:col>
      <xdr:colOff>314325</xdr:colOff>
      <xdr:row>5</xdr:row>
      <xdr:rowOff>28575</xdr:rowOff>
    </xdr:to>
    <xdr:cxnSp macro="">
      <xdr:nvCxnSpPr>
        <xdr:cNvPr id="3" name="Gerader Verbinder 2">
          <a:extLst>
            <a:ext uri="{FF2B5EF4-FFF2-40B4-BE49-F238E27FC236}">
              <a16:creationId xmlns:a16="http://schemas.microsoft.com/office/drawing/2014/main" id="{00000000-0008-0000-0200-000003000000}"/>
            </a:ext>
          </a:extLst>
        </xdr:cNvPr>
        <xdr:cNvCxnSpPr/>
      </xdr:nvCxnSpPr>
      <xdr:spPr>
        <a:xfrm flipV="1">
          <a:off x="3028950" y="1009650"/>
          <a:ext cx="3381375" cy="2667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742950</xdr:colOff>
      <xdr:row>4</xdr:row>
      <xdr:rowOff>19050</xdr:rowOff>
    </xdr:from>
    <xdr:to>
      <xdr:col>6</xdr:col>
      <xdr:colOff>47625</xdr:colOff>
      <xdr:row>5</xdr:row>
      <xdr:rowOff>28575</xdr:rowOff>
    </xdr:to>
    <xdr:cxnSp macro="">
      <xdr:nvCxnSpPr>
        <xdr:cNvPr id="2" name="Gerader Verbinder 1">
          <a:extLst>
            <a:ext uri="{FF2B5EF4-FFF2-40B4-BE49-F238E27FC236}">
              <a16:creationId xmlns:a16="http://schemas.microsoft.com/office/drawing/2014/main" id="{00000000-0008-0000-0300-000002000000}"/>
            </a:ext>
          </a:extLst>
        </xdr:cNvPr>
        <xdr:cNvCxnSpPr/>
      </xdr:nvCxnSpPr>
      <xdr:spPr>
        <a:xfrm flipV="1">
          <a:off x="3028950" y="1028700"/>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752475</xdr:colOff>
      <xdr:row>14</xdr:row>
      <xdr:rowOff>28575</xdr:rowOff>
    </xdr:from>
    <xdr:to>
      <xdr:col>6</xdr:col>
      <xdr:colOff>57150</xdr:colOff>
      <xdr:row>15</xdr:row>
      <xdr:rowOff>38100</xdr:rowOff>
    </xdr:to>
    <xdr:cxnSp macro="">
      <xdr:nvCxnSpPr>
        <xdr:cNvPr id="4" name="Gerader Verbinder 3">
          <a:extLst>
            <a:ext uri="{FF2B5EF4-FFF2-40B4-BE49-F238E27FC236}">
              <a16:creationId xmlns:a16="http://schemas.microsoft.com/office/drawing/2014/main" id="{00000000-0008-0000-0300-000004000000}"/>
            </a:ext>
          </a:extLst>
        </xdr:cNvPr>
        <xdr:cNvCxnSpPr/>
      </xdr:nvCxnSpPr>
      <xdr:spPr>
        <a:xfrm flipV="1">
          <a:off x="3038475" y="3514725"/>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8</xdr:col>
      <xdr:colOff>420419</xdr:colOff>
      <xdr:row>19</xdr:row>
      <xdr:rowOff>40821</xdr:rowOff>
    </xdr:to>
    <xdr:pic>
      <xdr:nvPicPr>
        <xdr:cNvPr id="2" name="Grafik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347107" y="762000"/>
          <a:ext cx="5754419" cy="28983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3175</xdr:colOff>
      <xdr:row>6</xdr:row>
      <xdr:rowOff>381001</xdr:rowOff>
    </xdr:from>
    <xdr:to>
      <xdr:col>9</xdr:col>
      <xdr:colOff>47625</xdr:colOff>
      <xdr:row>39</xdr:row>
      <xdr:rowOff>31751</xdr:rowOff>
    </xdr:to>
    <xdr:graphicFrame macro="">
      <xdr:nvGraphicFramePr>
        <xdr:cNvPr id="2" name="Diagram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3" name="Gerade Verbindung mit Pfeil 2">
          <a:extLst>
            <a:ext uri="{FF2B5EF4-FFF2-40B4-BE49-F238E27FC236}">
              <a16:creationId xmlns:a16="http://schemas.microsoft.com/office/drawing/2014/main" id="{00000000-0008-0000-0500-000003000000}"/>
            </a:ext>
          </a:extLst>
        </xdr:cNvPr>
        <xdr:cNvCxnSpPr/>
      </xdr:nvCxnSpPr>
      <xdr:spPr>
        <a:xfrm flipH="1">
          <a:off x="18988768" y="10271124"/>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4" name="Gerade Verbindung mit Pfeil 3">
          <a:extLst>
            <a:ext uri="{FF2B5EF4-FFF2-40B4-BE49-F238E27FC236}">
              <a16:creationId xmlns:a16="http://schemas.microsoft.com/office/drawing/2014/main" id="{00000000-0008-0000-0500-000004000000}"/>
            </a:ext>
          </a:extLst>
        </xdr:cNvPr>
        <xdr:cNvCxnSpPr/>
      </xdr:nvCxnSpPr>
      <xdr:spPr>
        <a:xfrm flipH="1">
          <a:off x="18767729" y="9611632"/>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15876</xdr:colOff>
      <xdr:row>6</xdr:row>
      <xdr:rowOff>15875</xdr:rowOff>
    </xdr:from>
    <xdr:ext cx="4841874" cy="841376"/>
    <xdr:sp macro="" textlink="">
      <xdr:nvSpPr>
        <xdr:cNvPr id="5" name="Textfeld 4">
          <a:extLst>
            <a:ext uri="{FF2B5EF4-FFF2-40B4-BE49-F238E27FC236}">
              <a16:creationId xmlns:a16="http://schemas.microsoft.com/office/drawing/2014/main" id="{00000000-0008-0000-0500-000005000000}"/>
            </a:ext>
          </a:extLst>
        </xdr:cNvPr>
        <xdr:cNvSpPr txBox="1"/>
      </xdr:nvSpPr>
      <xdr:spPr>
        <a:xfrm>
          <a:off x="3768726" y="2606675"/>
          <a:ext cx="4841874" cy="841376"/>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bg1"/>
              </a:solidFill>
              <a:effectLst/>
              <a:latin typeface="+mn-lt"/>
              <a:ea typeface="+mn-ea"/>
              <a:cs typeface="+mn-cs"/>
            </a:rPr>
            <a:t>Änderung des Hedgebedarfs für den Frontmonat (Kontrakte/P, Abschätzung)</a:t>
          </a:r>
          <a:br>
            <a:rPr lang="en-US" sz="1600" b="1" i="0" baseline="0">
              <a:solidFill>
                <a:schemeClr val="bg1"/>
              </a:solidFill>
              <a:effectLst/>
              <a:latin typeface="+mn-lt"/>
              <a:ea typeface="+mn-ea"/>
              <a:cs typeface="+mn-cs"/>
            </a:rPr>
          </a:br>
          <a:r>
            <a:rPr lang="en-US" sz="1600" b="1" i="0" baseline="0">
              <a:solidFill>
                <a:schemeClr val="bg1"/>
              </a:solidFill>
              <a:effectLst/>
              <a:latin typeface="+mn-lt"/>
              <a:ea typeface="+mn-ea"/>
              <a:cs typeface="+mn-cs"/>
            </a:rPr>
            <a:t>Faktor:50% (des theoretischen Wertes)</a:t>
          </a:r>
          <a:endParaRPr lang="de-DE" sz="1600" b="1">
            <a:solidFill>
              <a:schemeClr val="bg1"/>
            </a:solidFill>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500-000006000000}"/>
            </a:ext>
          </a:extLst>
        </xdr:cNvPr>
        <xdr:cNvCxnSpPr/>
      </xdr:nvCxnSpPr>
      <xdr:spPr>
        <a:xfrm flipV="1">
          <a:off x="17319625" y="53657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48</xdr:row>
      <xdr:rowOff>0</xdr:rowOff>
    </xdr:to>
    <xdr:sp macro="" textlink="">
      <xdr:nvSpPr>
        <xdr:cNvPr id="7" name="Rechteck 6">
          <a:extLst>
            <a:ext uri="{FF2B5EF4-FFF2-40B4-BE49-F238E27FC236}">
              <a16:creationId xmlns:a16="http://schemas.microsoft.com/office/drawing/2014/main" id="{00000000-0008-0000-0500-000007000000}"/>
            </a:ext>
          </a:extLst>
        </xdr:cNvPr>
        <xdr:cNvSpPr/>
      </xdr:nvSpPr>
      <xdr:spPr>
        <a:xfrm>
          <a:off x="23241000" y="2273300"/>
          <a:ext cx="4222750" cy="127095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457200</xdr:colOff>
      <xdr:row>45</xdr:row>
      <xdr:rowOff>114300</xdr:rowOff>
    </xdr:from>
    <xdr:to>
      <xdr:col>5</xdr:col>
      <xdr:colOff>650875</xdr:colOff>
      <xdr:row>45</xdr:row>
      <xdr:rowOff>184150</xdr:rowOff>
    </xdr:to>
    <xdr:sp macro="" textlink="">
      <xdr:nvSpPr>
        <xdr:cNvPr id="8" name="Rechteck 7">
          <a:extLst>
            <a:ext uri="{FF2B5EF4-FFF2-40B4-BE49-F238E27FC236}">
              <a16:creationId xmlns:a16="http://schemas.microsoft.com/office/drawing/2014/main" id="{00000000-0008-0000-0500-000008000000}"/>
            </a:ext>
          </a:extLst>
        </xdr:cNvPr>
        <xdr:cNvSpPr/>
      </xdr:nvSpPr>
      <xdr:spPr>
        <a:xfrm>
          <a:off x="4972050" y="14382750"/>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469900</xdr:colOff>
      <xdr:row>44</xdr:row>
      <xdr:rowOff>123825</xdr:rowOff>
    </xdr:from>
    <xdr:to>
      <xdr:col>5</xdr:col>
      <xdr:colOff>663575</xdr:colOff>
      <xdr:row>44</xdr:row>
      <xdr:rowOff>193675</xdr:rowOff>
    </xdr:to>
    <xdr:sp macro="" textlink="">
      <xdr:nvSpPr>
        <xdr:cNvPr id="9" name="Rechteck 8">
          <a:extLst>
            <a:ext uri="{FF2B5EF4-FFF2-40B4-BE49-F238E27FC236}">
              <a16:creationId xmlns:a16="http://schemas.microsoft.com/office/drawing/2014/main" id="{00000000-0008-0000-0500-000009000000}"/>
            </a:ext>
          </a:extLst>
        </xdr:cNvPr>
        <xdr:cNvSpPr/>
      </xdr:nvSpPr>
      <xdr:spPr>
        <a:xfrm>
          <a:off x="4984750" y="14154150"/>
          <a:ext cx="193675" cy="69850"/>
        </a:xfrm>
        <a:prstGeom prst="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3175</xdr:colOff>
      <xdr:row>6</xdr:row>
      <xdr:rowOff>381001</xdr:rowOff>
    </xdr:from>
    <xdr:to>
      <xdr:col>9</xdr:col>
      <xdr:colOff>47625</xdr:colOff>
      <xdr:row>39</xdr:row>
      <xdr:rowOff>31751</xdr:rowOff>
    </xdr:to>
    <xdr:graphicFrame macro="">
      <xdr:nvGraphicFramePr>
        <xdr:cNvPr id="2" name="Diagramm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4" name="Gerade Verbindung mit Pfeil 3">
          <a:extLst>
            <a:ext uri="{FF2B5EF4-FFF2-40B4-BE49-F238E27FC236}">
              <a16:creationId xmlns:a16="http://schemas.microsoft.com/office/drawing/2014/main" id="{00000000-0008-0000-0600-000004000000}"/>
            </a:ext>
          </a:extLst>
        </xdr:cNvPr>
        <xdr:cNvCxnSpPr/>
      </xdr:nvCxnSpPr>
      <xdr:spPr>
        <a:xfrm flipH="1">
          <a:off x="18972893" y="873124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5" name="Gerade Verbindung mit Pfeil 4">
          <a:extLst>
            <a:ext uri="{FF2B5EF4-FFF2-40B4-BE49-F238E27FC236}">
              <a16:creationId xmlns:a16="http://schemas.microsoft.com/office/drawing/2014/main" id="{00000000-0008-0000-0600-000005000000}"/>
            </a:ext>
          </a:extLst>
        </xdr:cNvPr>
        <xdr:cNvCxnSpPr/>
      </xdr:nvCxnSpPr>
      <xdr:spPr>
        <a:xfrm flipH="1">
          <a:off x="18751854" y="8167007"/>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600-000006000000}"/>
            </a:ext>
          </a:extLst>
        </xdr:cNvPr>
        <xdr:cNvCxnSpPr/>
      </xdr:nvCxnSpPr>
      <xdr:spPr>
        <a:xfrm flipV="1">
          <a:off x="17303750" y="463550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48</xdr:row>
      <xdr:rowOff>0</xdr:rowOff>
    </xdr:to>
    <xdr:sp macro="" textlink="">
      <xdr:nvSpPr>
        <xdr:cNvPr id="3" name="Rechteck 2">
          <a:extLst>
            <a:ext uri="{FF2B5EF4-FFF2-40B4-BE49-F238E27FC236}">
              <a16:creationId xmlns:a16="http://schemas.microsoft.com/office/drawing/2014/main" id="{00000000-0008-0000-0600-000003000000}"/>
            </a:ext>
          </a:extLst>
        </xdr:cNvPr>
        <xdr:cNvSpPr/>
      </xdr:nvSpPr>
      <xdr:spPr>
        <a:xfrm>
          <a:off x="23225125" y="2000250"/>
          <a:ext cx="4222750" cy="1117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4</xdr:col>
      <xdr:colOff>15876</xdr:colOff>
      <xdr:row>6</xdr:row>
      <xdr:rowOff>15875</xdr:rowOff>
    </xdr:from>
    <xdr:ext cx="4841874" cy="841376"/>
    <xdr:sp macro="" textlink="">
      <xdr:nvSpPr>
        <xdr:cNvPr id="7" name="Textfeld 6">
          <a:extLst>
            <a:ext uri="{FF2B5EF4-FFF2-40B4-BE49-F238E27FC236}">
              <a16:creationId xmlns:a16="http://schemas.microsoft.com/office/drawing/2014/main" id="{00000000-0008-0000-0600-000007000000}"/>
            </a:ext>
          </a:extLst>
        </xdr:cNvPr>
        <xdr:cNvSpPr txBox="1"/>
      </xdr:nvSpPr>
      <xdr:spPr>
        <a:xfrm>
          <a:off x="3762376" y="2159000"/>
          <a:ext cx="4841874" cy="841376"/>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bg1"/>
              </a:solidFill>
              <a:effectLst/>
              <a:latin typeface="+mn-lt"/>
              <a:ea typeface="+mn-ea"/>
              <a:cs typeface="+mn-cs"/>
            </a:rPr>
            <a:t>Änderung des Hedgebedarfs für den Frontmonat (Kontrakte/P, Abschätzung)</a:t>
          </a:r>
          <a:br>
            <a:rPr lang="en-US" sz="1600" b="1" i="0" baseline="0">
              <a:solidFill>
                <a:schemeClr val="bg1"/>
              </a:solidFill>
              <a:effectLst/>
              <a:latin typeface="+mn-lt"/>
              <a:ea typeface="+mn-ea"/>
              <a:cs typeface="+mn-cs"/>
            </a:rPr>
          </a:br>
          <a:r>
            <a:rPr lang="en-US" sz="1600" b="1" i="0" baseline="0">
              <a:solidFill>
                <a:schemeClr val="bg1"/>
              </a:solidFill>
              <a:effectLst/>
              <a:latin typeface="+mn-lt"/>
              <a:ea typeface="+mn-ea"/>
              <a:cs typeface="+mn-cs"/>
            </a:rPr>
            <a:t>Faktor:50% (des theoretischen Wertes)</a:t>
          </a:r>
          <a:endParaRPr lang="de-DE" sz="1600" b="1">
            <a:solidFill>
              <a:schemeClr val="bg1"/>
            </a:solidFill>
            <a:effectLst/>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3" name="Diagramm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2" name="Diagramm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3" connectionId="3" xr16:uid="{3B996B97-E06D-41CC-B7FD-206A2F15D1AE}" autoFormatId="16" applyNumberFormats="0" applyBorderFormats="0" applyFontFormats="0" applyPatternFormats="0" applyAlignmentFormats="0" applyWidthHeightFormats="0">
  <queryTableRefresh nextId="780">
    <queryTableFields count="6">
      <queryTableField id="774" name="Column1" tableColumnId="1"/>
      <queryTableField id="775" name="13-10-2023" tableColumnId="2"/>
      <queryTableField id="776" name="12-10-2023" tableColumnId="3"/>
      <queryTableField id="777" name="11-10-2023" tableColumnId="4"/>
      <queryTableField id="778" name="10-10-2023" tableColumnId="5"/>
      <queryTableField id="779" name="09-10-2023"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 xr16:uid="{53855074-DCB6-4CD2-81D7-F51113CF4519}" autoFormatId="16" applyNumberFormats="0" applyBorderFormats="0" applyFontFormats="0" applyPatternFormats="0" applyAlignmentFormats="0" applyWidthHeightFormats="0">
  <queryTableRefresh nextId="3">
    <queryTableFields count="2">
      <queryTableField id="1" name="Column1" tableColumnId="3"/>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4" xr16:uid="{3B03E782-8878-4D07-B969-9A8941D817AF}" autoFormatId="16" applyNumberFormats="0" applyBorderFormats="0" applyFontFormats="0" applyPatternFormats="0" applyAlignmentFormats="0" applyWidthHeightFormats="0">
  <queryTableRefresh nextId="5">
    <queryTableFields count="4">
      <queryTableField id="1" name="Indizes EU / USA / INT" tableColumnId="5"/>
      <queryTableField id="2" name="Kurs" tableColumnId="2"/>
      <queryTableField id="3" name="%" tableColumnId="3"/>
      <queryTableField id="4" name="Zeit"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0AEA0782-F919-4C0E-ACF1-A3D48152B9B3}" autoFormatId="16" applyNumberFormats="0" applyBorderFormats="0" applyFontFormats="0" applyPatternFormats="0" applyAlignmentFormats="0" applyWidthHeightFormats="0">
  <queryTableRefresh nextId="6">
    <queryTableFields count="5">
      <queryTableField id="1" name="Product" tableColumnId="6"/>
      <queryTableField id="2" name="Diff. to prev. day last" tableColumnId="2"/>
      <queryTableField id="3" name="Last price" tableColumnId="3"/>
      <queryTableField id="4" name="Contracts" tableColumnId="4"/>
      <queryTableField id="5" name="Time"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2" xr16:uid="{81C52E81-01D5-4BCE-8194-5CF43C5F1987}"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6" xr16:uid="{6CFEBD47-7593-480A-B23E-CCC6265CA497}" autoFormatId="16" applyNumberFormats="0" applyBorderFormats="0" applyFontFormats="0" applyPatternFormats="0" applyAlignmentFormats="0" applyWidthHeightFormats="0">
  <queryTableRefresh nextId="4" unboundColumnsRight="1">
    <queryTableFields count="3">
      <queryTableField id="1" name="Column1" tableColumnId="3"/>
      <queryTableField id="2" name="Column2" tableColumnId="2"/>
      <queryTableField id="3" dataBound="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C983621-AC03-41CE-853C-1893824BA46C}" name="Libor" displayName="Libor" ref="A13:F15" tableType="queryTable" totalsRowShown="0">
  <autoFilter ref="A13:F15" xr:uid="{DE0D870F-632C-4D0D-90C3-5295F2591B9E}"/>
  <tableColumns count="6">
    <tableColumn id="1" xr3:uid="{BD9C062E-02CC-46BD-9FC5-B6E5955B30C6}" uniqueName="1" name="Column1" queryTableFieldId="774" dataDxfId="8"/>
    <tableColumn id="2" xr3:uid="{F5313521-C567-4CB3-A9E6-BF9BEC0DD2B8}" uniqueName="2" name="13-10-2023" queryTableFieldId="775" dataDxfId="7"/>
    <tableColumn id="3" xr3:uid="{9AF347E1-B950-477D-88E5-39D1380A92EE}" uniqueName="3" name="12-10-2023" queryTableFieldId="776" dataDxfId="6"/>
    <tableColumn id="4" xr3:uid="{B4DB83E5-D616-4638-BE3D-E42EB8367F7E}" uniqueName="4" name="11-10-2023" queryTableFieldId="777" dataDxfId="5"/>
    <tableColumn id="5" xr3:uid="{7D0CB926-5918-4492-A7F3-76EA9E00B902}" uniqueName="5" name="10-10-2023" queryTableFieldId="778" dataDxfId="4"/>
    <tableColumn id="6" xr3:uid="{7B77C879-E8A9-4AC6-90AD-0A8518DD8E6D}" uniqueName="6" name="09-10-2023" queryTableFieldId="779"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0BFE0C-63D3-448D-B265-0D6C0E173DE4}" name="Stoxx_50" displayName="Stoxx_50" ref="A1:F6" totalsRowShown="0">
  <autoFilter ref="A1:F6" xr:uid="{3F296FF5-133E-4B0D-AF46-3C8E344F3391}"/>
  <tableColumns count="6">
    <tableColumn id="7" xr3:uid="{E63EA544-83C5-40AA-853C-15CDD9C5B172}" name="Name" dataDxfId="62"/>
    <tableColumn id="2" xr3:uid="{4836B549-2264-4702-85CB-9CD14219D157}" name="Kurs" dataDxfId="61"/>
    <tableColumn id="3" xr3:uid="{A6B72ED6-3E02-4C39-A28C-C02160AC051D}" name="Vortag" dataDxfId="60"/>
    <tableColumn id="4" xr3:uid="{B259CF6A-A4E8-48E4-AD1D-7E60A0B2D621}" name="+/- %" dataDxfId="59"/>
    <tableColumn id="5" xr3:uid="{99FD36CA-0861-483C-979E-0C568C89F395}" name="+/- abs." dataDxfId="58"/>
    <tableColumn id="6" xr3:uid="{6843929D-3A62-4A7B-807D-38411E4029B8}" name="Zeit" dataDxfId="5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48CBE32-02CE-4B14-88AF-525DF5C6A86B}" name="Euribor3M" displayName="Euribor3M" ref="A1:B11" tableType="queryTable" totalsRowShown="0">
  <autoFilter ref="A1:B11" xr:uid="{1B45263B-9136-466D-B606-B5673B558942}"/>
  <tableColumns count="2">
    <tableColumn id="3" xr3:uid="{4480C294-A250-4644-A250-4CCB84A484FA}" uniqueName="3" name="Column1" queryTableFieldId="1" dataDxfId="56"/>
    <tableColumn id="2" xr3:uid="{195A9FF9-9CB9-4944-A007-0BC6AF504FA5}" uniqueName="2" name="Column2" queryTableFieldId="2" dataDxfId="5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7F08406-0517-4B26-A8DD-B8C911029751}" name="Euro_Stoxx_50_tägliche_Kurse" displayName="Euro_Stoxx_50_tägliche_Kurse" ref="A1:F11" totalsRowShown="0">
  <autoFilter ref="A1:F11" xr:uid="{294964D2-0A27-469E-9F5A-543FA616C677}"/>
  <tableColumns count="6">
    <tableColumn id="7" xr3:uid="{1AFCE216-63C1-46C5-AD1E-06E579E4A2FA}" name="Datum" dataDxfId="54"/>
    <tableColumn id="2" xr3:uid="{CD079CA8-D659-4924-A4DF-299B316EAF30}" name="Erster _x000a_                    Schluss" dataDxfId="53"/>
    <tableColumn id="3" xr3:uid="{DE9E822F-084C-4C4C-9D0A-D3C34BD980A3}" name="Hoch _x000a_                    Tief" dataDxfId="52"/>
    <tableColumn id="4" xr3:uid="{F71D31BD-0208-4F54-A5E2-47D12B1916A4}" name="Tief" dataDxfId="51"/>
    <tableColumn id="5" xr3:uid="{5EC24D7A-587A-4906-B26D-0F982C0F5781}" name="Schluss" dataDxfId="50"/>
    <tableColumn id="6" xr3:uid="{CE18D162-1687-4004-9DA6-54FDAB5147AB}" name="%" dataDxfId="4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6941D5-89E4-488E-BA32-F8D05C6A01D0}" name="Historische_Kurse" displayName="Historische_Kurse" ref="A1:G21" totalsRowShown="0">
  <autoFilter ref="A1:G21" xr:uid="{19434EE6-9D13-4884-BBEB-2D00C6ED976D}"/>
  <tableColumns count="7">
    <tableColumn id="9" xr3:uid="{B771E8DA-E8A4-48A3-8C55-A286AD9D4569}" name="Column1" dataDxfId="48"/>
    <tableColumn id="2" xr3:uid="{4407E966-BCE3-43E4-91FA-2840D9A306BF}" name="Datum" dataDxfId="47"/>
    <tableColumn id="3" xr3:uid="{0E902EF8-3548-400D-930B-1C46E9244785}" name="Eröffnung" dataDxfId="46"/>
    <tableColumn id="4" xr3:uid="{21E541E3-E868-409F-8F0C-C204C1463CE9}" name="Hoch" dataDxfId="45"/>
    <tableColumn id="5" xr3:uid="{F08A1315-8DCE-4A73-8F7C-1B3CFD61C706}" name="Tief" dataDxfId="44"/>
    <tableColumn id="6" xr3:uid="{A4A2DCDD-747B-4944-98DD-B7547F5CF950}" name="Schlusskurs" dataDxfId="43"/>
    <tableColumn id="7" xr3:uid="{AE0D68A8-27D0-4AE0-92CC-650ED08F3DF2}" name="Volumen" dataDxfId="4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107E6D-EDE1-48EE-A6C1-CD83F8898578}" name="VSTOXX" displayName="VSTOXX" ref="A1:C5" totalsRowShown="0">
  <autoFilter ref="A1:C5" xr:uid="{31207650-D9EC-4760-8F98-23DBD7310279}"/>
  <tableColumns count="3">
    <tableColumn id="4" xr3:uid="{B4098B7F-1F37-46B6-9766-63C78012ABDF}" name="Column1" dataDxfId="41"/>
    <tableColumn id="2" xr3:uid="{CC877C1C-85A7-43DF-A602-7C812A1297C4}" name="Column2" dataDxfId="40"/>
    <tableColumn id="3" xr3:uid="{FB84A096-A148-4823-AA99-61D96C8C9048}" name="Column3" dataDxfId="3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5B9C457-9497-478F-90BD-05FD6C42A0F1}" name="Stuttgart" displayName="Stuttgart" ref="A1:D9" tableType="queryTable" totalsRowShown="0">
  <autoFilter ref="A1:D9" xr:uid="{35B9C457-9497-478F-90BD-05FD6C42A0F1}"/>
  <tableColumns count="4">
    <tableColumn id="5" xr3:uid="{FE655A4C-ABB3-4E64-AAE3-7785577AF8D6}" uniqueName="5" name="Indizes EU / USA / INT" queryTableFieldId="1" dataDxfId="38"/>
    <tableColumn id="2" xr3:uid="{5F796065-2DFE-4864-B4F4-DAA2E697ACA7}" uniqueName="2" name="Kurs" queryTableFieldId="2" dataDxfId="37"/>
    <tableColumn id="3" xr3:uid="{73973967-88D9-47AE-B504-BE826DC9036A}" uniqueName="3" name="%" queryTableFieldId="3" dataDxfId="36"/>
    <tableColumn id="4" xr3:uid="{2B81C345-4191-47AA-B012-6858EE615407}" uniqueName="4" name="Zeit" queryTableFieldId="4" dataDxfId="9"/>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5FC45F5-5219-4A15-B3EF-70E023FFFB73}" name="VSTOXX_EUREX" displayName="VSTOXX_EUREX" ref="A1:E2" tableType="queryTable" totalsRowShown="0">
  <autoFilter ref="A1:E2" xr:uid="{35FC45F5-5219-4A15-B3EF-70E023FFFB73}"/>
  <tableColumns count="5">
    <tableColumn id="6" xr3:uid="{4A81FF87-088C-4911-BB2F-0427749805D2}" uniqueName="6" name="Product" queryTableFieldId="1" dataDxfId="35"/>
    <tableColumn id="2" xr3:uid="{9C3DF750-83B7-43F3-8247-C59CD80C02FF}" uniqueName="2" name="Diff. to prev. day last" queryTableFieldId="2" dataDxfId="34"/>
    <tableColumn id="3" xr3:uid="{228EAF8D-A111-48B7-A564-EF75E4721787}" uniqueName="3" name="Last price" queryTableFieldId="3" dataDxfId="33"/>
    <tableColumn id="4" xr3:uid="{AEDC5A81-74A7-4482-90AD-47A7B4E87D0D}" uniqueName="4" name="Contracts" queryTableFieldId="4" dataDxfId="32"/>
    <tableColumn id="5" xr3:uid="{E6C60813-5E6B-4275-8D15-46017A498FCD}" uniqueName="5" name="Time" queryTableFieldId="5" dataDxf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DACB8BC-9228-4BAC-9B20-A912E73C3F19}" name="Historische_Kurse_VSTOXX" displayName="Historische_Kurse_VSTOXX" ref="A1:C24" tableType="queryTable" totalsRowShown="0">
  <autoFilter ref="A1:C24" xr:uid="{FDACB8BC-9228-4BAC-9B20-A912E73C3F19}"/>
  <tableColumns count="3">
    <tableColumn id="4" xr3:uid="{E0BD8840-8CB5-45F3-9FC6-C9D750591C43}" uniqueName="4" name="Datum" queryTableFieldId="1" dataDxfId="30"/>
    <tableColumn id="2" xr3:uid="{6B2DBCE0-5075-410F-8E89-DCA39DCCA4A6}" uniqueName="2" name="Eröffnung" queryTableFieldId="2" dataDxfId="29"/>
    <tableColumn id="3" xr3:uid="{43507E11-60F9-4D4C-A47C-6FDA02951413}" uniqueName="3" name="Schluss" queryTableFieldId="3" dataDxfId="2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E035955-7D2A-43C1-9AFE-E34DA0C34CFD}" name="VSTOXX_Finanzen" displayName="VSTOXX_Finanzen" ref="A1:C8" tableType="queryTable" totalsRowShown="0">
  <autoFilter ref="A1:C8" xr:uid="{FE035955-7D2A-43C1-9AFE-E34DA0C34CFD}"/>
  <tableColumns count="3">
    <tableColumn id="3" xr3:uid="{CD5B1022-6A98-4F90-B203-08790CA2DAE9}" uniqueName="3" name="Column1" queryTableFieldId="1" dataDxfId="2"/>
    <tableColumn id="2" xr3:uid="{FE768098-C1A6-490F-AE6E-AEDF6C9ACDAE}" uniqueName="2" name="Column2" queryTableFieldId="2" dataDxfId="1"/>
    <tableColumn id="4" xr3:uid="{5B4A9399-9E70-4187-A354-9CED572E9BC6}" uniqueName="4" name="Column3" queryTableFieldId="3" dataDxfId="0">
      <calculatedColumnFormula>1*(LEFT(VSTOXX_Finanzen[[#This Row],[Column2]],5))</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hyperlink" Target="https://www.eurexchange.com/exchange-de/marktdaten/statistik/online-marktstatistiken/4302!onlineStats?productGroupId=13370&amp;productId=69660&amp;viewType=3&amp;cp=Put&amp;month=6&amp;year=2019&amp;busDate=20190517" TargetMode="External"/><Relationship Id="rId2" Type="http://schemas.openxmlformats.org/officeDocument/2006/relationships/hyperlink" Target="https://www.eurexchange.com/exchange-de/marktdaten/statistik/online-marktstatistiken/" TargetMode="External"/><Relationship Id="rId1" Type="http://schemas.openxmlformats.org/officeDocument/2006/relationships/hyperlink" Target="http://www.boerse-frankfurt.de/index/VDAX-NEW-12M" TargetMode="External"/><Relationship Id="rId4"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A745-6C67-45D5-937F-4B3F8DD514D7}">
  <sheetPr codeName="Tabelle31"/>
  <dimension ref="A2:F19"/>
  <sheetViews>
    <sheetView workbookViewId="0">
      <selection activeCell="C5" sqref="C5"/>
    </sheetView>
  </sheetViews>
  <sheetFormatPr baseColWidth="10" defaultColWidth="11.44140625" defaultRowHeight="14.4" x14ac:dyDescent="0.3"/>
  <cols>
    <col min="1" max="2" width="11.44140625" style="74"/>
    <col min="3" max="3" width="11.44140625" style="75"/>
    <col min="4" max="4" width="11.44140625" style="74"/>
    <col min="5" max="5" width="104.44140625" style="74" customWidth="1"/>
    <col min="6" max="16384" width="11.44140625" style="74"/>
  </cols>
  <sheetData>
    <row r="2" spans="1:6" x14ac:dyDescent="0.3">
      <c r="B2" s="74" t="s">
        <v>44</v>
      </c>
      <c r="C2" s="75" t="s">
        <v>45</v>
      </c>
      <c r="D2" s="74" t="s">
        <v>46</v>
      </c>
      <c r="E2" s="74" t="s">
        <v>26</v>
      </c>
    </row>
    <row r="3" spans="1:6" customFormat="1" x14ac:dyDescent="0.3">
      <c r="A3" t="s">
        <v>53</v>
      </c>
      <c r="B3" s="41">
        <v>45151</v>
      </c>
      <c r="C3" s="93" t="s">
        <v>245</v>
      </c>
      <c r="D3" t="s">
        <v>47</v>
      </c>
      <c r="E3" t="s">
        <v>246</v>
      </c>
      <c r="F3" s="41"/>
    </row>
    <row r="4" spans="1:6" x14ac:dyDescent="0.3">
      <c r="B4" s="76">
        <v>44604</v>
      </c>
      <c r="C4" s="75" t="s">
        <v>200</v>
      </c>
      <c r="D4" s="74" t="s">
        <v>47</v>
      </c>
    </row>
    <row r="5" spans="1:6" x14ac:dyDescent="0.3">
      <c r="B5" s="76">
        <v>44342</v>
      </c>
      <c r="C5" s="75" t="s">
        <v>137</v>
      </c>
      <c r="D5" s="74" t="s">
        <v>47</v>
      </c>
      <c r="E5" s="77" t="s">
        <v>138</v>
      </c>
    </row>
    <row r="6" spans="1:6" ht="57.6" x14ac:dyDescent="0.3">
      <c r="B6" s="76">
        <v>44342</v>
      </c>
      <c r="C6" s="75" t="s">
        <v>122</v>
      </c>
      <c r="D6" s="74" t="s">
        <v>47</v>
      </c>
      <c r="E6" s="77" t="s">
        <v>139</v>
      </c>
    </row>
    <row r="7" spans="1:6" x14ac:dyDescent="0.3">
      <c r="B7" s="76">
        <v>44208</v>
      </c>
      <c r="C7" s="75" t="s">
        <v>114</v>
      </c>
      <c r="D7" s="74" t="s">
        <v>47</v>
      </c>
      <c r="E7" s="74" t="s">
        <v>115</v>
      </c>
    </row>
    <row r="8" spans="1:6" x14ac:dyDescent="0.3">
      <c r="B8" s="76">
        <v>43605</v>
      </c>
      <c r="C8" s="75" t="s">
        <v>111</v>
      </c>
      <c r="D8" s="74" t="s">
        <v>47</v>
      </c>
      <c r="E8" s="74" t="s">
        <v>112</v>
      </c>
    </row>
    <row r="9" spans="1:6" x14ac:dyDescent="0.3">
      <c r="B9" s="76">
        <v>43605</v>
      </c>
      <c r="C9" s="75" t="s">
        <v>102</v>
      </c>
      <c r="D9" s="74" t="s">
        <v>47</v>
      </c>
      <c r="E9" s="74" t="s">
        <v>110</v>
      </c>
    </row>
    <row r="10" spans="1:6" x14ac:dyDescent="0.3">
      <c r="B10" s="76">
        <v>43603</v>
      </c>
      <c r="C10" s="75" t="s">
        <v>102</v>
      </c>
      <c r="D10" s="74" t="s">
        <v>47</v>
      </c>
      <c r="E10" s="74" t="s">
        <v>107</v>
      </c>
    </row>
    <row r="11" spans="1:6" x14ac:dyDescent="0.3">
      <c r="B11" s="76">
        <v>43508</v>
      </c>
      <c r="C11" s="78" t="s">
        <v>83</v>
      </c>
      <c r="D11" s="74" t="s">
        <v>47</v>
      </c>
      <c r="E11" s="74" t="s">
        <v>84</v>
      </c>
    </row>
    <row r="12" spans="1:6" x14ac:dyDescent="0.3">
      <c r="B12" s="76">
        <v>43499</v>
      </c>
      <c r="C12" s="75" t="s">
        <v>80</v>
      </c>
      <c r="D12" s="74" t="s">
        <v>47</v>
      </c>
      <c r="E12" s="74" t="s">
        <v>82</v>
      </c>
    </row>
    <row r="13" spans="1:6" x14ac:dyDescent="0.3">
      <c r="B13" s="76">
        <v>43483</v>
      </c>
      <c r="C13" s="75" t="s">
        <v>77</v>
      </c>
      <c r="D13" s="74" t="s">
        <v>47</v>
      </c>
      <c r="E13" s="74" t="s">
        <v>76</v>
      </c>
    </row>
    <row r="14" spans="1:6" x14ac:dyDescent="0.3">
      <c r="B14" s="76">
        <v>43479</v>
      </c>
      <c r="C14" s="75" t="s">
        <v>72</v>
      </c>
      <c r="D14" s="74" t="s">
        <v>47</v>
      </c>
      <c r="E14" s="74" t="s">
        <v>78</v>
      </c>
    </row>
    <row r="15" spans="1:6" x14ac:dyDescent="0.3">
      <c r="B15" s="76">
        <v>43477</v>
      </c>
      <c r="C15" s="75" t="s">
        <v>70</v>
      </c>
      <c r="D15" s="74" t="s">
        <v>47</v>
      </c>
      <c r="E15" s="74" t="s">
        <v>79</v>
      </c>
    </row>
    <row r="16" spans="1:6" x14ac:dyDescent="0.3">
      <c r="B16" s="76">
        <v>43476</v>
      </c>
      <c r="C16" s="75" t="s">
        <v>56</v>
      </c>
      <c r="D16" s="74" t="s">
        <v>47</v>
      </c>
      <c r="E16" s="74" t="s">
        <v>57</v>
      </c>
    </row>
    <row r="17" spans="2:5" x14ac:dyDescent="0.3">
      <c r="B17" s="76">
        <v>43474</v>
      </c>
      <c r="C17" s="78" t="s">
        <v>51</v>
      </c>
      <c r="D17" s="74" t="s">
        <v>47</v>
      </c>
      <c r="E17" s="74" t="s">
        <v>52</v>
      </c>
    </row>
    <row r="18" spans="2:5" x14ac:dyDescent="0.3">
      <c r="B18" s="76">
        <v>43446</v>
      </c>
      <c r="C18" s="75" t="s">
        <v>50</v>
      </c>
      <c r="D18" s="74" t="s">
        <v>47</v>
      </c>
      <c r="E18" s="74" t="s">
        <v>49</v>
      </c>
    </row>
    <row r="19" spans="2:5" x14ac:dyDescent="0.3">
      <c r="B19" s="76">
        <v>43443</v>
      </c>
      <c r="C19" s="75" t="s">
        <v>43</v>
      </c>
      <c r="D19" s="74" t="s">
        <v>47</v>
      </c>
      <c r="E19" s="74" t="s">
        <v>48</v>
      </c>
    </row>
  </sheetData>
  <sortState xmlns:xlrd2="http://schemas.microsoft.com/office/spreadsheetml/2017/richdata2" ref="B5:E7">
    <sortCondition descending="1" ref="C5:C7"/>
  </sortState>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5091-3143-4C8E-B63F-8C746D9D6C6B}">
  <sheetPr codeName="Tabelle1"/>
  <dimension ref="A1:AE210"/>
  <sheetViews>
    <sheetView zoomScale="60" zoomScaleNormal="60" workbookViewId="0">
      <pane ySplit="9" topLeftCell="A10" activePane="bottomLeft" state="frozen"/>
      <selection pane="bottomLeft" activeCell="G6" sqref="G6"/>
    </sheetView>
  </sheetViews>
  <sheetFormatPr baseColWidth="10" defaultRowHeight="14.4" x14ac:dyDescent="0.3"/>
  <cols>
    <col min="1" max="1" width="14.6640625" customWidth="1"/>
    <col min="2" max="2" width="12.6640625" customWidth="1"/>
    <col min="3" max="3" width="12.5546875" customWidth="1"/>
    <col min="7" max="7" width="11.6640625" customWidth="1"/>
    <col min="13" max="13" width="21.5546875" customWidth="1"/>
    <col min="14" max="14" width="12.6640625" customWidth="1"/>
    <col min="15" max="15" width="12" customWidth="1"/>
    <col min="18" max="18" width="14.33203125" customWidth="1"/>
    <col min="21" max="21" width="16.6640625" customWidth="1"/>
    <col min="23" max="23" width="15" customWidth="1"/>
    <col min="24" max="24" width="14.33203125" customWidth="1"/>
    <col min="25" max="25" width="13.88671875" customWidth="1"/>
    <col min="30" max="30" width="15.33203125" customWidth="1"/>
  </cols>
  <sheetData>
    <row r="1" spans="1:31" ht="60.75" customHeight="1" thickBot="1" x14ac:dyDescent="0.35">
      <c r="A1" s="101" t="s">
        <v>21</v>
      </c>
      <c r="B1" s="101"/>
      <c r="C1" s="101"/>
      <c r="D1" s="101"/>
      <c r="E1" s="101"/>
      <c r="F1" s="101"/>
      <c r="G1" s="102">
        <f>G5</f>
        <v>45216</v>
      </c>
      <c r="H1" s="103"/>
      <c r="R1" s="104" t="s">
        <v>297</v>
      </c>
      <c r="S1" s="104"/>
    </row>
    <row r="2" spans="1:31" s="9" customFormat="1" ht="16.2" thickBot="1" x14ac:dyDescent="0.35">
      <c r="B2" s="9" t="s">
        <v>15</v>
      </c>
      <c r="C2" s="10">
        <v>20231016</v>
      </c>
      <c r="D2" s="9" t="s">
        <v>16</v>
      </c>
      <c r="G2" s="15">
        <f>G3-G5</f>
        <v>3</v>
      </c>
      <c r="H2" s="9" t="s">
        <v>17</v>
      </c>
      <c r="M2" s="44"/>
      <c r="N2" s="50"/>
      <c r="W2" s="9" t="s">
        <v>45</v>
      </c>
      <c r="X2" s="43" t="str">
        <f>Version!C4</f>
        <v>8.15</v>
      </c>
      <c r="AD2" s="9" t="s">
        <v>123</v>
      </c>
      <c r="AE2" s="9">
        <f>MAX(STOXX_HedgeBedarf!C5:C205)</f>
        <v>866.88885659363882</v>
      </c>
    </row>
    <row r="3" spans="1:31" s="9" customFormat="1" ht="16.2" thickBot="1" x14ac:dyDescent="0.35">
      <c r="B3" s="9" t="s">
        <v>4</v>
      </c>
      <c r="C3" s="11">
        <v>4300</v>
      </c>
      <c r="G3" s="16">
        <f>STOXX_Infos!S34</f>
        <v>45219</v>
      </c>
      <c r="H3" s="9" t="s">
        <v>22</v>
      </c>
      <c r="N3" s="12">
        <f>Euribor3M!B2</f>
        <v>3.9849999999999997E-2</v>
      </c>
      <c r="O3" s="9" t="s">
        <v>18</v>
      </c>
      <c r="AD3" s="9" t="s">
        <v>124</v>
      </c>
      <c r="AE3" s="9">
        <f>MIN(STOXX_HedgeBedarf!C5:C205)</f>
        <v>-788.05271008915634</v>
      </c>
    </row>
    <row r="4" spans="1:31" s="9" customFormat="1" ht="16.2" thickBot="1" x14ac:dyDescent="0.35">
      <c r="B4" s="9" t="s">
        <v>5</v>
      </c>
      <c r="C4" s="11">
        <v>700</v>
      </c>
      <c r="D4" s="9" t="s">
        <v>7</v>
      </c>
      <c r="G4" s="89">
        <f>WORKDAY(G5,1)</f>
        <v>45217</v>
      </c>
      <c r="H4" s="9" t="s">
        <v>178</v>
      </c>
      <c r="N4" s="73">
        <f>O8</f>
        <v>0.19870000000000002</v>
      </c>
      <c r="O4" s="51" t="s">
        <v>19</v>
      </c>
      <c r="P4" s="51" t="s">
        <v>63</v>
      </c>
      <c r="Q4" s="51"/>
      <c r="R4" s="19" t="str">
        <f>TEXT(G5,"TTTT")</f>
        <v>Dienstag</v>
      </c>
      <c r="S4" s="9" t="s">
        <v>25</v>
      </c>
      <c r="W4" s="9" t="s">
        <v>100</v>
      </c>
      <c r="X4" s="42">
        <f>Y8*1</f>
        <v>4159.1899999999996</v>
      </c>
      <c r="Y4" s="9">
        <v>518.79203885718198</v>
      </c>
      <c r="Z4" s="9">
        <f>0.05*AE4+Y4</f>
        <v>601.53911719132179</v>
      </c>
      <c r="AD4" s="9" t="s">
        <v>5</v>
      </c>
      <c r="AE4" s="9">
        <f>ABS(AE2)+ABS(AE3)</f>
        <v>1654.9415666827952</v>
      </c>
    </row>
    <row r="5" spans="1:31" s="9" customFormat="1" ht="16.2" thickBot="1" x14ac:dyDescent="0.35">
      <c r="B5" s="9" t="s">
        <v>6</v>
      </c>
      <c r="C5" s="10">
        <v>25</v>
      </c>
      <c r="D5" s="9" t="s">
        <v>7</v>
      </c>
      <c r="G5" s="17">
        <v>45216</v>
      </c>
      <c r="H5" s="9" t="s">
        <v>23</v>
      </c>
      <c r="N5" s="19">
        <v>20231013</v>
      </c>
      <c r="O5" s="9" t="s">
        <v>24</v>
      </c>
      <c r="R5" s="15">
        <f>R6-G5</f>
        <v>32</v>
      </c>
      <c r="S5" s="9" t="s">
        <v>34</v>
      </c>
      <c r="X5" s="9">
        <f>ROUND((C3+(0.5*C4)-X4)/10,0)</f>
        <v>49</v>
      </c>
      <c r="Y5" s="9">
        <v>802.64076823778862</v>
      </c>
      <c r="Z5" s="9">
        <f>Y5*1.1</f>
        <v>882.90484506156758</v>
      </c>
    </row>
    <row r="6" spans="1:31" s="9" customFormat="1" ht="16.2" thickBot="1" x14ac:dyDescent="0.35">
      <c r="A6" s="9" t="s">
        <v>105</v>
      </c>
      <c r="B6" s="9" t="s">
        <v>106</v>
      </c>
      <c r="C6" s="10">
        <v>1</v>
      </c>
      <c r="G6" s="40"/>
      <c r="N6" s="9">
        <v>365</v>
      </c>
      <c r="O6" s="9" t="s">
        <v>39</v>
      </c>
      <c r="R6" s="16">
        <f>STOXX_Infos!S36</f>
        <v>45248</v>
      </c>
      <c r="S6" s="9" t="s">
        <v>35</v>
      </c>
      <c r="X6" s="9" t="s">
        <v>59</v>
      </c>
      <c r="Y6" s="9" t="s">
        <v>60</v>
      </c>
      <c r="Z6" s="9" t="s">
        <v>61</v>
      </c>
      <c r="AA6" s="9" t="s">
        <v>62</v>
      </c>
    </row>
    <row r="7" spans="1:31" s="9" customFormat="1" ht="26.25" customHeight="1" x14ac:dyDescent="0.3">
      <c r="B7" s="9" t="s">
        <v>2</v>
      </c>
      <c r="N7" s="50"/>
      <c r="X7" s="9" t="str">
        <f>SUBSTITUTE(X8,".",",")</f>
        <v>4268,28</v>
      </c>
      <c r="Y7" s="45"/>
    </row>
    <row r="8" spans="1:31" s="9" customFormat="1" ht="15.6" x14ac:dyDescent="0.3">
      <c r="C8" s="13"/>
      <c r="D8" s="13" t="str">
        <f>STOXX_Infos!B31</f>
        <v>2023-10</v>
      </c>
      <c r="E8" s="13" t="str">
        <f>STOXX_Infos!B32</f>
        <v>2023-11</v>
      </c>
      <c r="F8" s="13" t="str">
        <f>STOXX_Infos!O38&amp;"-"&amp;STOXX_Infos!P38</f>
        <v>2023-10</v>
      </c>
      <c r="G8" s="13" t="str">
        <f>STOXX_Infos!O40&amp;"-"&amp;STOXX_Infos!P40</f>
        <v>2023-10</v>
      </c>
      <c r="H8" s="13" t="str">
        <f>STOXX_Infos!O42&amp;"-"&amp;STOXX_Infos!P42</f>
        <v>2023-10</v>
      </c>
      <c r="I8" s="13" t="str">
        <f>STOXX_Infos!O44&amp;"-"&amp;STOXX_Infos!P44</f>
        <v>-</v>
      </c>
      <c r="N8" s="50" t="s">
        <v>209</v>
      </c>
      <c r="O8" s="91">
        <f>VSTOXX_Finanzen!C2/100</f>
        <v>0.19870000000000002</v>
      </c>
      <c r="V8" s="9" t="s">
        <v>199</v>
      </c>
      <c r="X8" s="9" t="str">
        <f>SUBSTITUTE(X9,",","")</f>
        <v>4268.28</v>
      </c>
      <c r="Y8" s="53">
        <f>STOXX_CITI!B2</f>
        <v>4159.1899999999996</v>
      </c>
    </row>
    <row r="9" spans="1:31" s="9" customFormat="1" ht="16.2" thickBot="1" x14ac:dyDescent="0.35">
      <c r="A9" s="9" t="s">
        <v>1</v>
      </c>
      <c r="C9" s="13" t="s">
        <v>20</v>
      </c>
      <c r="D9" s="13" t="s">
        <v>3</v>
      </c>
      <c r="E9" s="14" t="s">
        <v>8</v>
      </c>
      <c r="F9" s="14" t="s">
        <v>9</v>
      </c>
      <c r="G9" s="13" t="s">
        <v>10</v>
      </c>
      <c r="H9" s="13" t="s">
        <v>11</v>
      </c>
      <c r="I9" s="13" t="s">
        <v>37</v>
      </c>
      <c r="N9" s="66"/>
      <c r="U9" s="9" t="s">
        <v>36</v>
      </c>
      <c r="V9" s="9" t="s">
        <v>64</v>
      </c>
      <c r="W9" s="9" t="s">
        <v>99</v>
      </c>
      <c r="X9" s="9" t="str">
        <f>LEFT(Stoxx50!B6,8)</f>
        <v>4,268.28</v>
      </c>
      <c r="Y9" s="9">
        <f>Stoxx50!F6</f>
        <v>0</v>
      </c>
      <c r="Z9" s="68"/>
    </row>
    <row r="10" spans="1:31" x14ac:dyDescent="0.3">
      <c r="A10" s="1">
        <v>4650</v>
      </c>
      <c r="B10" s="1"/>
      <c r="C10" s="6">
        <v>-26958</v>
      </c>
      <c r="D10" s="1">
        <v>-24131</v>
      </c>
      <c r="E10" s="1">
        <v>-2827</v>
      </c>
      <c r="F10" s="1"/>
      <c r="G10" s="1"/>
      <c r="H10" s="1"/>
      <c r="I10" s="1"/>
      <c r="J10" s="1"/>
      <c r="K10" s="1"/>
      <c r="L10" s="1"/>
      <c r="M10" s="1"/>
      <c r="N10" s="1"/>
      <c r="O10" s="1"/>
      <c r="P10" s="1"/>
      <c r="Q10" s="1"/>
      <c r="R10" s="1"/>
      <c r="S10" s="1"/>
      <c r="U10">
        <f>STOXX_HedgeBedarf!C5+'STOXX_HedgeBedarf+01'!C5</f>
        <v>-400.87319318757869</v>
      </c>
    </row>
    <row r="11" spans="1:31" x14ac:dyDescent="0.3">
      <c r="A11" s="1">
        <v>4625</v>
      </c>
      <c r="B11" s="1"/>
      <c r="C11" s="7">
        <v>-6874</v>
      </c>
      <c r="D11" s="1">
        <v>-5213</v>
      </c>
      <c r="E11" s="1">
        <v>-1661</v>
      </c>
      <c r="F11" s="1"/>
      <c r="G11" s="1"/>
      <c r="H11" s="1"/>
      <c r="I11" s="1"/>
      <c r="J11" s="1"/>
      <c r="K11" s="1"/>
      <c r="L11" s="1"/>
      <c r="M11" s="1"/>
      <c r="N11" s="1"/>
      <c r="O11" s="1"/>
      <c r="P11" s="1"/>
      <c r="Q11" s="1"/>
      <c r="R11" s="1"/>
      <c r="S11" s="1"/>
      <c r="U11">
        <f>STOXX_HedgeBedarf!C6+'STOXX_HedgeBedarf+01'!C6</f>
        <v>-448.42038503681715</v>
      </c>
    </row>
    <row r="12" spans="1:31" x14ac:dyDescent="0.3">
      <c r="A12" s="1">
        <v>4600</v>
      </c>
      <c r="B12" s="1"/>
      <c r="C12" s="7">
        <v>-78628</v>
      </c>
      <c r="D12" s="1">
        <v>-58612</v>
      </c>
      <c r="E12" s="1">
        <v>-20016</v>
      </c>
      <c r="F12" s="1"/>
      <c r="G12" s="1"/>
      <c r="H12" s="1"/>
      <c r="I12" s="1"/>
      <c r="J12" s="1"/>
      <c r="K12" s="1"/>
      <c r="L12" s="1"/>
      <c r="M12" s="1"/>
      <c r="N12" s="1"/>
      <c r="O12" s="1"/>
      <c r="P12" s="1"/>
      <c r="Q12" s="1"/>
      <c r="R12" s="1"/>
      <c r="S12" s="1"/>
      <c r="U12">
        <f>STOXX_HedgeBedarf!C7+'STOXX_HedgeBedarf+01'!C7</f>
        <v>-497.95643591556467</v>
      </c>
    </row>
    <row r="13" spans="1:31" x14ac:dyDescent="0.3">
      <c r="A13" s="1">
        <v>4575</v>
      </c>
      <c r="B13" s="1"/>
      <c r="C13" s="7">
        <v>-20443</v>
      </c>
      <c r="D13" s="1">
        <v>-17133</v>
      </c>
      <c r="E13" s="1">
        <v>-3310</v>
      </c>
      <c r="F13" s="1"/>
      <c r="G13" s="1"/>
      <c r="H13" s="1"/>
      <c r="I13" s="1"/>
      <c r="J13" s="1"/>
      <c r="K13" s="1"/>
      <c r="L13" s="1"/>
      <c r="M13" s="1"/>
      <c r="N13" s="1"/>
      <c r="O13" s="1"/>
      <c r="P13" s="1"/>
      <c r="Q13" s="1"/>
      <c r="R13" s="1"/>
      <c r="S13" s="1"/>
      <c r="U13">
        <f>STOXX_HedgeBedarf!C8+'STOXX_HedgeBedarf+01'!C8</f>
        <v>-549.13278001184904</v>
      </c>
    </row>
    <row r="14" spans="1:31" x14ac:dyDescent="0.3">
      <c r="A14" s="1">
        <v>4550</v>
      </c>
      <c r="B14" s="1"/>
      <c r="C14" s="7">
        <v>-42968</v>
      </c>
      <c r="D14" s="1">
        <v>-33665</v>
      </c>
      <c r="E14" s="1">
        <v>-9303</v>
      </c>
      <c r="F14" s="1"/>
      <c r="G14" s="1"/>
      <c r="H14" s="1"/>
      <c r="I14" s="1"/>
      <c r="J14" s="2"/>
      <c r="K14" s="1"/>
      <c r="L14" s="1"/>
      <c r="M14" s="1"/>
      <c r="N14" s="1"/>
      <c r="O14" s="1"/>
      <c r="P14" s="1"/>
      <c r="Q14" s="1"/>
      <c r="R14" s="1"/>
      <c r="S14" s="1"/>
      <c r="U14">
        <f>STOXX_HedgeBedarf!C9+'STOXX_HedgeBedarf+01'!C9</f>
        <v>-601.59442880066831</v>
      </c>
    </row>
    <row r="15" spans="1:31" x14ac:dyDescent="0.3">
      <c r="A15" s="1">
        <v>4525</v>
      </c>
      <c r="B15" s="1"/>
      <c r="C15" s="7">
        <v>-47548</v>
      </c>
      <c r="D15" s="1">
        <v>-41277</v>
      </c>
      <c r="E15" s="1">
        <v>-6271</v>
      </c>
      <c r="F15" s="1"/>
      <c r="G15" s="1"/>
      <c r="H15" s="1"/>
      <c r="I15" s="1"/>
      <c r="J15" s="2"/>
      <c r="K15" s="1"/>
      <c r="L15" s="1"/>
      <c r="M15" s="1"/>
      <c r="N15" s="1"/>
      <c r="O15" s="1"/>
      <c r="P15" s="1"/>
      <c r="Q15" s="1"/>
      <c r="R15" s="1"/>
      <c r="S15" s="1"/>
      <c r="U15">
        <f>STOXX_HedgeBedarf!C10+'STOXX_HedgeBedarf+01'!C10</f>
        <v>-654.99582473518853</v>
      </c>
    </row>
    <row r="16" spans="1:31" x14ac:dyDescent="0.3">
      <c r="A16" s="1">
        <v>4500</v>
      </c>
      <c r="B16" s="1"/>
      <c r="C16" s="7">
        <v>-115898</v>
      </c>
      <c r="D16" s="1">
        <v>-73415</v>
      </c>
      <c r="E16" s="1">
        <v>-42483</v>
      </c>
      <c r="F16" s="1"/>
      <c r="G16" s="1"/>
      <c r="H16" s="1"/>
      <c r="I16" s="1"/>
      <c r="J16" s="2"/>
      <c r="K16" s="1"/>
      <c r="L16" s="1"/>
      <c r="M16" s="1"/>
      <c r="N16" s="1"/>
      <c r="O16" s="1"/>
      <c r="P16" s="1"/>
      <c r="Q16" s="1"/>
      <c r="R16" s="1"/>
      <c r="S16" s="1"/>
      <c r="U16">
        <f>STOXX_HedgeBedarf!C11+'STOXX_HedgeBedarf+01'!C11</f>
        <v>-709.01628081376521</v>
      </c>
    </row>
    <row r="17" spans="1:21" x14ac:dyDescent="0.3">
      <c r="A17" s="1">
        <v>4475</v>
      </c>
      <c r="B17" s="1"/>
      <c r="C17" s="7">
        <v>-33412</v>
      </c>
      <c r="D17" s="1">
        <v>-20055</v>
      </c>
      <c r="E17" s="1">
        <v>-13357</v>
      </c>
      <c r="F17" s="1"/>
      <c r="G17" s="1"/>
      <c r="H17" s="1"/>
      <c r="I17" s="1"/>
      <c r="J17" s="2"/>
      <c r="K17" s="1"/>
      <c r="L17" s="1"/>
      <c r="M17" s="1"/>
      <c r="N17" s="1"/>
      <c r="O17" s="1"/>
      <c r="P17" s="1"/>
      <c r="Q17" s="1"/>
      <c r="R17" s="1"/>
      <c r="S17" s="1"/>
      <c r="U17">
        <f>STOXX_HedgeBedarf!C12+'STOXX_HedgeBedarf+01'!C12</f>
        <v>-763.37415501040721</v>
      </c>
    </row>
    <row r="18" spans="1:21" x14ac:dyDescent="0.3">
      <c r="A18" s="1">
        <v>4450</v>
      </c>
      <c r="B18" s="1"/>
      <c r="C18" s="7">
        <v>-75929</v>
      </c>
      <c r="D18" s="1">
        <v>-60591</v>
      </c>
      <c r="E18" s="1">
        <v>-15338</v>
      </c>
      <c r="F18" s="1"/>
      <c r="G18" s="1"/>
      <c r="H18" s="1"/>
      <c r="I18" s="1"/>
      <c r="J18" s="2"/>
      <c r="K18" s="1"/>
      <c r="L18" s="1"/>
      <c r="M18" s="1"/>
      <c r="N18" s="1"/>
      <c r="O18" s="1"/>
      <c r="P18" s="1"/>
      <c r="Q18" s="1"/>
      <c r="R18" s="1"/>
      <c r="S18" s="1"/>
      <c r="U18">
        <f>STOXX_HedgeBedarf!C13+'STOXX_HedgeBedarf+01'!C13</f>
        <v>-817.83890943240851</v>
      </c>
    </row>
    <row r="19" spans="1:21" x14ac:dyDescent="0.3">
      <c r="A19" s="1">
        <v>4425</v>
      </c>
      <c r="B19" s="1"/>
      <c r="C19" s="7">
        <v>-54153</v>
      </c>
      <c r="D19" s="1">
        <v>-32907</v>
      </c>
      <c r="E19" s="1">
        <v>-21246</v>
      </c>
      <c r="F19" s="1"/>
      <c r="G19" s="1"/>
      <c r="H19" s="1"/>
      <c r="I19" s="1"/>
      <c r="J19" s="2"/>
      <c r="K19" s="1"/>
      <c r="L19" s="1"/>
      <c r="M19" s="1"/>
      <c r="N19" s="1"/>
      <c r="O19" s="1"/>
      <c r="P19" s="1"/>
      <c r="Q19" s="1"/>
      <c r="R19" s="1"/>
      <c r="S19" s="1"/>
      <c r="U19">
        <f>STOXX_HedgeBedarf!C14+'STOXX_HedgeBedarf+01'!C14</f>
        <v>-872.24016887326025</v>
      </c>
    </row>
    <row r="20" spans="1:21" x14ac:dyDescent="0.3">
      <c r="A20" s="1">
        <v>4400</v>
      </c>
      <c r="B20" s="1"/>
      <c r="C20" s="7">
        <v>-108777</v>
      </c>
      <c r="D20" s="1">
        <v>-49212</v>
      </c>
      <c r="E20" s="1">
        <v>-59565</v>
      </c>
      <c r="F20" s="1"/>
      <c r="G20" s="1"/>
      <c r="H20" s="1"/>
      <c r="I20" s="1"/>
      <c r="J20" s="2"/>
      <c r="K20" s="1"/>
      <c r="L20" s="1"/>
      <c r="M20" s="1"/>
      <c r="N20" s="1"/>
      <c r="O20" s="1"/>
      <c r="P20" s="1"/>
      <c r="Q20" s="1"/>
      <c r="R20" s="1"/>
      <c r="S20" s="1"/>
      <c r="U20">
        <f>STOXX_HedgeBedarf!C15+'STOXX_HedgeBedarf+01'!C15</f>
        <v>-926.47281321637229</v>
      </c>
    </row>
    <row r="21" spans="1:21" x14ac:dyDescent="0.3">
      <c r="A21" s="1">
        <v>4375</v>
      </c>
      <c r="B21" s="1"/>
      <c r="C21" s="7">
        <v>-175175</v>
      </c>
      <c r="D21" s="1">
        <v>-29515</v>
      </c>
      <c r="E21" s="1">
        <v>-145660</v>
      </c>
      <c r="F21" s="1"/>
      <c r="G21" s="1"/>
      <c r="H21" s="1"/>
      <c r="I21" s="1"/>
      <c r="J21" s="2"/>
      <c r="K21" s="1"/>
      <c r="L21" s="1"/>
      <c r="M21" s="1"/>
      <c r="N21" s="1"/>
      <c r="O21" s="1"/>
      <c r="P21" s="1"/>
      <c r="Q21" s="1"/>
      <c r="R21" s="1"/>
      <c r="S21" s="1"/>
      <c r="U21">
        <f>STOXX_HedgeBedarf!C16+'STOXX_HedgeBedarf+01'!C16</f>
        <v>-980.49703125051428</v>
      </c>
    </row>
    <row r="22" spans="1:21" x14ac:dyDescent="0.3">
      <c r="A22" s="1">
        <v>4350</v>
      </c>
      <c r="B22" s="1"/>
      <c r="C22" s="7">
        <v>-163225</v>
      </c>
      <c r="D22" s="1">
        <v>-28762</v>
      </c>
      <c r="E22" s="1">
        <v>-134463</v>
      </c>
      <c r="F22" s="1"/>
      <c r="G22" s="1"/>
      <c r="H22" s="1"/>
      <c r="I22" s="1"/>
      <c r="J22" s="2"/>
      <c r="K22" s="1"/>
      <c r="L22" s="1"/>
      <c r="M22" s="1"/>
      <c r="N22" s="1"/>
      <c r="O22" s="1"/>
      <c r="P22" s="1"/>
      <c r="Q22" s="1"/>
      <c r="R22" s="1"/>
      <c r="S22" s="1"/>
      <c r="U22">
        <f>STOXX_HedgeBedarf!C17+'STOXX_HedgeBedarf+01'!C17</f>
        <v>-1034.3321799148569</v>
      </c>
    </row>
    <row r="23" spans="1:21" x14ac:dyDescent="0.3">
      <c r="A23" s="1">
        <v>4325</v>
      </c>
      <c r="B23" s="1"/>
      <c r="C23" s="7">
        <v>-19642</v>
      </c>
      <c r="D23" s="1">
        <v>-15306</v>
      </c>
      <c r="E23" s="1">
        <v>-4336</v>
      </c>
      <c r="F23" s="1"/>
      <c r="G23" s="1"/>
      <c r="H23" s="1"/>
      <c r="I23" s="1"/>
      <c r="J23" s="2"/>
      <c r="K23" s="1"/>
      <c r="L23" s="1"/>
      <c r="M23" s="1"/>
      <c r="N23" s="1"/>
      <c r="O23" s="1"/>
      <c r="P23" s="1"/>
      <c r="Q23" s="1"/>
      <c r="R23" s="1"/>
      <c r="S23" s="1"/>
      <c r="U23">
        <f>STOXX_HedgeBedarf!C18+'STOXX_HedgeBedarf+01'!C18</f>
        <v>-1088.0433107079057</v>
      </c>
    </row>
    <row r="24" spans="1:21" x14ac:dyDescent="0.3">
      <c r="A24" s="1">
        <v>4300</v>
      </c>
      <c r="B24" s="1"/>
      <c r="C24" s="7">
        <v>-85602</v>
      </c>
      <c r="D24" s="1">
        <v>-15866</v>
      </c>
      <c r="E24" s="1">
        <v>-69736</v>
      </c>
      <c r="F24" s="1"/>
      <c r="G24" s="1"/>
      <c r="H24" s="1"/>
      <c r="I24" s="1"/>
      <c r="J24" s="2"/>
      <c r="K24" s="1"/>
      <c r="L24" s="1"/>
      <c r="M24" s="1"/>
      <c r="N24" s="1"/>
      <c r="O24" s="1"/>
      <c r="P24" s="1"/>
      <c r="Q24" s="1"/>
      <c r="R24" s="1"/>
      <c r="S24" s="1"/>
      <c r="U24">
        <f>STOXX_HedgeBedarf!C19+'STOXX_HedgeBedarf+01'!C19</f>
        <v>-1141.719436335015</v>
      </c>
    </row>
    <row r="25" spans="1:21" x14ac:dyDescent="0.3">
      <c r="A25" s="1">
        <v>4275</v>
      </c>
      <c r="B25" s="1"/>
      <c r="C25" s="7">
        <v>-23408</v>
      </c>
      <c r="D25" s="1">
        <v>-13553</v>
      </c>
      <c r="E25" s="1">
        <v>-9855</v>
      </c>
      <c r="F25" s="1"/>
      <c r="G25" s="1"/>
      <c r="H25" s="1"/>
      <c r="I25" s="1"/>
      <c r="J25" s="2"/>
      <c r="K25" s="1"/>
      <c r="L25" s="1"/>
      <c r="M25" s="1"/>
      <c r="N25" s="1"/>
      <c r="O25" s="1"/>
      <c r="P25" s="1"/>
      <c r="Q25" s="1"/>
      <c r="R25" s="1"/>
      <c r="S25" s="1"/>
      <c r="U25">
        <f>STOXX_HedgeBedarf!C20+'STOXX_HedgeBedarf+01'!C20</f>
        <v>-1195.4431003778263</v>
      </c>
    </row>
    <row r="26" spans="1:21" x14ac:dyDescent="0.3">
      <c r="A26" s="1">
        <v>4250</v>
      </c>
      <c r="B26" s="1"/>
      <c r="C26" s="7">
        <v>14895</v>
      </c>
      <c r="D26" s="1">
        <v>978</v>
      </c>
      <c r="E26" s="1">
        <v>13917</v>
      </c>
      <c r="F26" s="1"/>
      <c r="G26" s="1"/>
      <c r="H26" s="1"/>
      <c r="I26" s="1"/>
      <c r="J26" s="2"/>
      <c r="K26" s="1"/>
      <c r="L26" s="1"/>
      <c r="M26" s="1"/>
      <c r="N26" s="1"/>
      <c r="O26" s="1"/>
      <c r="P26" s="1"/>
      <c r="Q26" s="1"/>
      <c r="R26" s="1"/>
      <c r="S26" s="1"/>
      <c r="U26">
        <f>STOXX_HedgeBedarf!C21+'STOXX_HedgeBedarf+01'!C21</f>
        <v>-1249.2516307659057</v>
      </c>
    </row>
    <row r="27" spans="1:21" x14ac:dyDescent="0.3">
      <c r="A27" s="1">
        <v>4225</v>
      </c>
      <c r="B27" s="1"/>
      <c r="C27" s="7">
        <v>2941</v>
      </c>
      <c r="D27" s="1">
        <v>-3130</v>
      </c>
      <c r="E27" s="1">
        <v>6071</v>
      </c>
      <c r="F27" s="1"/>
      <c r="G27" s="1"/>
      <c r="H27" s="1"/>
      <c r="I27" s="1"/>
      <c r="J27" s="2"/>
      <c r="K27" s="1"/>
      <c r="L27" s="1"/>
      <c r="M27" s="1"/>
      <c r="N27" s="1"/>
      <c r="O27" s="1"/>
      <c r="P27" s="1"/>
      <c r="Q27" s="1"/>
      <c r="R27" s="1"/>
      <c r="S27" s="1"/>
      <c r="U27">
        <f>STOXX_HedgeBedarf!C22+'STOXX_HedgeBedarf+01'!C22</f>
        <v>-1303.0915927169497</v>
      </c>
    </row>
    <row r="28" spans="1:21" x14ac:dyDescent="0.3">
      <c r="A28" s="1">
        <v>4200</v>
      </c>
      <c r="B28" s="1"/>
      <c r="C28" s="7">
        <v>24682</v>
      </c>
      <c r="D28" s="1">
        <v>25152</v>
      </c>
      <c r="E28" s="1">
        <v>-470</v>
      </c>
      <c r="F28" s="1"/>
      <c r="G28" s="1"/>
      <c r="H28" s="1"/>
      <c r="I28" s="1"/>
      <c r="J28" s="2"/>
      <c r="K28" s="1"/>
      <c r="L28" s="1"/>
      <c r="M28" s="1"/>
      <c r="N28" s="1"/>
      <c r="O28" s="1"/>
      <c r="P28" s="1"/>
      <c r="Q28" s="1"/>
      <c r="R28" s="1"/>
      <c r="S28" s="1"/>
      <c r="U28">
        <f>STOXX_HedgeBedarf!C23+'STOXX_HedgeBedarf+01'!C23</f>
        <v>-1356.7693172099398</v>
      </c>
    </row>
    <row r="29" spans="1:21" x14ac:dyDescent="0.3">
      <c r="A29" s="1">
        <v>4175</v>
      </c>
      <c r="B29" s="1"/>
      <c r="C29" s="7">
        <v>20466</v>
      </c>
      <c r="D29" s="1">
        <v>17659</v>
      </c>
      <c r="E29" s="1">
        <v>2807</v>
      </c>
      <c r="F29" s="1"/>
      <c r="G29" s="1"/>
      <c r="H29" s="1"/>
      <c r="I29" s="1"/>
      <c r="J29" s="2"/>
      <c r="K29" s="1"/>
      <c r="L29" s="1"/>
      <c r="M29" s="1"/>
      <c r="N29" s="1"/>
      <c r="O29" s="1"/>
      <c r="P29" s="1"/>
      <c r="Q29" s="1"/>
      <c r="R29" s="1"/>
      <c r="S29" s="1"/>
      <c r="U29">
        <f>STOXX_HedgeBedarf!C24+'STOXX_HedgeBedarf+01'!C24</f>
        <v>-1409.901791605781</v>
      </c>
    </row>
    <row r="30" spans="1:21" x14ac:dyDescent="0.3">
      <c r="A30" s="1">
        <v>4150</v>
      </c>
      <c r="B30" s="1"/>
      <c r="C30" s="7">
        <v>57328</v>
      </c>
      <c r="D30" s="1">
        <v>35776</v>
      </c>
      <c r="E30" s="1">
        <v>21552</v>
      </c>
      <c r="F30" s="1"/>
      <c r="G30" s="1"/>
      <c r="H30" s="1"/>
      <c r="I30" s="1"/>
      <c r="J30" s="2"/>
      <c r="K30" s="1"/>
      <c r="L30" s="1"/>
      <c r="M30" s="1"/>
      <c r="N30" s="1"/>
      <c r="O30" s="1"/>
      <c r="P30" s="1"/>
      <c r="Q30" s="1"/>
      <c r="R30" s="1"/>
      <c r="S30" s="1"/>
      <c r="U30">
        <f>STOXX_HedgeBedarf!C25+'STOXX_HedgeBedarf+01'!C25</f>
        <v>-1461.8734156892651</v>
      </c>
    </row>
    <row r="31" spans="1:21" x14ac:dyDescent="0.3">
      <c r="A31" s="1">
        <v>4125</v>
      </c>
      <c r="B31" s="1"/>
      <c r="C31" s="7">
        <v>29167</v>
      </c>
      <c r="D31" s="1">
        <v>23685</v>
      </c>
      <c r="E31" s="1">
        <v>5482</v>
      </c>
      <c r="F31" s="1"/>
      <c r="G31" s="1"/>
      <c r="H31" s="1"/>
      <c r="I31" s="1"/>
      <c r="J31" s="2"/>
      <c r="K31" s="1"/>
      <c r="L31" s="1"/>
      <c r="M31" s="1"/>
      <c r="N31" s="1"/>
      <c r="O31" s="1"/>
      <c r="P31" s="1"/>
      <c r="Q31" s="1"/>
      <c r="R31" s="1"/>
      <c r="S31" s="1"/>
      <c r="U31">
        <f>STOXX_HedgeBedarf!C26+'STOXX_HedgeBedarf+01'!C26</f>
        <v>-1511.804871833584</v>
      </c>
    </row>
    <row r="32" spans="1:21" x14ac:dyDescent="0.3">
      <c r="A32" s="1">
        <v>4100</v>
      </c>
      <c r="B32" s="1"/>
      <c r="C32" s="7">
        <v>220992</v>
      </c>
      <c r="D32" s="1">
        <v>100022</v>
      </c>
      <c r="E32" s="1">
        <v>120970</v>
      </c>
      <c r="F32" s="1"/>
      <c r="G32" s="1"/>
      <c r="H32" s="1"/>
      <c r="I32" s="1"/>
      <c r="J32" s="2"/>
      <c r="K32" s="1"/>
      <c r="L32" s="1"/>
      <c r="M32" s="1"/>
      <c r="N32" s="1"/>
      <c r="O32" s="1"/>
      <c r="P32" s="1"/>
      <c r="Q32" s="1"/>
      <c r="R32" s="1"/>
      <c r="S32" s="1"/>
      <c r="U32">
        <f>STOXX_HedgeBedarf!C27+'STOXX_HedgeBedarf+01'!C27</f>
        <v>-1558.5403729332288</v>
      </c>
    </row>
    <row r="33" spans="1:21" x14ac:dyDescent="0.3">
      <c r="A33" s="1">
        <v>4075</v>
      </c>
      <c r="B33" s="1"/>
      <c r="C33" s="7">
        <v>50181</v>
      </c>
      <c r="D33" s="1">
        <v>24467</v>
      </c>
      <c r="E33" s="1">
        <v>25714</v>
      </c>
      <c r="F33" s="1"/>
      <c r="G33" s="1"/>
      <c r="H33" s="1"/>
      <c r="I33" s="1"/>
      <c r="J33" s="2"/>
      <c r="K33" s="1"/>
      <c r="L33" s="1"/>
      <c r="M33" s="1"/>
      <c r="N33" s="1"/>
      <c r="O33" s="1"/>
      <c r="P33" s="1"/>
      <c r="Q33" s="1"/>
      <c r="R33" s="1"/>
      <c r="S33" s="1"/>
      <c r="U33">
        <f>STOXX_HedgeBedarf!C28+'STOXX_HedgeBedarf+01'!C28</f>
        <v>-1600.6586535919353</v>
      </c>
    </row>
    <row r="34" spans="1:21" x14ac:dyDescent="0.3">
      <c r="A34" s="1">
        <v>4050</v>
      </c>
      <c r="B34" s="1"/>
      <c r="C34" s="7">
        <v>94848</v>
      </c>
      <c r="D34" s="1">
        <v>52466</v>
      </c>
      <c r="E34" s="1">
        <v>42382</v>
      </c>
      <c r="F34" s="1"/>
      <c r="G34" s="1"/>
      <c r="H34" s="1"/>
      <c r="I34" s="1"/>
      <c r="J34" s="2"/>
      <c r="K34" s="1"/>
      <c r="L34" s="1"/>
      <c r="M34" s="1"/>
      <c r="N34" s="1"/>
      <c r="O34" s="1"/>
      <c r="P34" s="1"/>
      <c r="Q34" s="1"/>
      <c r="R34" s="1"/>
      <c r="S34" s="1"/>
      <c r="U34">
        <f>STOXX_HedgeBedarf!C29+'STOXX_HedgeBedarf+01'!C29</f>
        <v>-1636.5112062205944</v>
      </c>
    </row>
    <row r="35" spans="1:21" x14ac:dyDescent="0.3">
      <c r="A35" s="1">
        <v>4025</v>
      </c>
      <c r="B35" s="1"/>
      <c r="C35" s="7">
        <v>24601</v>
      </c>
      <c r="D35" s="1">
        <v>15056</v>
      </c>
      <c r="E35" s="1">
        <v>9545</v>
      </c>
      <c r="F35" s="1"/>
      <c r="G35" s="1"/>
      <c r="H35" s="1"/>
      <c r="I35" s="1"/>
      <c r="J35" s="2"/>
      <c r="K35" s="1"/>
      <c r="L35" s="1"/>
      <c r="M35" s="1"/>
      <c r="N35" s="1"/>
      <c r="O35" s="1"/>
      <c r="P35" s="1"/>
      <c r="Q35" s="1"/>
      <c r="R35" s="1"/>
      <c r="S35" s="1"/>
      <c r="U35">
        <f>STOXX_HedgeBedarf!C30+'STOXX_HedgeBedarf+01'!C30</f>
        <v>-1664.2885468416566</v>
      </c>
    </row>
    <row r="36" spans="1:21" x14ac:dyDescent="0.3">
      <c r="A36" s="1">
        <v>4000</v>
      </c>
      <c r="B36" s="1"/>
      <c r="C36" s="7">
        <v>235856</v>
      </c>
      <c r="D36" s="1">
        <v>98929</v>
      </c>
      <c r="E36" s="1">
        <v>136927</v>
      </c>
      <c r="F36" s="1"/>
      <c r="G36" s="1"/>
      <c r="H36" s="1"/>
      <c r="I36" s="1"/>
      <c r="J36" s="2"/>
      <c r="K36" s="1"/>
      <c r="L36" s="1"/>
      <c r="M36" s="1"/>
      <c r="N36" s="1"/>
      <c r="O36" s="1"/>
      <c r="P36" s="1"/>
      <c r="Q36" s="1"/>
      <c r="R36" s="1"/>
      <c r="S36" s="1"/>
      <c r="U36">
        <f>STOXX_HedgeBedarf!C31+'STOXX_HedgeBedarf+01'!C31</f>
        <v>-1682.1120093716549</v>
      </c>
    </row>
    <row r="37" spans="1:21" x14ac:dyDescent="0.3">
      <c r="A37" s="1">
        <v>3975</v>
      </c>
      <c r="B37" s="1"/>
      <c r="C37" s="7">
        <v>48123</v>
      </c>
      <c r="D37" s="1">
        <v>27140</v>
      </c>
      <c r="E37" s="1">
        <v>20983</v>
      </c>
      <c r="F37" s="1"/>
      <c r="G37" s="1"/>
      <c r="H37" s="1"/>
      <c r="I37" s="1"/>
      <c r="J37" s="2"/>
      <c r="K37" s="1"/>
      <c r="L37" s="1"/>
      <c r="M37" s="1"/>
      <c r="N37" s="1"/>
      <c r="O37" s="1"/>
      <c r="P37" s="1"/>
      <c r="Q37" s="1"/>
      <c r="R37" s="1"/>
      <c r="S37" s="1"/>
      <c r="U37">
        <f>STOXX_HedgeBedarf!C32+'STOXX_HedgeBedarf+01'!C32</f>
        <v>-1688.1451383211097</v>
      </c>
    </row>
    <row r="38" spans="1:21" x14ac:dyDescent="0.3">
      <c r="A38" s="1">
        <v>3950</v>
      </c>
      <c r="B38" s="1"/>
      <c r="C38" s="7">
        <v>102330</v>
      </c>
      <c r="D38" s="1">
        <v>49328</v>
      </c>
      <c r="E38" s="1">
        <v>53002</v>
      </c>
      <c r="F38" s="1"/>
      <c r="G38" s="1"/>
      <c r="H38" s="1"/>
      <c r="I38" s="1"/>
      <c r="J38" s="2"/>
      <c r="K38" s="1"/>
      <c r="L38" s="1"/>
      <c r="M38" s="1"/>
      <c r="N38" s="1"/>
      <c r="O38" s="1"/>
      <c r="P38" s="1"/>
      <c r="Q38" s="1"/>
      <c r="R38" s="1"/>
      <c r="S38" s="1"/>
      <c r="U38">
        <f>STOXX_HedgeBedarf!C33+'STOXX_HedgeBedarf+01'!C33</f>
        <v>-1680.7156854809643</v>
      </c>
    </row>
    <row r="39" spans="1:21" x14ac:dyDescent="0.3">
      <c r="A39" s="1"/>
      <c r="B39" s="1"/>
      <c r="C39" s="7"/>
      <c r="D39" s="1"/>
      <c r="E39" s="1"/>
      <c r="F39" s="1"/>
      <c r="G39" s="1"/>
      <c r="H39" s="1"/>
      <c r="I39" s="1"/>
      <c r="J39" s="2"/>
      <c r="K39" s="1"/>
      <c r="L39" s="1"/>
      <c r="M39" s="1"/>
      <c r="N39" s="1"/>
      <c r="O39" s="1"/>
      <c r="P39" s="1"/>
      <c r="Q39" s="1"/>
      <c r="R39" s="1"/>
      <c r="S39" s="1"/>
      <c r="U39">
        <f>STOXX_HedgeBedarf!C34+'STOXX_HedgeBedarf+01'!C34</f>
        <v>-1658.4370197159096</v>
      </c>
    </row>
    <row r="40" spans="1:21" x14ac:dyDescent="0.3">
      <c r="A40" s="1"/>
      <c r="B40" s="1"/>
      <c r="C40" s="7"/>
      <c r="D40" s="1"/>
      <c r="E40" s="1"/>
      <c r="F40" s="1"/>
      <c r="G40" s="1"/>
      <c r="H40" s="1"/>
      <c r="I40" s="1"/>
      <c r="J40" s="2"/>
      <c r="K40" s="1"/>
      <c r="L40" s="1"/>
      <c r="M40" s="1"/>
      <c r="N40" s="1"/>
      <c r="O40" s="1"/>
      <c r="P40" s="1"/>
      <c r="Q40" s="1"/>
      <c r="R40" s="1"/>
      <c r="S40" s="1"/>
      <c r="U40">
        <f>STOXX_HedgeBedarf!C35+'STOXX_HedgeBedarf+01'!C35</f>
        <v>-1620.3168382768592</v>
      </c>
    </row>
    <row r="41" spans="1:21" x14ac:dyDescent="0.3">
      <c r="A41" s="1"/>
      <c r="B41" s="1"/>
      <c r="C41" s="7"/>
      <c r="D41" s="1"/>
      <c r="E41" s="1"/>
      <c r="F41" s="1"/>
      <c r="G41" s="1"/>
      <c r="H41" s="1"/>
      <c r="I41" s="1"/>
      <c r="J41" s="2"/>
      <c r="K41" s="1"/>
      <c r="L41" s="1"/>
      <c r="M41" s="1"/>
      <c r="N41" s="1"/>
      <c r="O41" s="1"/>
      <c r="P41" s="1"/>
      <c r="Q41" s="1"/>
      <c r="R41" s="1"/>
      <c r="S41" s="1"/>
      <c r="U41">
        <f>STOXX_HedgeBedarf!C36+'STOXX_HedgeBedarf+01'!C36</f>
        <v>-1565.841655307891</v>
      </c>
    </row>
    <row r="42" spans="1:21" x14ac:dyDescent="0.3">
      <c r="A42" s="1"/>
      <c r="B42" s="1"/>
      <c r="C42" s="7"/>
      <c r="D42" s="1"/>
      <c r="E42" s="1"/>
      <c r="F42" s="1"/>
      <c r="G42" s="1"/>
      <c r="H42" s="1"/>
      <c r="I42" s="1"/>
      <c r="J42" s="2"/>
      <c r="K42" s="1"/>
      <c r="L42" s="1"/>
      <c r="M42" s="1"/>
      <c r="N42" s="1"/>
      <c r="O42" s="1"/>
      <c r="P42" s="1"/>
      <c r="Q42" s="1"/>
      <c r="R42" s="1"/>
      <c r="S42" s="1"/>
      <c r="U42">
        <f>STOXX_HedgeBedarf!C37+'STOXX_HedgeBedarf+01'!C37</f>
        <v>-1495.0276445390584</v>
      </c>
    </row>
    <row r="43" spans="1:21" x14ac:dyDescent="0.3">
      <c r="A43" s="1"/>
      <c r="B43" s="1"/>
      <c r="C43" s="7"/>
      <c r="D43" s="1"/>
      <c r="E43" s="1"/>
      <c r="F43" s="1"/>
      <c r="G43" s="1"/>
      <c r="H43" s="1"/>
      <c r="I43" s="1"/>
      <c r="J43" s="2"/>
      <c r="K43" s="1"/>
      <c r="L43" s="1"/>
      <c r="M43" s="1"/>
      <c r="N43" s="1"/>
      <c r="O43" s="1"/>
      <c r="P43" s="1"/>
      <c r="Q43" s="1"/>
      <c r="R43" s="1"/>
      <c r="S43" s="1"/>
      <c r="U43">
        <f>STOXX_HedgeBedarf!C38+'STOXX_HedgeBedarf+01'!C38</f>
        <v>-1408.4317989425381</v>
      </c>
    </row>
    <row r="44" spans="1:21" x14ac:dyDescent="0.3">
      <c r="A44" s="1"/>
      <c r="B44" s="1"/>
      <c r="C44" s="7"/>
      <c r="D44" s="1"/>
      <c r="E44" s="1"/>
      <c r="F44" s="1"/>
      <c r="G44" s="1"/>
      <c r="H44" s="1"/>
      <c r="I44" s="1"/>
      <c r="J44" s="2"/>
      <c r="K44" s="1"/>
      <c r="L44" s="1"/>
      <c r="M44" s="1"/>
      <c r="N44" s="1"/>
      <c r="O44" s="1"/>
      <c r="P44" s="1"/>
      <c r="Q44" s="1"/>
      <c r="R44" s="1"/>
      <c r="S44" s="1"/>
      <c r="U44">
        <f>STOXX_HedgeBedarf!C39+'STOXX_HedgeBedarf+01'!C39</f>
        <v>-1307.1216093969383</v>
      </c>
    </row>
    <row r="45" spans="1:21" x14ac:dyDescent="0.3">
      <c r="A45" s="1"/>
      <c r="B45" s="1"/>
      <c r="C45" s="7"/>
      <c r="D45" s="1"/>
      <c r="E45" s="1"/>
      <c r="F45" s="1"/>
      <c r="G45" s="1"/>
      <c r="H45" s="1"/>
      <c r="I45" s="1"/>
      <c r="J45" s="2"/>
      <c r="K45" s="1"/>
      <c r="L45" s="1"/>
      <c r="M45" s="1"/>
      <c r="N45" s="1"/>
      <c r="O45" s="1"/>
      <c r="P45" s="1"/>
      <c r="Q45" s="1"/>
      <c r="R45" s="1"/>
      <c r="S45" s="1"/>
      <c r="U45">
        <f>STOXX_HedgeBedarf!C40+'STOXX_HedgeBedarf+01'!C40</f>
        <v>-1192.6059957298162</v>
      </c>
    </row>
    <row r="46" spans="1:21" x14ac:dyDescent="0.3">
      <c r="A46" s="1"/>
      <c r="B46" s="1"/>
      <c r="C46" s="7"/>
      <c r="D46" s="1"/>
      <c r="E46" s="1"/>
      <c r="F46" s="1"/>
      <c r="G46" s="1"/>
      <c r="H46" s="1"/>
      <c r="I46" s="1"/>
      <c r="J46" s="2"/>
      <c r="K46" s="1"/>
      <c r="L46" s="1"/>
      <c r="M46" s="1"/>
      <c r="N46" s="1"/>
      <c r="O46" s="1"/>
      <c r="P46" s="1"/>
      <c r="Q46" s="1"/>
      <c r="R46" s="1"/>
      <c r="S46" s="1"/>
      <c r="U46">
        <f>STOXX_HedgeBedarf!C41+'STOXX_HedgeBedarf+01'!C41</f>
        <v>-1066.73444757108</v>
      </c>
    </row>
    <row r="47" spans="1:21" x14ac:dyDescent="0.3">
      <c r="A47" s="1"/>
      <c r="B47" s="1"/>
      <c r="C47" s="7"/>
      <c r="D47" s="1"/>
      <c r="E47" s="1"/>
      <c r="F47" s="1"/>
      <c r="G47" s="1"/>
      <c r="H47" s="1"/>
      <c r="I47" s="1"/>
      <c r="J47" s="2"/>
      <c r="K47" s="1"/>
      <c r="L47" s="1"/>
      <c r="M47" s="1"/>
      <c r="N47" s="1"/>
      <c r="O47" s="1"/>
      <c r="P47" s="1"/>
      <c r="Q47" s="1"/>
      <c r="R47" s="1"/>
      <c r="S47" s="1"/>
      <c r="U47">
        <f>STOXX_HedgeBedarf!C42+'STOXX_HedgeBedarf+01'!C42</f>
        <v>-931.57470679143671</v>
      </c>
    </row>
    <row r="48" spans="1:21" x14ac:dyDescent="0.3">
      <c r="A48" s="1"/>
      <c r="B48" s="1"/>
      <c r="C48" s="7"/>
      <c r="D48" s="1"/>
      <c r="E48" s="1"/>
      <c r="F48" s="1"/>
      <c r="G48" s="1"/>
      <c r="H48" s="1"/>
      <c r="I48" s="1"/>
      <c r="J48" s="2"/>
      <c r="K48" s="1"/>
      <c r="L48" s="1"/>
      <c r="M48" s="1"/>
      <c r="N48" s="1"/>
      <c r="O48" s="1"/>
      <c r="P48" s="1"/>
      <c r="Q48" s="1"/>
      <c r="R48" s="1"/>
      <c r="S48" s="1"/>
      <c r="U48">
        <f>STOXX_HedgeBedarf!C43+'STOXX_HedgeBedarf+01'!C43</f>
        <v>-789.28144071819952</v>
      </c>
    </row>
    <row r="49" spans="1:21" x14ac:dyDescent="0.3">
      <c r="A49" s="1"/>
      <c r="B49" s="1"/>
      <c r="C49" s="7"/>
      <c r="D49" s="1"/>
      <c r="E49" s="1"/>
      <c r="F49" s="1"/>
      <c r="G49" s="1"/>
      <c r="H49" s="1"/>
      <c r="I49" s="1"/>
      <c r="J49" s="2"/>
      <c r="K49" s="1"/>
      <c r="L49" s="1"/>
      <c r="M49" s="1"/>
      <c r="N49" s="1"/>
      <c r="O49" s="1"/>
      <c r="P49" s="1"/>
      <c r="Q49" s="1"/>
      <c r="R49" s="1"/>
      <c r="S49" s="1"/>
      <c r="U49">
        <f>STOXX_HedgeBedarf!C44+'STOXX_HedgeBedarf+01'!C44</f>
        <v>-641.96899267236824</v>
      </c>
    </row>
    <row r="50" spans="1:21" ht="15" thickBot="1" x14ac:dyDescent="0.35">
      <c r="A50" s="1"/>
      <c r="B50" s="1"/>
      <c r="C50" s="8"/>
      <c r="D50" s="1"/>
      <c r="E50" s="1"/>
      <c r="F50" s="1"/>
      <c r="G50" s="1"/>
      <c r="H50" s="1"/>
      <c r="I50" s="1"/>
      <c r="J50" s="2"/>
      <c r="K50" s="1"/>
      <c r="L50" s="1"/>
      <c r="M50" s="1"/>
      <c r="N50" s="1"/>
      <c r="O50" s="1"/>
      <c r="P50" s="1"/>
      <c r="Q50" s="1"/>
      <c r="R50" s="1"/>
      <c r="S50" s="1"/>
      <c r="U50">
        <f>STOXX_HedgeBedarf!C45+'STOXX_HedgeBedarf+01'!C45</f>
        <v>-491.60042877686635</v>
      </c>
    </row>
    <row r="51" spans="1:21" x14ac:dyDescent="0.3">
      <c r="A51" s="1"/>
      <c r="B51" s="1"/>
      <c r="C51" s="1"/>
      <c r="D51" s="1"/>
      <c r="E51" s="1"/>
      <c r="F51" s="1"/>
      <c r="G51" s="1"/>
      <c r="H51" s="1"/>
      <c r="I51" s="1"/>
      <c r="J51" s="2"/>
      <c r="K51" s="1"/>
      <c r="L51" s="1"/>
      <c r="M51" s="1"/>
      <c r="N51" s="1"/>
      <c r="O51" s="1"/>
      <c r="P51" s="1"/>
      <c r="Q51" s="1"/>
      <c r="R51" s="1"/>
      <c r="S51" s="1"/>
      <c r="U51">
        <f>STOXX_HedgeBedarf!C46+'STOXX_HedgeBedarf+01'!C46</f>
        <v>-339.90288398831359</v>
      </c>
    </row>
    <row r="52" spans="1:21" x14ac:dyDescent="0.3">
      <c r="A52" s="1"/>
      <c r="B52" s="1"/>
      <c r="C52" s="1"/>
      <c r="D52" s="1"/>
      <c r="E52" s="1"/>
      <c r="F52" s="1"/>
      <c r="G52" s="1"/>
      <c r="H52" s="1"/>
      <c r="I52" s="1"/>
      <c r="J52" s="2"/>
      <c r="K52" s="1"/>
      <c r="L52" s="1"/>
      <c r="M52" s="1"/>
      <c r="N52" s="1"/>
      <c r="O52" s="1"/>
      <c r="P52" s="1"/>
      <c r="Q52" s="1"/>
      <c r="R52" s="1"/>
      <c r="S52" s="1"/>
      <c r="U52">
        <f>STOXX_HedgeBedarf!C47+'STOXX_HedgeBedarf+01'!C47</f>
        <v>-188.31594579993873</v>
      </c>
    </row>
    <row r="53" spans="1:21" x14ac:dyDescent="0.3">
      <c r="A53" s="1"/>
      <c r="B53" s="1"/>
      <c r="C53" s="1"/>
      <c r="D53" s="1"/>
      <c r="E53" s="1"/>
      <c r="F53" s="1"/>
      <c r="G53" s="1"/>
      <c r="H53" s="1"/>
      <c r="I53" s="1"/>
      <c r="J53" s="2"/>
      <c r="K53" s="1"/>
      <c r="L53" s="1"/>
      <c r="M53" s="1"/>
      <c r="N53" s="1"/>
      <c r="O53" s="1"/>
      <c r="P53" s="1"/>
      <c r="Q53" s="1"/>
      <c r="R53" s="1"/>
      <c r="S53" s="1"/>
      <c r="U53">
        <f>STOXX_HedgeBedarf!C48+'STOXX_HedgeBedarf+01'!C48</f>
        <v>-37.975897187032416</v>
      </c>
    </row>
    <row r="54" spans="1:21" x14ac:dyDescent="0.3">
      <c r="A54" s="1"/>
      <c r="B54" s="1"/>
      <c r="C54" s="1"/>
      <c r="D54" s="1"/>
      <c r="E54" s="1"/>
      <c r="F54" s="1"/>
      <c r="G54" s="1"/>
      <c r="H54" s="1"/>
      <c r="I54" s="1"/>
      <c r="J54" s="2"/>
      <c r="K54" s="1"/>
      <c r="L54" s="1"/>
      <c r="M54" s="1"/>
      <c r="N54" s="1"/>
      <c r="O54" s="1"/>
      <c r="P54" s="1"/>
      <c r="Q54" s="1"/>
      <c r="R54" s="1"/>
      <c r="S54" s="1"/>
      <c r="U54">
        <f>STOXX_HedgeBedarf!C49+'STOXX_HedgeBedarf+01'!C49</f>
        <v>110.26548246804965</v>
      </c>
    </row>
    <row r="55" spans="1:21" x14ac:dyDescent="0.3">
      <c r="A55" s="1"/>
      <c r="B55" s="1"/>
      <c r="C55" s="1"/>
      <c r="D55" s="1"/>
      <c r="E55" s="1"/>
      <c r="F55" s="1"/>
      <c r="G55" s="1"/>
      <c r="H55" s="1"/>
      <c r="I55" s="1"/>
      <c r="J55" s="2"/>
      <c r="K55" s="1"/>
      <c r="L55" s="1"/>
      <c r="M55" s="1"/>
      <c r="N55" s="1"/>
      <c r="O55" s="1"/>
      <c r="P55" s="1"/>
      <c r="Q55" s="1"/>
      <c r="R55" s="1"/>
      <c r="S55" s="1"/>
      <c r="U55">
        <f>STOXX_HedgeBedarf!C50+'STOXX_HedgeBedarf+01'!C50</f>
        <v>255.79273146850193</v>
      </c>
    </row>
    <row r="56" spans="1:21" x14ac:dyDescent="0.3">
      <c r="A56" s="1"/>
      <c r="B56" s="1"/>
      <c r="C56" s="1"/>
      <c r="D56" s="1"/>
      <c r="E56" s="1"/>
      <c r="F56" s="1"/>
      <c r="G56" s="1"/>
      <c r="H56" s="1"/>
      <c r="I56" s="1"/>
      <c r="J56" s="2"/>
      <c r="K56" s="1"/>
      <c r="L56" s="1"/>
      <c r="M56" s="1"/>
      <c r="N56" s="1"/>
      <c r="O56" s="1"/>
      <c r="P56" s="1"/>
      <c r="Q56" s="1"/>
      <c r="R56" s="1"/>
      <c r="S56" s="1"/>
      <c r="U56">
        <f>STOXX_HedgeBedarf!C51+'STOXX_HedgeBedarf+01'!C51</f>
        <v>398.1574948322716</v>
      </c>
    </row>
    <row r="57" spans="1:21" x14ac:dyDescent="0.3">
      <c r="A57" s="1"/>
      <c r="B57" s="1"/>
      <c r="C57" s="1"/>
      <c r="D57" s="1"/>
      <c r="E57" s="1"/>
      <c r="F57" s="1"/>
      <c r="G57" s="1"/>
      <c r="H57" s="1"/>
      <c r="I57" s="1"/>
      <c r="J57" s="2"/>
      <c r="K57" s="1"/>
      <c r="L57" s="1"/>
      <c r="M57" s="1"/>
      <c r="N57" s="1"/>
      <c r="O57" s="1"/>
      <c r="P57" s="1"/>
      <c r="Q57" s="1"/>
      <c r="R57" s="1"/>
      <c r="S57" s="1"/>
      <c r="U57">
        <f>STOXX_HedgeBedarf!C52+'STOXX_HedgeBedarf+01'!C52</f>
        <v>536.99877305644918</v>
      </c>
    </row>
    <row r="58" spans="1:21" x14ac:dyDescent="0.3">
      <c r="A58" s="1"/>
      <c r="B58" s="1"/>
      <c r="C58" s="1"/>
      <c r="D58" s="1"/>
      <c r="E58" s="1"/>
      <c r="F58" s="1"/>
      <c r="G58" s="1"/>
      <c r="H58" s="1"/>
      <c r="I58" s="1"/>
      <c r="J58" s="2"/>
      <c r="K58" s="1"/>
      <c r="L58" s="1"/>
      <c r="M58" s="1"/>
      <c r="N58" s="1"/>
      <c r="O58" s="1"/>
      <c r="P58" s="1"/>
      <c r="Q58" s="1"/>
      <c r="R58" s="1"/>
      <c r="S58" s="1"/>
      <c r="U58">
        <f>STOXX_HedgeBedarf!C53+'STOXX_HedgeBedarf+01'!C53</f>
        <v>671.96389504069668</v>
      </c>
    </row>
    <row r="59" spans="1:21" x14ac:dyDescent="0.3">
      <c r="A59" s="1"/>
      <c r="B59" s="1"/>
      <c r="C59" s="1"/>
      <c r="D59" s="1"/>
      <c r="E59" s="1"/>
      <c r="F59" s="1"/>
      <c r="G59" s="1"/>
      <c r="H59" s="1"/>
      <c r="I59" s="1"/>
      <c r="J59" s="2"/>
      <c r="K59" s="1"/>
      <c r="L59" s="1"/>
      <c r="M59" s="1"/>
      <c r="N59" s="1"/>
      <c r="O59" s="1"/>
      <c r="P59" s="1"/>
      <c r="Q59" s="1"/>
      <c r="R59" s="1"/>
      <c r="S59" s="1"/>
      <c r="U59">
        <f>STOXX_HedgeBedarf!C54+'STOXX_HedgeBedarf+01'!C54</f>
        <v>802.64076823778862</v>
      </c>
    </row>
    <row r="60" spans="1:21" x14ac:dyDescent="0.3">
      <c r="A60" s="1"/>
      <c r="B60" s="1"/>
      <c r="C60" s="1"/>
      <c r="D60" s="1"/>
      <c r="E60" s="1"/>
      <c r="F60" s="1"/>
      <c r="G60" s="1"/>
      <c r="H60" s="1"/>
      <c r="I60" s="1"/>
      <c r="J60" s="1"/>
      <c r="K60" s="1"/>
      <c r="L60" s="1"/>
      <c r="M60" s="1"/>
      <c r="N60" s="1"/>
      <c r="O60" s="1"/>
      <c r="P60" s="1"/>
      <c r="Q60" s="1"/>
      <c r="R60" s="1"/>
      <c r="S60" s="1"/>
      <c r="U60">
        <f>STOXX_HedgeBedarf!C55+'STOXX_HedgeBedarf+01'!C55</f>
        <v>928.50979275953603</v>
      </c>
    </row>
    <row r="61" spans="1:21" x14ac:dyDescent="0.3">
      <c r="A61" s="1"/>
      <c r="B61" s="1"/>
      <c r="C61" s="1"/>
      <c r="D61" s="1"/>
      <c r="E61" s="1"/>
      <c r="F61" s="1"/>
      <c r="G61" s="1"/>
      <c r="H61" s="1"/>
      <c r="I61" s="1"/>
      <c r="J61" s="3"/>
      <c r="K61" s="1"/>
      <c r="L61" s="1"/>
      <c r="M61" s="1"/>
      <c r="N61" s="1"/>
      <c r="O61" s="1"/>
      <c r="P61" s="1"/>
      <c r="Q61" s="1"/>
      <c r="R61" s="1"/>
      <c r="S61" s="1"/>
      <c r="U61">
        <f>STOXX_HedgeBedarf!C56+'STOXX_HedgeBedarf+01'!C56</f>
        <v>1048.9204552883541</v>
      </c>
    </row>
    <row r="62" spans="1:21" x14ac:dyDescent="0.3">
      <c r="A62" s="1"/>
      <c r="B62" s="1"/>
      <c r="C62" s="1"/>
      <c r="D62" s="1"/>
      <c r="E62" s="1"/>
      <c r="F62" s="1"/>
      <c r="G62" s="1"/>
      <c r="H62" s="1"/>
      <c r="I62" s="1"/>
      <c r="J62" s="2"/>
      <c r="K62" s="1"/>
      <c r="L62" s="1"/>
      <c r="M62" s="1"/>
      <c r="N62" s="1"/>
      <c r="O62" s="1"/>
      <c r="P62" s="1"/>
      <c r="Q62" s="1"/>
      <c r="R62" s="1"/>
      <c r="S62" s="1"/>
      <c r="U62">
        <f>STOXX_HedgeBedarf!C57+'STOXX_HedgeBedarf+01'!C57</f>
        <v>1163.0935127407188</v>
      </c>
    </row>
    <row r="63" spans="1:21" x14ac:dyDescent="0.3">
      <c r="A63" s="1"/>
      <c r="B63" s="1"/>
      <c r="C63" s="1"/>
      <c r="D63" s="1"/>
      <c r="E63" s="1"/>
      <c r="F63" s="1"/>
      <c r="G63" s="1"/>
      <c r="H63" s="1"/>
      <c r="I63" s="1"/>
      <c r="J63" s="3"/>
      <c r="K63" s="1"/>
      <c r="L63" s="1"/>
      <c r="M63" s="1"/>
      <c r="N63" s="1"/>
      <c r="O63" s="1"/>
      <c r="P63" s="1"/>
      <c r="Q63" s="1"/>
      <c r="R63" s="1"/>
      <c r="S63" s="1"/>
      <c r="U63">
        <f>STOXX_HedgeBedarf!C58+'STOXX_HedgeBedarf+01'!C58</f>
        <v>1270.1454844684608</v>
      </c>
    </row>
    <row r="64" spans="1:21" x14ac:dyDescent="0.3">
      <c r="A64" s="1"/>
      <c r="B64" s="1"/>
      <c r="C64" s="1"/>
      <c r="D64" s="1"/>
      <c r="E64" s="1"/>
      <c r="F64" s="1"/>
      <c r="G64" s="1"/>
      <c r="H64" s="1"/>
      <c r="I64" s="1"/>
      <c r="J64" s="3"/>
      <c r="K64" s="1"/>
      <c r="L64" s="1"/>
      <c r="M64" s="1"/>
      <c r="N64" s="1"/>
      <c r="O64" s="1"/>
      <c r="P64" s="1"/>
      <c r="Q64" s="1"/>
      <c r="R64" s="1"/>
      <c r="S64" s="1"/>
      <c r="U64">
        <f>STOXX_HedgeBedarf!C59+'STOXX_HedgeBedarf+01'!C59</f>
        <v>1369.1286358745485</v>
      </c>
    </row>
    <row r="65" spans="1:21" x14ac:dyDescent="0.3">
      <c r="A65" s="1"/>
      <c r="B65" s="1"/>
      <c r="C65" s="1"/>
      <c r="D65" s="1"/>
      <c r="E65" s="1"/>
      <c r="F65" s="1"/>
      <c r="G65" s="1"/>
      <c r="H65" s="1"/>
      <c r="I65" s="1"/>
      <c r="J65" s="3"/>
      <c r="K65" s="1"/>
      <c r="L65" s="1"/>
      <c r="M65" s="1"/>
      <c r="N65" s="1"/>
      <c r="O65" s="1"/>
      <c r="P65" s="1"/>
      <c r="Q65" s="1"/>
      <c r="R65" s="1"/>
      <c r="S65" s="1"/>
      <c r="U65">
        <f>STOXX_HedgeBedarf!C60+'STOXX_HedgeBedarf+01'!C60</f>
        <v>1459.0774531775551</v>
      </c>
    </row>
    <row r="66" spans="1:21" x14ac:dyDescent="0.3">
      <c r="A66" s="1"/>
      <c r="B66" s="1"/>
      <c r="C66" s="1"/>
      <c r="D66" s="1"/>
      <c r="E66" s="1"/>
      <c r="F66" s="1"/>
      <c r="G66" s="1"/>
      <c r="H66" s="1"/>
      <c r="I66" s="1"/>
      <c r="J66" s="3"/>
      <c r="K66" s="1"/>
      <c r="L66" s="1"/>
      <c r="M66" s="1"/>
      <c r="N66" s="1"/>
      <c r="O66" s="1"/>
      <c r="P66" s="1"/>
      <c r="Q66" s="1"/>
      <c r="R66" s="1"/>
      <c r="S66" s="1"/>
      <c r="U66">
        <f>STOXX_HedgeBedarf!C61+'STOXX_HedgeBedarf+01'!C61</f>
        <v>1539.0522778296004</v>
      </c>
    </row>
    <row r="67" spans="1:21" x14ac:dyDescent="0.3">
      <c r="A67" s="1"/>
      <c r="B67" s="1"/>
      <c r="C67" s="1"/>
      <c r="D67" s="1"/>
      <c r="E67" s="1"/>
      <c r="F67" s="1"/>
      <c r="G67" s="1"/>
      <c r="H67" s="1"/>
      <c r="I67" s="1"/>
      <c r="J67" s="3"/>
      <c r="K67" s="1"/>
      <c r="L67" s="1"/>
      <c r="M67" s="1"/>
      <c r="N67" s="1"/>
      <c r="O67" s="1"/>
      <c r="P67" s="1"/>
      <c r="Q67" s="1"/>
      <c r="R67" s="1"/>
      <c r="S67" s="1"/>
      <c r="U67">
        <f>STOXX_HedgeBedarf!C62+'STOXX_HedgeBedarf+01'!C62</f>
        <v>1608.1724494031209</v>
      </c>
    </row>
    <row r="68" spans="1:21" x14ac:dyDescent="0.3">
      <c r="A68" s="1"/>
      <c r="B68" s="1"/>
      <c r="C68" s="1"/>
      <c r="D68" s="1"/>
      <c r="E68" s="1"/>
      <c r="F68" s="1"/>
      <c r="G68" s="1"/>
      <c r="H68" s="1"/>
      <c r="I68" s="1"/>
      <c r="J68" s="3"/>
      <c r="K68" s="1"/>
      <c r="L68" s="1"/>
      <c r="M68" s="1"/>
      <c r="N68" s="1"/>
      <c r="O68" s="1"/>
      <c r="P68" s="1"/>
      <c r="Q68" s="1"/>
      <c r="R68" s="1"/>
      <c r="S68" s="1"/>
      <c r="U68">
        <f>STOXX_HedgeBedarf!C63+'STOXX_HedgeBedarf+01'!C63</f>
        <v>1665.6347319174015</v>
      </c>
    </row>
    <row r="69" spans="1:21" x14ac:dyDescent="0.3">
      <c r="A69" s="1"/>
      <c r="B69" s="1"/>
      <c r="C69" s="1"/>
      <c r="D69" s="1"/>
      <c r="E69" s="1"/>
      <c r="F69" s="1"/>
      <c r="G69" s="1"/>
      <c r="H69" s="1"/>
      <c r="I69" s="1"/>
      <c r="J69" s="3"/>
      <c r="K69" s="1"/>
      <c r="L69" s="1"/>
      <c r="M69" s="1"/>
      <c r="N69" s="1"/>
      <c r="O69" s="1"/>
      <c r="P69" s="1"/>
      <c r="Q69" s="1"/>
      <c r="R69" s="1"/>
      <c r="S69" s="1"/>
      <c r="U69">
        <f>STOXX_HedgeBedarf!C64+'STOXX_HedgeBedarf+01'!C64</f>
        <v>1710.7172837337116</v>
      </c>
    </row>
    <row r="70" spans="1:21" x14ac:dyDescent="0.3">
      <c r="A70" s="1"/>
      <c r="B70" s="1"/>
      <c r="C70" s="1"/>
      <c r="D70" s="1"/>
      <c r="E70" s="1"/>
      <c r="F70" s="1"/>
      <c r="G70" s="1"/>
      <c r="H70" s="1"/>
      <c r="I70" s="1"/>
      <c r="J70" s="3"/>
      <c r="K70" s="1"/>
      <c r="L70" s="1"/>
      <c r="M70" s="1"/>
      <c r="N70" s="1"/>
      <c r="O70" s="1"/>
      <c r="P70" s="1"/>
      <c r="Q70" s="1"/>
      <c r="R70" s="1"/>
      <c r="S70" s="1"/>
      <c r="U70">
        <f>STOXX_HedgeBedarf!C65+'STOXX_HedgeBedarf+01'!C65</f>
        <v>1742.773977344958</v>
      </c>
    </row>
    <row r="71" spans="1:21" x14ac:dyDescent="0.3">
      <c r="A71" s="1"/>
      <c r="B71" s="1"/>
      <c r="C71" s="1"/>
      <c r="D71" s="1"/>
      <c r="E71" s="1"/>
      <c r="F71" s="1"/>
      <c r="G71" s="1"/>
      <c r="H71" s="1"/>
      <c r="I71" s="1"/>
      <c r="J71" s="3"/>
      <c r="K71" s="1"/>
      <c r="L71" s="1"/>
      <c r="M71" s="1"/>
      <c r="N71" s="1"/>
      <c r="O71" s="1"/>
      <c r="P71" s="1"/>
      <c r="Q71" s="1"/>
      <c r="R71" s="1"/>
      <c r="S71" s="1"/>
      <c r="U71">
        <f>STOXX_HedgeBedarf!C66+'STOXX_HedgeBedarf+01'!C66</f>
        <v>1761.2273778834872</v>
      </c>
    </row>
    <row r="72" spans="1:21" x14ac:dyDescent="0.3">
      <c r="A72" s="1"/>
      <c r="B72" s="1"/>
      <c r="C72" s="1"/>
      <c r="D72" s="1"/>
      <c r="E72" s="1"/>
      <c r="F72" s="1"/>
      <c r="G72" s="1"/>
      <c r="H72" s="1"/>
      <c r="I72" s="1"/>
      <c r="J72" s="3"/>
      <c r="K72" s="1"/>
      <c r="L72" s="1"/>
      <c r="M72" s="1"/>
      <c r="N72" s="1"/>
      <c r="O72" s="1"/>
      <c r="P72" s="1"/>
      <c r="Q72" s="1"/>
      <c r="R72" s="1"/>
      <c r="S72" s="1"/>
      <c r="U72">
        <f>STOXX_HedgeBedarf!C67+'STOXX_HedgeBedarf+01'!C67</f>
        <v>1765.5701946244321</v>
      </c>
    </row>
    <row r="73" spans="1:21" x14ac:dyDescent="0.3">
      <c r="A73" s="1"/>
      <c r="B73" s="1"/>
      <c r="C73" s="1"/>
      <c r="D73" s="1"/>
      <c r="E73" s="1"/>
      <c r="F73" s="1"/>
      <c r="G73" s="1"/>
      <c r="H73" s="1"/>
      <c r="I73" s="1"/>
      <c r="J73" s="3"/>
      <c r="K73" s="1"/>
      <c r="L73" s="1"/>
      <c r="M73" s="1"/>
      <c r="N73" s="1"/>
      <c r="O73" s="1"/>
      <c r="P73" s="1"/>
      <c r="Q73" s="1"/>
      <c r="R73" s="1"/>
      <c r="S73" s="1"/>
      <c r="U73">
        <f>STOXX_HedgeBedarf!C68+'STOXX_HedgeBedarf+01'!C68</f>
        <v>1755.383976249253</v>
      </c>
    </row>
    <row r="74" spans="1:21" x14ac:dyDescent="0.3">
      <c r="A74" s="1"/>
      <c r="B74" s="1"/>
      <c r="C74" s="1"/>
      <c r="D74" s="1"/>
      <c r="E74" s="1"/>
      <c r="F74" s="1"/>
      <c r="G74" s="1"/>
      <c r="H74" s="1"/>
      <c r="I74" s="1"/>
      <c r="J74" s="3"/>
      <c r="K74" s="1"/>
      <c r="L74" s="1"/>
      <c r="M74" s="1"/>
      <c r="N74" s="1"/>
      <c r="O74" s="1"/>
      <c r="P74" s="1"/>
      <c r="Q74" s="1"/>
      <c r="R74" s="1"/>
      <c r="S74" s="1"/>
      <c r="U74">
        <f>STOXX_HedgeBedarf!C69+'STOXX_HedgeBedarf+01'!C69</f>
        <v>1730.3802514876788</v>
      </c>
    </row>
    <row r="75" spans="1:21" x14ac:dyDescent="0.3">
      <c r="A75" s="1"/>
      <c r="B75" s="1"/>
      <c r="C75" s="1"/>
      <c r="D75" s="1"/>
      <c r="E75" s="1"/>
      <c r="F75" s="1"/>
      <c r="G75" s="1"/>
      <c r="H75" s="1"/>
      <c r="I75" s="1"/>
      <c r="J75" s="3"/>
      <c r="K75" s="1"/>
      <c r="L75" s="1"/>
      <c r="M75" s="1"/>
      <c r="N75" s="1"/>
      <c r="O75" s="1"/>
      <c r="P75" s="1"/>
      <c r="Q75" s="1"/>
      <c r="R75" s="1"/>
      <c r="S75" s="1"/>
      <c r="U75">
        <f>STOXX_HedgeBedarf!C70+'STOXX_HedgeBedarf+01'!C70</f>
        <v>1690.4638636058303</v>
      </c>
    </row>
    <row r="76" spans="1:21" x14ac:dyDescent="0.3">
      <c r="A76" s="1"/>
      <c r="B76" s="1"/>
      <c r="C76" s="1"/>
      <c r="D76" s="1"/>
      <c r="E76" s="1"/>
      <c r="F76" s="1"/>
      <c r="G76" s="1"/>
      <c r="H76" s="1"/>
      <c r="I76" s="1"/>
      <c r="J76" s="2"/>
      <c r="K76" s="1"/>
      <c r="L76" s="1"/>
      <c r="M76" s="1"/>
      <c r="N76" s="1"/>
      <c r="O76" s="1"/>
      <c r="P76" s="1"/>
      <c r="Q76" s="1"/>
      <c r="R76" s="1"/>
      <c r="S76" s="1"/>
      <c r="U76">
        <f>STOXX_HedgeBedarf!C71+'STOXX_HedgeBedarf+01'!C71</f>
        <v>1635.812058760288</v>
      </c>
    </row>
    <row r="77" spans="1:21" x14ac:dyDescent="0.3">
      <c r="A77" s="1"/>
      <c r="B77" s="1"/>
      <c r="C77" s="1"/>
      <c r="D77" s="1"/>
      <c r="E77" s="1"/>
      <c r="F77" s="1"/>
      <c r="G77" s="1"/>
      <c r="H77" s="1"/>
      <c r="I77" s="1"/>
      <c r="J77" s="3"/>
      <c r="K77" s="1"/>
      <c r="L77" s="1"/>
      <c r="M77" s="1"/>
      <c r="N77" s="1"/>
      <c r="O77" s="1"/>
      <c r="P77" s="1"/>
      <c r="Q77" s="1"/>
      <c r="R77" s="1"/>
      <c r="S77" s="1"/>
      <c r="U77">
        <f>STOXX_HedgeBedarf!C72+'STOXX_HedgeBedarf+01'!C72</f>
        <v>1566.957372426004</v>
      </c>
    </row>
    <row r="78" spans="1:21" x14ac:dyDescent="0.3">
      <c r="A78" s="1"/>
      <c r="B78" s="1"/>
      <c r="C78" s="1"/>
      <c r="D78" s="1"/>
      <c r="E78" s="1"/>
      <c r="F78" s="1"/>
      <c r="G78" s="1"/>
      <c r="H78" s="1"/>
      <c r="I78" s="1"/>
      <c r="J78" s="2"/>
      <c r="K78" s="1"/>
      <c r="L78" s="1"/>
      <c r="M78" s="1"/>
      <c r="N78" s="1"/>
      <c r="O78" s="1"/>
      <c r="P78" s="1"/>
      <c r="Q78" s="1"/>
      <c r="R78" s="1"/>
      <c r="S78" s="1"/>
      <c r="U78">
        <f>STOXX_HedgeBedarf!C73+'STOXX_HedgeBedarf+01'!C73</f>
        <v>1484.8588544550189</v>
      </c>
    </row>
    <row r="79" spans="1:21" x14ac:dyDescent="0.3">
      <c r="A79" s="1"/>
      <c r="B79" s="1"/>
      <c r="C79" s="1"/>
      <c r="D79" s="1"/>
      <c r="E79" s="1"/>
      <c r="F79" s="1"/>
      <c r="G79" s="1"/>
      <c r="H79" s="1"/>
      <c r="I79" s="1"/>
      <c r="J79" s="3"/>
      <c r="K79" s="1"/>
      <c r="L79" s="1"/>
      <c r="M79" s="1"/>
      <c r="N79" s="1"/>
      <c r="O79" s="1"/>
      <c r="P79" s="1"/>
      <c r="Q79" s="1"/>
      <c r="R79" s="1"/>
      <c r="S79" s="1"/>
      <c r="U79">
        <f>STOXX_HedgeBedarf!C74+'STOXX_HedgeBedarf+01'!C74</f>
        <v>1390.9456275997304</v>
      </c>
    </row>
    <row r="80" spans="1:21" x14ac:dyDescent="0.3">
      <c r="A80" s="1"/>
      <c r="B80" s="1"/>
      <c r="C80" s="1"/>
      <c r="D80" s="1"/>
      <c r="E80" s="1"/>
      <c r="F80" s="1"/>
      <c r="G80" s="1"/>
      <c r="H80" s="1"/>
      <c r="I80" s="1"/>
      <c r="J80" s="3"/>
      <c r="K80" s="1"/>
      <c r="L80" s="1"/>
      <c r="M80" s="1"/>
      <c r="N80" s="1"/>
      <c r="O80" s="1"/>
      <c r="P80" s="1"/>
      <c r="Q80" s="1"/>
      <c r="R80" s="1"/>
      <c r="S80" s="1"/>
      <c r="U80">
        <f>STOXX_HedgeBedarf!C75+'STOXX_HedgeBedarf+01'!C75</f>
        <v>1287.1195002713948</v>
      </c>
    </row>
    <row r="81" spans="1:21" x14ac:dyDescent="0.3">
      <c r="A81" s="1"/>
      <c r="B81" s="1"/>
      <c r="C81" s="1"/>
      <c r="D81" s="1"/>
      <c r="E81" s="1"/>
      <c r="F81" s="1"/>
      <c r="G81" s="1"/>
      <c r="H81" s="1"/>
      <c r="I81" s="1"/>
      <c r="J81" s="3"/>
      <c r="K81" s="1"/>
      <c r="L81" s="1"/>
      <c r="M81" s="1"/>
      <c r="N81" s="1"/>
      <c r="O81" s="1"/>
      <c r="P81" s="1"/>
      <c r="Q81" s="1"/>
      <c r="R81" s="1"/>
      <c r="S81" s="1"/>
      <c r="U81">
        <f>STOXX_HedgeBedarf!C76+'STOXX_HedgeBedarf+01'!C76</f>
        <v>0</v>
      </c>
    </row>
    <row r="82" spans="1:21" x14ac:dyDescent="0.3">
      <c r="A82" s="1"/>
      <c r="B82" s="1"/>
      <c r="C82" s="1"/>
      <c r="D82" s="1"/>
      <c r="E82" s="1"/>
      <c r="F82" s="1"/>
      <c r="G82" s="1"/>
      <c r="H82" s="1"/>
      <c r="I82" s="1"/>
      <c r="J82" s="3"/>
      <c r="K82" s="1"/>
      <c r="L82" s="1"/>
      <c r="M82" s="1"/>
      <c r="N82" s="1"/>
      <c r="O82" s="1"/>
      <c r="P82" s="1"/>
      <c r="Q82" s="1"/>
      <c r="R82" s="1"/>
      <c r="S82" s="1"/>
      <c r="U82">
        <f>STOXX_HedgeBedarf!C77+'STOXX_HedgeBedarf+01'!C77</f>
        <v>0</v>
      </c>
    </row>
    <row r="83" spans="1:21" x14ac:dyDescent="0.3">
      <c r="A83" s="1"/>
      <c r="B83" s="1"/>
      <c r="C83" s="1"/>
      <c r="D83" s="1"/>
      <c r="E83" s="1"/>
      <c r="F83" s="1"/>
      <c r="G83" s="1"/>
      <c r="H83" s="1"/>
      <c r="I83" s="1"/>
      <c r="J83" s="3"/>
      <c r="K83" s="1"/>
      <c r="L83" s="1"/>
      <c r="M83" s="1"/>
      <c r="N83" s="1"/>
      <c r="O83" s="1"/>
      <c r="P83" s="1"/>
      <c r="Q83" s="1"/>
      <c r="R83" s="1"/>
      <c r="S83" s="1"/>
      <c r="U83">
        <f>STOXX_HedgeBedarf!C78+'STOXX_HedgeBedarf+01'!C78</f>
        <v>0</v>
      </c>
    </row>
    <row r="84" spans="1:21" x14ac:dyDescent="0.3">
      <c r="A84" s="1"/>
      <c r="B84" s="1"/>
      <c r="C84" s="1"/>
      <c r="D84" s="1"/>
      <c r="E84" s="1"/>
      <c r="F84" s="1"/>
      <c r="G84" s="1"/>
      <c r="H84" s="1"/>
      <c r="I84" s="1"/>
      <c r="J84" s="3"/>
      <c r="K84" s="1"/>
      <c r="L84" s="1"/>
      <c r="M84" s="1"/>
      <c r="N84" s="1"/>
      <c r="O84" s="1"/>
      <c r="P84" s="1"/>
      <c r="Q84" s="1"/>
      <c r="R84" s="1"/>
      <c r="S84" s="1"/>
      <c r="U84">
        <f>STOXX_HedgeBedarf!C79+'STOXX_HedgeBedarf+01'!C79</f>
        <v>0</v>
      </c>
    </row>
    <row r="85" spans="1:21" x14ac:dyDescent="0.3">
      <c r="A85" s="1"/>
      <c r="B85" s="1"/>
      <c r="C85" s="1"/>
      <c r="D85" s="1"/>
      <c r="E85" s="1"/>
      <c r="F85" s="1"/>
      <c r="G85" s="1"/>
      <c r="H85" s="1"/>
      <c r="I85" s="1"/>
      <c r="J85" s="3"/>
      <c r="K85" s="1"/>
      <c r="L85" s="1"/>
      <c r="M85" s="1"/>
      <c r="N85" s="1"/>
      <c r="O85" s="1"/>
      <c r="P85" s="1"/>
      <c r="Q85" s="1"/>
      <c r="R85" s="1"/>
      <c r="S85" s="1"/>
      <c r="U85">
        <f>STOXX_HedgeBedarf!C80+'STOXX_HedgeBedarf+01'!C80</f>
        <v>0</v>
      </c>
    </row>
    <row r="86" spans="1:21" x14ac:dyDescent="0.3">
      <c r="A86" s="1"/>
      <c r="B86" s="1"/>
      <c r="C86" s="1"/>
      <c r="D86" s="1"/>
      <c r="E86" s="1"/>
      <c r="F86" s="1"/>
      <c r="G86" s="1"/>
      <c r="H86" s="1"/>
      <c r="I86" s="1"/>
      <c r="J86" s="3"/>
      <c r="K86" s="1"/>
      <c r="L86" s="1"/>
      <c r="M86" s="1"/>
      <c r="N86" s="1"/>
      <c r="O86" s="1"/>
      <c r="P86" s="1"/>
      <c r="Q86" s="1"/>
      <c r="R86" s="1"/>
      <c r="S86" s="1"/>
      <c r="U86">
        <f>STOXX_HedgeBedarf!C81+'STOXX_HedgeBedarf+01'!C81</f>
        <v>0</v>
      </c>
    </row>
    <row r="87" spans="1:21" x14ac:dyDescent="0.3">
      <c r="A87" s="1"/>
      <c r="B87" s="1"/>
      <c r="C87" s="1"/>
      <c r="D87" s="1"/>
      <c r="E87" s="1"/>
      <c r="F87" s="1"/>
      <c r="G87" s="1"/>
      <c r="H87" s="1"/>
      <c r="I87" s="1"/>
      <c r="J87" s="3"/>
      <c r="K87" s="1"/>
      <c r="L87" s="1"/>
      <c r="M87" s="1"/>
      <c r="N87" s="1"/>
      <c r="O87" s="1"/>
      <c r="P87" s="1"/>
      <c r="Q87" s="1"/>
      <c r="R87" s="1"/>
      <c r="S87" s="1"/>
      <c r="U87">
        <f>STOXX_HedgeBedarf!C82+'STOXX_HedgeBedarf+01'!C82</f>
        <v>0</v>
      </c>
    </row>
    <row r="88" spans="1:21" x14ac:dyDescent="0.3">
      <c r="A88" s="1"/>
      <c r="B88" s="1"/>
      <c r="C88" s="1"/>
      <c r="D88" s="1"/>
      <c r="E88" s="1"/>
      <c r="F88" s="1"/>
      <c r="G88" s="1"/>
      <c r="H88" s="1"/>
      <c r="I88" s="1"/>
      <c r="J88" s="3"/>
      <c r="K88" s="1"/>
      <c r="L88" s="1"/>
      <c r="M88" s="1"/>
      <c r="N88" s="1"/>
      <c r="O88" s="1"/>
      <c r="P88" s="1"/>
      <c r="Q88" s="1"/>
      <c r="R88" s="1"/>
      <c r="S88" s="1"/>
      <c r="U88">
        <f>STOXX_HedgeBedarf!C83+'STOXX_HedgeBedarf+01'!C83</f>
        <v>0</v>
      </c>
    </row>
    <row r="89" spans="1:21" x14ac:dyDescent="0.3">
      <c r="A89" s="1"/>
      <c r="B89" s="1"/>
      <c r="C89" s="1"/>
      <c r="D89" s="1"/>
      <c r="E89" s="1"/>
      <c r="F89" s="1"/>
      <c r="G89" s="1"/>
      <c r="H89" s="1"/>
      <c r="I89" s="1"/>
      <c r="J89" s="3"/>
      <c r="K89" s="1"/>
      <c r="L89" s="1"/>
      <c r="M89" s="1"/>
      <c r="N89" s="1"/>
      <c r="O89" s="1"/>
      <c r="P89" s="1"/>
      <c r="Q89" s="1"/>
      <c r="R89" s="1"/>
      <c r="S89" s="1"/>
      <c r="U89">
        <f>STOXX_HedgeBedarf!C84+'STOXX_HedgeBedarf+01'!C84</f>
        <v>0</v>
      </c>
    </row>
    <row r="90" spans="1:21" x14ac:dyDescent="0.3">
      <c r="A90" s="1"/>
      <c r="B90" s="1"/>
      <c r="C90" s="1"/>
      <c r="D90" s="1"/>
      <c r="E90" s="1"/>
      <c r="F90" s="1"/>
      <c r="G90" s="1"/>
      <c r="H90" s="1"/>
      <c r="I90" s="1"/>
      <c r="J90" s="2"/>
      <c r="K90" s="1"/>
      <c r="L90" s="1"/>
      <c r="M90" s="1"/>
      <c r="N90" s="1"/>
      <c r="O90" s="1"/>
      <c r="P90" s="1"/>
      <c r="Q90" s="1"/>
      <c r="R90" s="1"/>
      <c r="S90" s="1"/>
      <c r="U90">
        <f>STOXX_HedgeBedarf!C85+'STOXX_HedgeBedarf+01'!C85</f>
        <v>0</v>
      </c>
    </row>
    <row r="91" spans="1:21" x14ac:dyDescent="0.3">
      <c r="A91" s="1"/>
      <c r="B91" s="1"/>
      <c r="C91" s="1"/>
      <c r="D91" s="1"/>
      <c r="E91" s="1"/>
      <c r="F91" s="1"/>
      <c r="G91" s="1"/>
      <c r="H91" s="1"/>
      <c r="I91" s="1"/>
      <c r="J91" s="3"/>
      <c r="K91" s="1"/>
      <c r="L91" s="1"/>
      <c r="M91" s="1"/>
      <c r="N91" s="1"/>
      <c r="O91" s="1"/>
      <c r="P91" s="1"/>
      <c r="Q91" s="1"/>
      <c r="R91" s="1"/>
      <c r="S91" s="1"/>
      <c r="U91">
        <f>STOXX_HedgeBedarf!C86+'STOXX_HedgeBedarf+01'!C86</f>
        <v>0</v>
      </c>
    </row>
    <row r="92" spans="1:21" x14ac:dyDescent="0.3">
      <c r="A92" s="1"/>
      <c r="B92" s="1"/>
      <c r="C92" s="1"/>
      <c r="D92" s="1"/>
      <c r="E92" s="1"/>
      <c r="F92" s="1"/>
      <c r="G92" s="1"/>
      <c r="H92" s="1"/>
      <c r="I92" s="1"/>
      <c r="J92" s="2"/>
      <c r="K92" s="1"/>
      <c r="L92" s="1"/>
      <c r="M92" s="1"/>
      <c r="N92" s="1"/>
      <c r="O92" s="1"/>
      <c r="P92" s="1"/>
      <c r="Q92" s="1"/>
      <c r="R92" s="1"/>
      <c r="S92" s="1"/>
      <c r="U92">
        <f>STOXX_HedgeBedarf!C87+'STOXX_HedgeBedarf+01'!C87</f>
        <v>0</v>
      </c>
    </row>
    <row r="93" spans="1:21" x14ac:dyDescent="0.3">
      <c r="A93" s="1"/>
      <c r="B93" s="1"/>
      <c r="C93" s="1"/>
      <c r="D93" s="1"/>
      <c r="E93" s="1"/>
      <c r="F93" s="1"/>
      <c r="G93" s="1"/>
      <c r="H93" s="1"/>
      <c r="I93" s="1"/>
      <c r="J93" s="3"/>
      <c r="K93" s="1"/>
      <c r="L93" s="1"/>
      <c r="M93" s="1"/>
      <c r="N93" s="1"/>
      <c r="O93" s="1"/>
      <c r="P93" s="1"/>
      <c r="Q93" s="1"/>
      <c r="R93" s="1"/>
      <c r="S93" s="1"/>
      <c r="U93">
        <f>STOXX_HedgeBedarf!C88+'STOXX_HedgeBedarf+01'!C88</f>
        <v>0</v>
      </c>
    </row>
    <row r="94" spans="1:21" x14ac:dyDescent="0.3">
      <c r="A94" s="1"/>
      <c r="B94" s="1"/>
      <c r="C94" s="1"/>
      <c r="D94" s="1"/>
      <c r="E94" s="1"/>
      <c r="F94" s="1"/>
      <c r="G94" s="1"/>
      <c r="H94" s="1"/>
      <c r="I94" s="1"/>
      <c r="J94" s="3"/>
      <c r="K94" s="1"/>
      <c r="L94" s="1"/>
      <c r="M94" s="1"/>
      <c r="N94" s="1"/>
      <c r="O94" s="1"/>
      <c r="P94" s="1"/>
      <c r="Q94" s="1"/>
      <c r="R94" s="1"/>
      <c r="S94" s="1"/>
      <c r="U94">
        <f>STOXX_HedgeBedarf!C89+'STOXX_HedgeBedarf+01'!C89</f>
        <v>0</v>
      </c>
    </row>
    <row r="95" spans="1:21" x14ac:dyDescent="0.3">
      <c r="A95" s="1"/>
      <c r="B95" s="1"/>
      <c r="C95" s="1"/>
      <c r="D95" s="1"/>
      <c r="E95" s="1"/>
      <c r="F95" s="1"/>
      <c r="G95" s="1"/>
      <c r="H95" s="1"/>
      <c r="I95" s="1"/>
      <c r="J95" s="3"/>
      <c r="K95" s="1"/>
      <c r="L95" s="1"/>
      <c r="M95" s="1"/>
      <c r="N95" s="1"/>
      <c r="O95" s="1"/>
      <c r="P95" s="1"/>
      <c r="Q95" s="1"/>
      <c r="R95" s="1"/>
      <c r="S95" s="1"/>
      <c r="U95">
        <f>STOXX_HedgeBedarf!C90+'STOXX_HedgeBedarf+01'!C90</f>
        <v>0</v>
      </c>
    </row>
    <row r="96" spans="1:21" x14ac:dyDescent="0.3">
      <c r="A96" s="1"/>
      <c r="B96" s="1"/>
      <c r="C96" s="1"/>
      <c r="D96" s="1"/>
      <c r="E96" s="1"/>
      <c r="F96" s="1"/>
      <c r="G96" s="1"/>
      <c r="H96" s="1"/>
      <c r="I96" s="1"/>
      <c r="J96" s="2"/>
      <c r="K96" s="1"/>
      <c r="L96" s="1"/>
      <c r="M96" s="1"/>
      <c r="N96" s="1"/>
      <c r="O96" s="1"/>
      <c r="P96" s="1"/>
      <c r="Q96" s="1"/>
      <c r="R96" s="1"/>
      <c r="S96" s="1"/>
      <c r="U96">
        <f>STOXX_HedgeBedarf!C91+'STOXX_HedgeBedarf+01'!C91</f>
        <v>0</v>
      </c>
    </row>
    <row r="97" spans="1:21" x14ac:dyDescent="0.3">
      <c r="A97" s="1"/>
      <c r="B97" s="1"/>
      <c r="C97" s="1"/>
      <c r="D97" s="1"/>
      <c r="E97" s="1"/>
      <c r="F97" s="1"/>
      <c r="G97" s="1"/>
      <c r="H97" s="1"/>
      <c r="I97" s="1"/>
      <c r="J97" s="2"/>
      <c r="K97" s="1"/>
      <c r="L97" s="1"/>
      <c r="M97" s="1"/>
      <c r="N97" s="1"/>
      <c r="O97" s="1"/>
      <c r="P97" s="1"/>
      <c r="Q97" s="1"/>
      <c r="R97" s="1"/>
      <c r="S97" s="1"/>
      <c r="U97">
        <f>STOXX_HedgeBedarf!C92+'STOXX_HedgeBedarf+01'!C92</f>
        <v>0</v>
      </c>
    </row>
    <row r="98" spans="1:21" x14ac:dyDescent="0.3">
      <c r="A98" s="1"/>
      <c r="B98" s="1"/>
      <c r="C98" s="1"/>
      <c r="D98" s="1"/>
      <c r="E98" s="1"/>
      <c r="F98" s="1"/>
      <c r="G98" s="1"/>
      <c r="H98" s="1"/>
      <c r="I98" s="1"/>
      <c r="J98" s="3"/>
      <c r="K98" s="1"/>
      <c r="L98" s="1"/>
      <c r="M98" s="1"/>
      <c r="N98" s="1"/>
      <c r="O98" s="1"/>
      <c r="P98" s="1"/>
      <c r="Q98" s="1"/>
      <c r="R98" s="1"/>
      <c r="S98" s="1"/>
      <c r="U98">
        <f>STOXX_HedgeBedarf!C93+'STOXX_HedgeBedarf+01'!C93</f>
        <v>0</v>
      </c>
    </row>
    <row r="99" spans="1:21" x14ac:dyDescent="0.3">
      <c r="A99" s="1"/>
      <c r="B99" s="1"/>
      <c r="C99" s="1"/>
      <c r="D99" s="1"/>
      <c r="E99" s="1"/>
      <c r="F99" s="1"/>
      <c r="G99" s="1"/>
      <c r="H99" s="1"/>
      <c r="I99" s="1"/>
      <c r="J99" s="1"/>
      <c r="K99" s="1"/>
      <c r="L99" s="1"/>
      <c r="M99" s="1"/>
      <c r="N99" s="1"/>
      <c r="O99" s="1"/>
      <c r="P99" s="1"/>
      <c r="Q99" s="1"/>
      <c r="R99" s="1"/>
      <c r="S99" s="1"/>
      <c r="U99">
        <f>STOXX_HedgeBedarf!C94+'STOXX_HedgeBedarf+01'!C94</f>
        <v>0</v>
      </c>
    </row>
    <row r="100" spans="1:21" x14ac:dyDescent="0.3">
      <c r="A100" s="1"/>
      <c r="B100" s="1"/>
      <c r="C100" s="1"/>
      <c r="D100" s="1"/>
      <c r="E100" s="1"/>
      <c r="F100" s="1"/>
      <c r="G100" s="1"/>
      <c r="H100" s="1"/>
      <c r="I100" s="1"/>
      <c r="J100" s="1"/>
      <c r="K100" s="1"/>
      <c r="L100" s="1"/>
      <c r="M100" s="1"/>
      <c r="N100" s="1"/>
      <c r="O100" s="1"/>
      <c r="P100" s="1"/>
      <c r="Q100" s="1"/>
      <c r="R100" s="1"/>
      <c r="S100" s="1"/>
      <c r="U100">
        <f>STOXX_HedgeBedarf!C95+'STOXX_HedgeBedarf+01'!C95</f>
        <v>0</v>
      </c>
    </row>
    <row r="101" spans="1:21" x14ac:dyDescent="0.3">
      <c r="U101">
        <f>STOXX_HedgeBedarf!C96+'STOXX_HedgeBedarf+01'!C96</f>
        <v>0</v>
      </c>
    </row>
    <row r="102" spans="1:21" x14ac:dyDescent="0.3">
      <c r="U102">
        <f>STOXX_HedgeBedarf!C97+'STOXX_HedgeBedarf+01'!C97</f>
        <v>0</v>
      </c>
    </row>
    <row r="103" spans="1:21" x14ac:dyDescent="0.3">
      <c r="U103">
        <f>STOXX_HedgeBedarf!C98+'STOXX_HedgeBedarf+01'!C98</f>
        <v>0</v>
      </c>
    </row>
    <row r="104" spans="1:21" x14ac:dyDescent="0.3">
      <c r="U104">
        <f>STOXX_HedgeBedarf!C99+'STOXX_HedgeBedarf+01'!C99</f>
        <v>0</v>
      </c>
    </row>
    <row r="105" spans="1:21" x14ac:dyDescent="0.3">
      <c r="U105">
        <f>STOXX_HedgeBedarf!C100+'STOXX_HedgeBedarf+01'!C100</f>
        <v>0</v>
      </c>
    </row>
    <row r="106" spans="1:21" x14ac:dyDescent="0.3">
      <c r="U106">
        <f>STOXX_HedgeBedarf!C101+'STOXX_HedgeBedarf+01'!C101</f>
        <v>0</v>
      </c>
    </row>
    <row r="107" spans="1:21" x14ac:dyDescent="0.3">
      <c r="U107">
        <f>STOXX_HedgeBedarf!C102+'STOXX_HedgeBedarf+01'!C102</f>
        <v>0</v>
      </c>
    </row>
    <row r="108" spans="1:21" x14ac:dyDescent="0.3">
      <c r="U108">
        <f>STOXX_HedgeBedarf!C103+'STOXX_HedgeBedarf+01'!C103</f>
        <v>0</v>
      </c>
    </row>
    <row r="109" spans="1:21" x14ac:dyDescent="0.3">
      <c r="U109">
        <f>STOXX_HedgeBedarf!C104+'STOXX_HedgeBedarf+01'!C104</f>
        <v>0</v>
      </c>
    </row>
    <row r="110" spans="1:21" x14ac:dyDescent="0.3">
      <c r="U110">
        <f>STOXX_HedgeBedarf!C105+'STOXX_HedgeBedarf+01'!C105</f>
        <v>0</v>
      </c>
    </row>
    <row r="111" spans="1:21" x14ac:dyDescent="0.3">
      <c r="U111">
        <f>STOXX_HedgeBedarf!C106+'STOXX_HedgeBedarf+01'!C106</f>
        <v>0</v>
      </c>
    </row>
    <row r="112" spans="1:21" x14ac:dyDescent="0.3">
      <c r="U112">
        <f>STOXX_HedgeBedarf!C107+'STOXX_HedgeBedarf+01'!C107</f>
        <v>0</v>
      </c>
    </row>
    <row r="113" spans="21:21" x14ac:dyDescent="0.3">
      <c r="U113">
        <f>STOXX_HedgeBedarf!C108+'STOXX_HedgeBedarf+01'!C108</f>
        <v>0</v>
      </c>
    </row>
    <row r="114" spans="21:21" x14ac:dyDescent="0.3">
      <c r="U114">
        <f>STOXX_HedgeBedarf!C109+'STOXX_HedgeBedarf+01'!C109</f>
        <v>0</v>
      </c>
    </row>
    <row r="115" spans="21:21" x14ac:dyDescent="0.3">
      <c r="U115">
        <f>STOXX_HedgeBedarf!C110+'STOXX_HedgeBedarf+01'!C110</f>
        <v>0</v>
      </c>
    </row>
    <row r="116" spans="21:21" x14ac:dyDescent="0.3">
      <c r="U116">
        <f>STOXX_HedgeBedarf!C111+'STOXX_HedgeBedarf+01'!C111</f>
        <v>0</v>
      </c>
    </row>
    <row r="117" spans="21:21" x14ac:dyDescent="0.3">
      <c r="U117">
        <f>STOXX_HedgeBedarf!C112+'STOXX_HedgeBedarf+01'!C112</f>
        <v>0</v>
      </c>
    </row>
    <row r="118" spans="21:21" x14ac:dyDescent="0.3">
      <c r="U118">
        <f>STOXX_HedgeBedarf!C113+'STOXX_HedgeBedarf+01'!C113</f>
        <v>0</v>
      </c>
    </row>
    <row r="119" spans="21:21" x14ac:dyDescent="0.3">
      <c r="U119">
        <f>STOXX_HedgeBedarf!C114+'STOXX_HedgeBedarf+01'!C114</f>
        <v>0</v>
      </c>
    </row>
    <row r="120" spans="21:21" x14ac:dyDescent="0.3">
      <c r="U120">
        <f>STOXX_HedgeBedarf!C115+'STOXX_HedgeBedarf+01'!C115</f>
        <v>0</v>
      </c>
    </row>
    <row r="121" spans="21:21" x14ac:dyDescent="0.3">
      <c r="U121">
        <f>STOXX_HedgeBedarf!C116+'STOXX_HedgeBedarf+01'!C116</f>
        <v>0</v>
      </c>
    </row>
    <row r="122" spans="21:21" x14ac:dyDescent="0.3">
      <c r="U122">
        <f>STOXX_HedgeBedarf!C117+'STOXX_HedgeBedarf+01'!C117</f>
        <v>0</v>
      </c>
    </row>
    <row r="123" spans="21:21" x14ac:dyDescent="0.3">
      <c r="U123">
        <f>STOXX_HedgeBedarf!C118+'STOXX_HedgeBedarf+01'!C118</f>
        <v>0</v>
      </c>
    </row>
    <row r="124" spans="21:21" x14ac:dyDescent="0.3">
      <c r="U124">
        <f>STOXX_HedgeBedarf!C119+'STOXX_HedgeBedarf+01'!C119</f>
        <v>0</v>
      </c>
    </row>
    <row r="125" spans="21:21" x14ac:dyDescent="0.3">
      <c r="U125">
        <f>STOXX_HedgeBedarf!C120+'STOXX_HedgeBedarf+01'!C120</f>
        <v>0</v>
      </c>
    </row>
    <row r="126" spans="21:21" x14ac:dyDescent="0.3">
      <c r="U126">
        <f>STOXX_HedgeBedarf!C121+'STOXX_HedgeBedarf+01'!C121</f>
        <v>0</v>
      </c>
    </row>
    <row r="127" spans="21:21" x14ac:dyDescent="0.3">
      <c r="U127">
        <f>STOXX_HedgeBedarf!C122+'STOXX_HedgeBedarf+01'!C122</f>
        <v>0</v>
      </c>
    </row>
    <row r="128" spans="21:21" x14ac:dyDescent="0.3">
      <c r="U128">
        <f>STOXX_HedgeBedarf!C123+'STOXX_HedgeBedarf+01'!C123</f>
        <v>0</v>
      </c>
    </row>
    <row r="129" spans="21:21" x14ac:dyDescent="0.3">
      <c r="U129">
        <f>STOXX_HedgeBedarf!C124+'STOXX_HedgeBedarf+01'!C124</f>
        <v>0</v>
      </c>
    </row>
    <row r="130" spans="21:21" x14ac:dyDescent="0.3">
      <c r="U130">
        <f>STOXX_HedgeBedarf!C125+'STOXX_HedgeBedarf+01'!C125</f>
        <v>0</v>
      </c>
    </row>
    <row r="131" spans="21:21" x14ac:dyDescent="0.3">
      <c r="U131">
        <f>STOXX_HedgeBedarf!C126+'STOXX_HedgeBedarf+01'!C126</f>
        <v>0</v>
      </c>
    </row>
    <row r="132" spans="21:21" x14ac:dyDescent="0.3">
      <c r="U132">
        <f>STOXX_HedgeBedarf!C127+'STOXX_HedgeBedarf+01'!C127</f>
        <v>0</v>
      </c>
    </row>
    <row r="133" spans="21:21" x14ac:dyDescent="0.3">
      <c r="U133">
        <f>STOXX_HedgeBedarf!C128+'STOXX_HedgeBedarf+01'!C128</f>
        <v>0</v>
      </c>
    </row>
    <row r="134" spans="21:21" x14ac:dyDescent="0.3">
      <c r="U134">
        <f>STOXX_HedgeBedarf!C129+'STOXX_HedgeBedarf+01'!C129</f>
        <v>0</v>
      </c>
    </row>
    <row r="135" spans="21:21" x14ac:dyDescent="0.3">
      <c r="U135">
        <f>STOXX_HedgeBedarf!C130+'STOXX_HedgeBedarf+01'!C130</f>
        <v>0</v>
      </c>
    </row>
    <row r="136" spans="21:21" x14ac:dyDescent="0.3">
      <c r="U136">
        <f>STOXX_HedgeBedarf!C131+'STOXX_HedgeBedarf+01'!C131</f>
        <v>0</v>
      </c>
    </row>
    <row r="137" spans="21:21" x14ac:dyDescent="0.3">
      <c r="U137">
        <f>STOXX_HedgeBedarf!C132+'STOXX_HedgeBedarf+01'!C132</f>
        <v>0</v>
      </c>
    </row>
    <row r="138" spans="21:21" x14ac:dyDescent="0.3">
      <c r="U138">
        <f>STOXX_HedgeBedarf!C133+'STOXX_HedgeBedarf+01'!C133</f>
        <v>0</v>
      </c>
    </row>
    <row r="139" spans="21:21" x14ac:dyDescent="0.3">
      <c r="U139">
        <f>STOXX_HedgeBedarf!C134+'STOXX_HedgeBedarf+01'!C134</f>
        <v>0</v>
      </c>
    </row>
    <row r="140" spans="21:21" x14ac:dyDescent="0.3">
      <c r="U140">
        <f>STOXX_HedgeBedarf!C135+'STOXX_HedgeBedarf+01'!C135</f>
        <v>0</v>
      </c>
    </row>
    <row r="141" spans="21:21" x14ac:dyDescent="0.3">
      <c r="U141">
        <f>STOXX_HedgeBedarf!C136+'STOXX_HedgeBedarf+01'!C136</f>
        <v>0</v>
      </c>
    </row>
    <row r="142" spans="21:21" x14ac:dyDescent="0.3">
      <c r="U142">
        <f>STOXX_HedgeBedarf!C137+'STOXX_HedgeBedarf+01'!C137</f>
        <v>0</v>
      </c>
    </row>
    <row r="143" spans="21:21" x14ac:dyDescent="0.3">
      <c r="U143">
        <f>STOXX_HedgeBedarf!C138+'STOXX_HedgeBedarf+01'!C138</f>
        <v>0</v>
      </c>
    </row>
    <row r="144" spans="21:21" x14ac:dyDescent="0.3">
      <c r="U144">
        <f>STOXX_HedgeBedarf!C139+'STOXX_HedgeBedarf+01'!C139</f>
        <v>0</v>
      </c>
    </row>
    <row r="145" spans="21:21" x14ac:dyDescent="0.3">
      <c r="U145">
        <f>STOXX_HedgeBedarf!C140+'STOXX_HedgeBedarf+01'!C140</f>
        <v>0</v>
      </c>
    </row>
    <row r="146" spans="21:21" x14ac:dyDescent="0.3">
      <c r="U146">
        <f>STOXX_HedgeBedarf!C141+'STOXX_HedgeBedarf+01'!C141</f>
        <v>0</v>
      </c>
    </row>
    <row r="147" spans="21:21" x14ac:dyDescent="0.3">
      <c r="U147">
        <f>STOXX_HedgeBedarf!C142+'STOXX_HedgeBedarf+01'!C142</f>
        <v>0</v>
      </c>
    </row>
    <row r="148" spans="21:21" x14ac:dyDescent="0.3">
      <c r="U148">
        <f>STOXX_HedgeBedarf!C143+'STOXX_HedgeBedarf+01'!C143</f>
        <v>0</v>
      </c>
    </row>
    <row r="149" spans="21:21" x14ac:dyDescent="0.3">
      <c r="U149">
        <f>STOXX_HedgeBedarf!C144+'STOXX_HedgeBedarf+01'!C144</f>
        <v>0</v>
      </c>
    </row>
    <row r="150" spans="21:21" x14ac:dyDescent="0.3">
      <c r="U150">
        <f>STOXX_HedgeBedarf!C145+'STOXX_HedgeBedarf+01'!C145</f>
        <v>0</v>
      </c>
    </row>
    <row r="151" spans="21:21" x14ac:dyDescent="0.3">
      <c r="U151">
        <f>STOXX_HedgeBedarf!C146+'STOXX_HedgeBedarf+01'!C146</f>
        <v>0</v>
      </c>
    </row>
    <row r="152" spans="21:21" x14ac:dyDescent="0.3">
      <c r="U152">
        <f>STOXX_HedgeBedarf!C147+'STOXX_HedgeBedarf+01'!C147</f>
        <v>0</v>
      </c>
    </row>
    <row r="153" spans="21:21" x14ac:dyDescent="0.3">
      <c r="U153">
        <f>STOXX_HedgeBedarf!C148+'STOXX_HedgeBedarf+01'!C148</f>
        <v>0</v>
      </c>
    </row>
    <row r="154" spans="21:21" x14ac:dyDescent="0.3">
      <c r="U154">
        <f>STOXX_HedgeBedarf!C149+'STOXX_HedgeBedarf+01'!C149</f>
        <v>0</v>
      </c>
    </row>
    <row r="155" spans="21:21" x14ac:dyDescent="0.3">
      <c r="U155">
        <f>STOXX_HedgeBedarf!C150+'STOXX_HedgeBedarf+01'!C150</f>
        <v>0</v>
      </c>
    </row>
    <row r="156" spans="21:21" x14ac:dyDescent="0.3">
      <c r="U156">
        <f>STOXX_HedgeBedarf!C151+'STOXX_HedgeBedarf+01'!C151</f>
        <v>0</v>
      </c>
    </row>
    <row r="157" spans="21:21" x14ac:dyDescent="0.3">
      <c r="U157">
        <f>STOXX_HedgeBedarf!C152+'STOXX_HedgeBedarf+01'!C152</f>
        <v>0</v>
      </c>
    </row>
    <row r="158" spans="21:21" x14ac:dyDescent="0.3">
      <c r="U158">
        <f>STOXX_HedgeBedarf!C153+'STOXX_HedgeBedarf+01'!C153</f>
        <v>0</v>
      </c>
    </row>
    <row r="159" spans="21:21" x14ac:dyDescent="0.3">
      <c r="U159">
        <f>STOXX_HedgeBedarf!C154+'STOXX_HedgeBedarf+01'!C154</f>
        <v>0</v>
      </c>
    </row>
    <row r="160" spans="21:21" x14ac:dyDescent="0.3">
      <c r="U160">
        <f>STOXX_HedgeBedarf!C155+'STOXX_HedgeBedarf+01'!C155</f>
        <v>0</v>
      </c>
    </row>
    <row r="161" spans="21:21" x14ac:dyDescent="0.3">
      <c r="U161">
        <f>STOXX_HedgeBedarf!C156+'STOXX_HedgeBedarf+01'!C156</f>
        <v>0</v>
      </c>
    </row>
    <row r="162" spans="21:21" x14ac:dyDescent="0.3">
      <c r="U162">
        <f>STOXX_HedgeBedarf!C157+'STOXX_HedgeBedarf+01'!C157</f>
        <v>0</v>
      </c>
    </row>
    <row r="163" spans="21:21" x14ac:dyDescent="0.3">
      <c r="U163">
        <f>STOXX_HedgeBedarf!C158+'STOXX_HedgeBedarf+01'!C158</f>
        <v>0</v>
      </c>
    </row>
    <row r="164" spans="21:21" x14ac:dyDescent="0.3">
      <c r="U164">
        <f>STOXX_HedgeBedarf!C159+'STOXX_HedgeBedarf+01'!C159</f>
        <v>0</v>
      </c>
    </row>
    <row r="165" spans="21:21" x14ac:dyDescent="0.3">
      <c r="U165">
        <f>STOXX_HedgeBedarf!C160+'STOXX_HedgeBedarf+01'!C160</f>
        <v>0</v>
      </c>
    </row>
    <row r="166" spans="21:21" x14ac:dyDescent="0.3">
      <c r="U166">
        <f>STOXX_HedgeBedarf!C161+'STOXX_HedgeBedarf+01'!C161</f>
        <v>0</v>
      </c>
    </row>
    <row r="167" spans="21:21" x14ac:dyDescent="0.3">
      <c r="U167">
        <f>STOXX_HedgeBedarf!C162+'STOXX_HedgeBedarf+01'!C162</f>
        <v>0</v>
      </c>
    </row>
    <row r="168" spans="21:21" x14ac:dyDescent="0.3">
      <c r="U168">
        <f>STOXX_HedgeBedarf!C163+'STOXX_HedgeBedarf+01'!C163</f>
        <v>0</v>
      </c>
    </row>
    <row r="169" spans="21:21" x14ac:dyDescent="0.3">
      <c r="U169">
        <f>STOXX_HedgeBedarf!C164+'STOXX_HedgeBedarf+01'!C164</f>
        <v>0</v>
      </c>
    </row>
    <row r="170" spans="21:21" x14ac:dyDescent="0.3">
      <c r="U170">
        <f>STOXX_HedgeBedarf!C165+'STOXX_HedgeBedarf+01'!C165</f>
        <v>0</v>
      </c>
    </row>
    <row r="171" spans="21:21" x14ac:dyDescent="0.3">
      <c r="U171">
        <f>STOXX_HedgeBedarf!C166+'STOXX_HedgeBedarf+01'!C166</f>
        <v>0</v>
      </c>
    </row>
    <row r="172" spans="21:21" x14ac:dyDescent="0.3">
      <c r="U172">
        <f>STOXX_HedgeBedarf!C167+'STOXX_HedgeBedarf+01'!C167</f>
        <v>0</v>
      </c>
    </row>
    <row r="173" spans="21:21" x14ac:dyDescent="0.3">
      <c r="U173">
        <f>STOXX_HedgeBedarf!C168+'STOXX_HedgeBedarf+01'!C168</f>
        <v>0</v>
      </c>
    </row>
    <row r="174" spans="21:21" x14ac:dyDescent="0.3">
      <c r="U174">
        <f>STOXX_HedgeBedarf!C169+'STOXX_HedgeBedarf+01'!C169</f>
        <v>0</v>
      </c>
    </row>
    <row r="175" spans="21:21" x14ac:dyDescent="0.3">
      <c r="U175">
        <f>STOXX_HedgeBedarf!C170+'STOXX_HedgeBedarf+01'!C170</f>
        <v>0</v>
      </c>
    </row>
    <row r="176" spans="21:21" x14ac:dyDescent="0.3">
      <c r="U176">
        <f>STOXX_HedgeBedarf!C171+'STOXX_HedgeBedarf+01'!C171</f>
        <v>0</v>
      </c>
    </row>
    <row r="177" spans="21:21" x14ac:dyDescent="0.3">
      <c r="U177">
        <f>STOXX_HedgeBedarf!C172+'STOXX_HedgeBedarf+01'!C172</f>
        <v>0</v>
      </c>
    </row>
    <row r="178" spans="21:21" x14ac:dyDescent="0.3">
      <c r="U178">
        <f>STOXX_HedgeBedarf!C173+'STOXX_HedgeBedarf+01'!C173</f>
        <v>0</v>
      </c>
    </row>
    <row r="179" spans="21:21" x14ac:dyDescent="0.3">
      <c r="U179">
        <f>STOXX_HedgeBedarf!C174+'STOXX_HedgeBedarf+01'!C174</f>
        <v>0</v>
      </c>
    </row>
    <row r="180" spans="21:21" x14ac:dyDescent="0.3">
      <c r="U180">
        <f>STOXX_HedgeBedarf!C175+'STOXX_HedgeBedarf+01'!C175</f>
        <v>0</v>
      </c>
    </row>
    <row r="181" spans="21:21" x14ac:dyDescent="0.3">
      <c r="U181">
        <f>STOXX_HedgeBedarf!C176+'STOXX_HedgeBedarf+01'!C176</f>
        <v>0</v>
      </c>
    </row>
    <row r="182" spans="21:21" x14ac:dyDescent="0.3">
      <c r="U182">
        <f>STOXX_HedgeBedarf!C177+'STOXX_HedgeBedarf+01'!C177</f>
        <v>0</v>
      </c>
    </row>
    <row r="183" spans="21:21" x14ac:dyDescent="0.3">
      <c r="U183">
        <f>STOXX_HedgeBedarf!C178+'STOXX_HedgeBedarf+01'!C178</f>
        <v>0</v>
      </c>
    </row>
    <row r="184" spans="21:21" x14ac:dyDescent="0.3">
      <c r="U184">
        <f>STOXX_HedgeBedarf!C179+'STOXX_HedgeBedarf+01'!C179</f>
        <v>0</v>
      </c>
    </row>
    <row r="185" spans="21:21" x14ac:dyDescent="0.3">
      <c r="U185">
        <f>STOXX_HedgeBedarf!C180+'STOXX_HedgeBedarf+01'!C180</f>
        <v>0</v>
      </c>
    </row>
    <row r="186" spans="21:21" x14ac:dyDescent="0.3">
      <c r="U186">
        <f>STOXX_HedgeBedarf!C181+'STOXX_HedgeBedarf+01'!C181</f>
        <v>0</v>
      </c>
    </row>
    <row r="187" spans="21:21" x14ac:dyDescent="0.3">
      <c r="U187">
        <f>STOXX_HedgeBedarf!C182+'STOXX_HedgeBedarf+01'!C182</f>
        <v>0</v>
      </c>
    </row>
    <row r="188" spans="21:21" x14ac:dyDescent="0.3">
      <c r="U188">
        <f>STOXX_HedgeBedarf!C183+'STOXX_HedgeBedarf+01'!C183</f>
        <v>0</v>
      </c>
    </row>
    <row r="189" spans="21:21" x14ac:dyDescent="0.3">
      <c r="U189">
        <f>STOXX_HedgeBedarf!C184+'STOXX_HedgeBedarf+01'!C184</f>
        <v>0</v>
      </c>
    </row>
    <row r="190" spans="21:21" x14ac:dyDescent="0.3">
      <c r="U190">
        <f>STOXX_HedgeBedarf!C185+'STOXX_HedgeBedarf+01'!C185</f>
        <v>0</v>
      </c>
    </row>
    <row r="191" spans="21:21" x14ac:dyDescent="0.3">
      <c r="U191">
        <f>STOXX_HedgeBedarf!C186+'STOXX_HedgeBedarf+01'!C186</f>
        <v>0</v>
      </c>
    </row>
    <row r="192" spans="21:21" x14ac:dyDescent="0.3">
      <c r="U192">
        <f>STOXX_HedgeBedarf!C187+'STOXX_HedgeBedarf+01'!C187</f>
        <v>0</v>
      </c>
    </row>
    <row r="193" spans="21:21" x14ac:dyDescent="0.3">
      <c r="U193">
        <f>STOXX_HedgeBedarf!C188+'STOXX_HedgeBedarf+01'!C188</f>
        <v>0</v>
      </c>
    </row>
    <row r="194" spans="21:21" x14ac:dyDescent="0.3">
      <c r="U194">
        <f>STOXX_HedgeBedarf!C189+'STOXX_HedgeBedarf+01'!C189</f>
        <v>0</v>
      </c>
    </row>
    <row r="195" spans="21:21" x14ac:dyDescent="0.3">
      <c r="U195">
        <f>STOXX_HedgeBedarf!C190+'STOXX_HedgeBedarf+01'!C190</f>
        <v>0</v>
      </c>
    </row>
    <row r="196" spans="21:21" x14ac:dyDescent="0.3">
      <c r="U196">
        <f>STOXX_HedgeBedarf!C191+'STOXX_HedgeBedarf+01'!C191</f>
        <v>0</v>
      </c>
    </row>
    <row r="197" spans="21:21" x14ac:dyDescent="0.3">
      <c r="U197">
        <f>STOXX_HedgeBedarf!C192+'STOXX_HedgeBedarf+01'!C192</f>
        <v>0</v>
      </c>
    </row>
    <row r="198" spans="21:21" x14ac:dyDescent="0.3">
      <c r="U198">
        <f>STOXX_HedgeBedarf!C193+'STOXX_HedgeBedarf+01'!C193</f>
        <v>0</v>
      </c>
    </row>
    <row r="199" spans="21:21" x14ac:dyDescent="0.3">
      <c r="U199">
        <f>STOXX_HedgeBedarf!C194+'STOXX_HedgeBedarf+01'!C194</f>
        <v>0</v>
      </c>
    </row>
    <row r="200" spans="21:21" x14ac:dyDescent="0.3">
      <c r="U200">
        <f>STOXX_HedgeBedarf!C195+'STOXX_HedgeBedarf+01'!C195</f>
        <v>0</v>
      </c>
    </row>
    <row r="201" spans="21:21" x14ac:dyDescent="0.3">
      <c r="U201">
        <f>STOXX_HedgeBedarf!C196+'STOXX_HedgeBedarf+01'!C196</f>
        <v>0</v>
      </c>
    </row>
    <row r="202" spans="21:21" x14ac:dyDescent="0.3">
      <c r="U202">
        <f>STOXX_HedgeBedarf!C197+'STOXX_HedgeBedarf+01'!C197</f>
        <v>0</v>
      </c>
    </row>
    <row r="203" spans="21:21" x14ac:dyDescent="0.3">
      <c r="U203">
        <f>STOXX_HedgeBedarf!C198+'STOXX_HedgeBedarf+01'!C198</f>
        <v>0</v>
      </c>
    </row>
    <row r="204" spans="21:21" x14ac:dyDescent="0.3">
      <c r="U204">
        <f>STOXX_HedgeBedarf!C199+'STOXX_HedgeBedarf+01'!C199</f>
        <v>0</v>
      </c>
    </row>
    <row r="205" spans="21:21" x14ac:dyDescent="0.3">
      <c r="U205">
        <f>STOXX_HedgeBedarf!C200+'STOXX_HedgeBedarf+01'!C200</f>
        <v>0</v>
      </c>
    </row>
    <row r="206" spans="21:21" x14ac:dyDescent="0.3">
      <c r="U206">
        <f>STOXX_HedgeBedarf!C201+'STOXX_HedgeBedarf+01'!C201</f>
        <v>0</v>
      </c>
    </row>
    <row r="207" spans="21:21" x14ac:dyDescent="0.3">
      <c r="U207">
        <f>STOXX_HedgeBedarf!C202+'STOXX_HedgeBedarf+01'!C202</f>
        <v>0</v>
      </c>
    </row>
    <row r="208" spans="21:21" x14ac:dyDescent="0.3">
      <c r="U208">
        <f>STOXX_HedgeBedarf!C203+'STOXX_HedgeBedarf+01'!C203</f>
        <v>0</v>
      </c>
    </row>
    <row r="209" spans="21:21" x14ac:dyDescent="0.3">
      <c r="U209">
        <f>STOXX_HedgeBedarf!C204+'STOXX_HedgeBedarf+01'!C204</f>
        <v>0</v>
      </c>
    </row>
    <row r="210" spans="21:21" x14ac:dyDescent="0.3">
      <c r="U210">
        <f>STOXX_HedgeBedarf!C205+'STOXX_HedgeBedarf+01'!C205</f>
        <v>0</v>
      </c>
    </row>
  </sheetData>
  <mergeCells count="3">
    <mergeCell ref="A1:F1"/>
    <mergeCell ref="G1:H1"/>
    <mergeCell ref="R1:S1"/>
  </mergeCells>
  <conditionalFormatting sqref="B10:B50">
    <cfRule type="cellIs" dxfId="27" priority="3" operator="lessThan">
      <formula>0</formula>
    </cfRule>
    <cfRule type="cellIs" dxfId="26" priority="4" operator="greaterThan">
      <formula>0</formula>
    </cfRule>
  </conditionalFormatting>
  <conditionalFormatting sqref="C10:I50">
    <cfRule type="cellIs" dxfId="25" priority="1" operator="lessThan">
      <formula>0</formula>
    </cfRule>
    <cfRule type="cellIs" dxfId="24" priority="2" operator="greaterThan">
      <formula>0</formula>
    </cfRule>
  </conditionalFormatting>
  <pageMargins left="0.7" right="0.7" top="0.78740157499999996" bottom="0.78740157499999996" header="0.3" footer="0.3"/>
  <pageSetup paperSize="9" orientation="portrait" r:id="rId1"/>
  <colBreaks count="1" manualBreakCount="1">
    <brk id="9" max="1048575" man="1"/>
  </colBreaks>
  <drawing r:id="rId2"/>
  <legacyDrawing r:id="rId3"/>
  <controls>
    <mc:AlternateContent xmlns:mc="http://schemas.openxmlformats.org/markup-compatibility/2006">
      <mc:Choice Requires="x14">
        <control shapeId="2056" r:id="rId4" name="Pdf_Verfall">
          <controlPr defaultSize="0" autoLine="0" r:id="rId5">
            <anchor moveWithCells="1">
              <from>
                <xdr:col>14</xdr:col>
                <xdr:colOff>182880</xdr:colOff>
                <xdr:row>0</xdr:row>
                <xdr:rowOff>121920</xdr:rowOff>
              </from>
              <to>
                <xdr:col>16</xdr:col>
                <xdr:colOff>91440</xdr:colOff>
                <xdr:row>0</xdr:row>
                <xdr:rowOff>495300</xdr:rowOff>
              </to>
            </anchor>
          </controlPr>
        </control>
      </mc:Choice>
      <mc:Fallback>
        <control shapeId="2056" r:id="rId4" name="Pdf_Verfall"/>
      </mc:Fallback>
    </mc:AlternateContent>
    <mc:AlternateContent xmlns:mc="http://schemas.openxmlformats.org/markup-compatibility/2006">
      <mc:Choice Requires="x14">
        <control shapeId="2055" r:id="rId6" name="PDF">
          <controlPr defaultSize="0" autoLine="0" autoPict="0" r:id="rId7">
            <anchor moveWithCells="1">
              <from>
                <xdr:col>9</xdr:col>
                <xdr:colOff>746760</xdr:colOff>
                <xdr:row>5</xdr:row>
                <xdr:rowOff>45720</xdr:rowOff>
              </from>
              <to>
                <xdr:col>11</xdr:col>
                <xdr:colOff>746760</xdr:colOff>
                <xdr:row>6</xdr:row>
                <xdr:rowOff>220980</xdr:rowOff>
              </to>
            </anchor>
          </controlPr>
        </control>
      </mc:Choice>
      <mc:Fallback>
        <control shapeId="2055" r:id="rId6" name="PDF"/>
      </mc:Fallback>
    </mc:AlternateContent>
    <mc:AlternateContent xmlns:mc="http://schemas.openxmlformats.org/markup-compatibility/2006">
      <mc:Choice Requires="x14">
        <control shapeId="2054" r:id="rId8" name="InterimsUeberHaenge">
          <controlPr defaultSize="0" autoLine="0" r:id="rId9">
            <anchor moveWithCells="1">
              <from>
                <xdr:col>24</xdr:col>
                <xdr:colOff>754380</xdr:colOff>
                <xdr:row>0</xdr:row>
                <xdr:rowOff>525780</xdr:rowOff>
              </from>
              <to>
                <xdr:col>26</xdr:col>
                <xdr:colOff>548640</xdr:colOff>
                <xdr:row>1</xdr:row>
                <xdr:rowOff>137160</xdr:rowOff>
              </to>
            </anchor>
          </controlPr>
        </control>
      </mc:Choice>
      <mc:Fallback>
        <control shapeId="2054" r:id="rId8" name="InterimsUeberHaenge"/>
      </mc:Fallback>
    </mc:AlternateContent>
    <mc:AlternateContent xmlns:mc="http://schemas.openxmlformats.org/markup-compatibility/2006">
      <mc:Choice Requires="x14">
        <control shapeId="2053" r:id="rId10" name="VorletzterHandelsTag">
          <controlPr defaultSize="0" autoLine="0" r:id="rId11">
            <anchor moveWithCells="1">
              <from>
                <xdr:col>24</xdr:col>
                <xdr:colOff>754380</xdr:colOff>
                <xdr:row>0</xdr:row>
                <xdr:rowOff>68580</xdr:rowOff>
              </from>
              <to>
                <xdr:col>26</xdr:col>
                <xdr:colOff>548640</xdr:colOff>
                <xdr:row>0</xdr:row>
                <xdr:rowOff>441960</xdr:rowOff>
              </to>
            </anchor>
          </controlPr>
        </control>
      </mc:Choice>
      <mc:Fallback>
        <control shapeId="2053" r:id="rId10" name="VorletzterHandelsTag"/>
      </mc:Fallback>
    </mc:AlternateContent>
    <mc:AlternateContent xmlns:mc="http://schemas.openxmlformats.org/markup-compatibility/2006">
      <mc:Choice Requires="x14">
        <control shapeId="2052" r:id="rId12" name="Hedge">
          <controlPr defaultSize="0" autoLine="0" r:id="rId13">
            <anchor moveWithCells="1">
              <from>
                <xdr:col>12</xdr:col>
                <xdr:colOff>99060</xdr:colOff>
                <xdr:row>0</xdr:row>
                <xdr:rowOff>121920</xdr:rowOff>
              </from>
              <to>
                <xdr:col>13</xdr:col>
                <xdr:colOff>160020</xdr:colOff>
                <xdr:row>0</xdr:row>
                <xdr:rowOff>502920</xdr:rowOff>
              </to>
            </anchor>
          </controlPr>
        </control>
      </mc:Choice>
      <mc:Fallback>
        <control shapeId="2052" r:id="rId12" name="Hedge"/>
      </mc:Fallback>
    </mc:AlternateContent>
    <mc:AlternateContent xmlns:mc="http://schemas.openxmlformats.org/markup-compatibility/2006">
      <mc:Choice Requires="x14">
        <control shapeId="2051" r:id="rId14" name="BoersenAbfrage">
          <controlPr defaultSize="0" autoLine="0" autoPict="0" r:id="rId15">
            <anchor moveWithCells="1">
              <from>
                <xdr:col>9</xdr:col>
                <xdr:colOff>746760</xdr:colOff>
                <xdr:row>0</xdr:row>
                <xdr:rowOff>632460</xdr:rowOff>
              </from>
              <to>
                <xdr:col>12</xdr:col>
                <xdr:colOff>22860</xdr:colOff>
                <xdr:row>2</xdr:row>
                <xdr:rowOff>68580</xdr:rowOff>
              </to>
            </anchor>
          </controlPr>
        </control>
      </mc:Choice>
      <mc:Fallback>
        <control shapeId="2051" r:id="rId14" name="BoersenAbfrage"/>
      </mc:Fallback>
    </mc:AlternateContent>
    <mc:AlternateContent xmlns:mc="http://schemas.openxmlformats.org/markup-compatibility/2006">
      <mc:Choice Requires="x14">
        <control shapeId="2050" r:id="rId16" name="AbfragenDatumUpdaten">
          <controlPr defaultSize="0" autoLine="0" r:id="rId17">
            <anchor moveWithCells="1">
              <from>
                <xdr:col>9</xdr:col>
                <xdr:colOff>746760</xdr:colOff>
                <xdr:row>0</xdr:row>
                <xdr:rowOff>121920</xdr:rowOff>
              </from>
              <to>
                <xdr:col>13</xdr:col>
                <xdr:colOff>220980</xdr:colOff>
                <xdr:row>1</xdr:row>
                <xdr:rowOff>160020</xdr:rowOff>
              </to>
            </anchor>
          </controlPr>
        </control>
      </mc:Choice>
      <mc:Fallback>
        <control shapeId="2050" r:id="rId16" name="AbfragenDatumUpdaten"/>
      </mc:Fallback>
    </mc:AlternateContent>
    <mc:AlternateContent xmlns:mc="http://schemas.openxmlformats.org/markup-compatibility/2006">
      <mc:Choice Requires="x14">
        <control shapeId="2049" r:id="rId18" name="Start">
          <controlPr defaultSize="0" autoLine="0" autoPict="0" r:id="rId19">
            <anchor moveWithCells="1">
              <from>
                <xdr:col>9</xdr:col>
                <xdr:colOff>746760</xdr:colOff>
                <xdr:row>2</xdr:row>
                <xdr:rowOff>152400</xdr:rowOff>
              </from>
              <to>
                <xdr:col>12</xdr:col>
                <xdr:colOff>0</xdr:colOff>
                <xdr:row>4</xdr:row>
                <xdr:rowOff>121920</xdr:rowOff>
              </to>
            </anchor>
          </controlPr>
        </control>
      </mc:Choice>
      <mc:Fallback>
        <control shapeId="2049" r:id="rId18" name="Start"/>
      </mc:Fallback>
    </mc:AlternateContent>
    <mc:AlternateContent xmlns:mc="http://schemas.openxmlformats.org/markup-compatibility/2006">
      <mc:Choice Requires="x14">
        <control shapeId="2057" r:id="rId20" name="KontrakteUpdaten">
          <controlPr defaultSize="0" autoLine="0" autoPict="0" r:id="rId21">
            <anchor moveWithCells="1">
              <from>
                <xdr:col>20</xdr:col>
                <xdr:colOff>7620</xdr:colOff>
                <xdr:row>0</xdr:row>
                <xdr:rowOff>121920</xdr:rowOff>
              </from>
              <to>
                <xdr:col>21</xdr:col>
                <xdr:colOff>419100</xdr:colOff>
                <xdr:row>0</xdr:row>
                <xdr:rowOff>495300</xdr:rowOff>
              </to>
            </anchor>
          </controlPr>
        </control>
      </mc:Choice>
      <mc:Fallback>
        <control shapeId="2057" r:id="rId20" name="KontrakteUpdate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7CB2F-D52D-4D7B-B8AF-31D0D037F847}">
  <sheetPr codeName="Tabelle3"/>
  <dimension ref="A1:J153"/>
  <sheetViews>
    <sheetView workbookViewId="0"/>
  </sheetViews>
  <sheetFormatPr baseColWidth="10" defaultColWidth="8.88671875" defaultRowHeight="14.4" x14ac:dyDescent="0.3"/>
  <sheetData>
    <row r="1" spans="1:10" x14ac:dyDescent="0.3">
      <c r="A1" s="138" t="s">
        <v>276</v>
      </c>
      <c r="B1" s="138" t="s">
        <v>275</v>
      </c>
      <c r="C1" s="138" t="s">
        <v>274</v>
      </c>
      <c r="D1" s="138" t="s">
        <v>273</v>
      </c>
      <c r="E1" s="138" t="s">
        <v>272</v>
      </c>
      <c r="F1" s="138" t="s">
        <v>271</v>
      </c>
      <c r="G1" s="138" t="s">
        <v>270</v>
      </c>
      <c r="H1" s="138" t="s">
        <v>269</v>
      </c>
      <c r="I1" s="138" t="s">
        <v>268</v>
      </c>
      <c r="J1" s="138" t="s">
        <v>267</v>
      </c>
    </row>
    <row r="2" spans="1:10" x14ac:dyDescent="0.3">
      <c r="A2" s="92">
        <v>1000</v>
      </c>
      <c r="B2">
        <v>1000</v>
      </c>
      <c r="C2">
        <v>0</v>
      </c>
      <c r="D2">
        <v>0</v>
      </c>
      <c r="E2">
        <v>1</v>
      </c>
      <c r="F2">
        <v>0</v>
      </c>
      <c r="G2">
        <v>0</v>
      </c>
      <c r="H2">
        <v>0</v>
      </c>
      <c r="I2">
        <v>0</v>
      </c>
      <c r="J2" s="92">
        <v>1</v>
      </c>
    </row>
    <row r="3" spans="1:10" x14ac:dyDescent="0.3">
      <c r="A3" s="92">
        <v>1100</v>
      </c>
      <c r="B3">
        <v>1100</v>
      </c>
      <c r="C3">
        <v>0</v>
      </c>
      <c r="D3">
        <v>0</v>
      </c>
      <c r="E3">
        <v>0</v>
      </c>
      <c r="F3">
        <v>0</v>
      </c>
      <c r="G3">
        <v>0</v>
      </c>
      <c r="H3">
        <v>0</v>
      </c>
      <c r="I3">
        <v>0</v>
      </c>
      <c r="J3" s="92">
        <v>0</v>
      </c>
    </row>
    <row r="4" spans="1:10" x14ac:dyDescent="0.3">
      <c r="A4" s="92">
        <v>1150</v>
      </c>
      <c r="B4">
        <v>1150</v>
      </c>
      <c r="C4">
        <v>0</v>
      </c>
      <c r="D4">
        <v>0</v>
      </c>
      <c r="E4">
        <v>0</v>
      </c>
      <c r="F4">
        <v>0</v>
      </c>
      <c r="G4">
        <v>0</v>
      </c>
      <c r="H4">
        <v>0</v>
      </c>
      <c r="I4">
        <v>0</v>
      </c>
      <c r="J4" s="92">
        <v>0</v>
      </c>
    </row>
    <row r="5" spans="1:10" x14ac:dyDescent="0.3">
      <c r="A5" s="92">
        <v>1200</v>
      </c>
      <c r="B5">
        <v>1200</v>
      </c>
      <c r="C5">
        <v>0</v>
      </c>
      <c r="D5">
        <v>0</v>
      </c>
      <c r="E5">
        <v>0</v>
      </c>
      <c r="F5">
        <v>0</v>
      </c>
      <c r="G5">
        <v>0</v>
      </c>
      <c r="H5">
        <v>0</v>
      </c>
      <c r="I5">
        <v>0</v>
      </c>
      <c r="J5" s="92">
        <v>0</v>
      </c>
    </row>
    <row r="6" spans="1:10" x14ac:dyDescent="0.3">
      <c r="A6" s="92">
        <v>1250</v>
      </c>
      <c r="B6">
        <v>1250</v>
      </c>
      <c r="C6">
        <v>0</v>
      </c>
      <c r="D6">
        <v>0</v>
      </c>
      <c r="E6">
        <v>0</v>
      </c>
      <c r="F6">
        <v>0</v>
      </c>
      <c r="G6">
        <v>0</v>
      </c>
      <c r="H6">
        <v>0</v>
      </c>
      <c r="I6">
        <v>0</v>
      </c>
      <c r="J6" s="92">
        <v>0</v>
      </c>
    </row>
    <row r="7" spans="1:10" x14ac:dyDescent="0.3">
      <c r="A7" s="92">
        <v>1300</v>
      </c>
      <c r="B7">
        <v>1300</v>
      </c>
      <c r="C7">
        <v>0</v>
      </c>
      <c r="D7">
        <v>0</v>
      </c>
      <c r="E7">
        <v>2</v>
      </c>
      <c r="F7">
        <v>0</v>
      </c>
      <c r="G7">
        <v>0</v>
      </c>
      <c r="H7">
        <v>0</v>
      </c>
      <c r="I7">
        <v>0</v>
      </c>
      <c r="J7" s="92">
        <v>2</v>
      </c>
    </row>
    <row r="8" spans="1:10" x14ac:dyDescent="0.3">
      <c r="A8" s="92">
        <v>1400</v>
      </c>
      <c r="B8">
        <v>1400</v>
      </c>
      <c r="C8">
        <v>0</v>
      </c>
      <c r="D8">
        <v>0</v>
      </c>
      <c r="E8">
        <v>1</v>
      </c>
      <c r="F8">
        <v>0</v>
      </c>
      <c r="G8">
        <v>0</v>
      </c>
      <c r="H8">
        <v>0</v>
      </c>
      <c r="I8">
        <v>0</v>
      </c>
      <c r="J8" s="92">
        <v>1</v>
      </c>
    </row>
    <row r="9" spans="1:10" x14ac:dyDescent="0.3">
      <c r="A9" s="92">
        <v>1450</v>
      </c>
      <c r="B9">
        <v>1450</v>
      </c>
      <c r="C9">
        <v>0</v>
      </c>
      <c r="D9">
        <v>0</v>
      </c>
      <c r="E9">
        <v>2</v>
      </c>
      <c r="F9">
        <v>0</v>
      </c>
      <c r="G9">
        <v>0</v>
      </c>
      <c r="H9">
        <v>0</v>
      </c>
      <c r="I9">
        <v>0</v>
      </c>
      <c r="J9" s="92">
        <v>2</v>
      </c>
    </row>
    <row r="10" spans="1:10" x14ac:dyDescent="0.3">
      <c r="A10" s="92">
        <v>1500</v>
      </c>
      <c r="B10">
        <v>1500</v>
      </c>
      <c r="C10">
        <v>0</v>
      </c>
      <c r="D10">
        <v>0</v>
      </c>
      <c r="E10">
        <v>0</v>
      </c>
      <c r="F10">
        <v>0</v>
      </c>
      <c r="G10">
        <v>0</v>
      </c>
      <c r="H10">
        <v>0</v>
      </c>
      <c r="I10">
        <v>0</v>
      </c>
      <c r="J10" s="92">
        <v>0</v>
      </c>
    </row>
    <row r="11" spans="1:10" x14ac:dyDescent="0.3">
      <c r="A11" s="92">
        <v>1600</v>
      </c>
      <c r="B11">
        <v>1600</v>
      </c>
      <c r="C11">
        <v>0</v>
      </c>
      <c r="D11">
        <v>0</v>
      </c>
      <c r="E11">
        <v>0</v>
      </c>
      <c r="F11">
        <v>0</v>
      </c>
      <c r="G11">
        <v>0</v>
      </c>
      <c r="H11">
        <v>0</v>
      </c>
      <c r="I11">
        <v>0</v>
      </c>
      <c r="J11" s="92">
        <v>0</v>
      </c>
    </row>
    <row r="12" spans="1:10" x14ac:dyDescent="0.3">
      <c r="A12" s="92">
        <v>1650</v>
      </c>
      <c r="B12">
        <v>1650</v>
      </c>
      <c r="C12">
        <v>0</v>
      </c>
      <c r="D12">
        <v>0</v>
      </c>
      <c r="E12">
        <v>0</v>
      </c>
      <c r="F12">
        <v>0</v>
      </c>
      <c r="G12">
        <v>0</v>
      </c>
      <c r="H12">
        <v>0</v>
      </c>
      <c r="I12">
        <v>0</v>
      </c>
      <c r="J12" s="92">
        <v>0</v>
      </c>
    </row>
    <row r="13" spans="1:10" x14ac:dyDescent="0.3">
      <c r="A13" s="92">
        <v>1700</v>
      </c>
      <c r="B13">
        <v>1700</v>
      </c>
      <c r="C13">
        <v>0</v>
      </c>
      <c r="D13">
        <v>0</v>
      </c>
      <c r="E13">
        <v>0</v>
      </c>
      <c r="F13">
        <v>0</v>
      </c>
      <c r="G13">
        <v>0</v>
      </c>
      <c r="H13">
        <v>0</v>
      </c>
      <c r="I13">
        <v>0</v>
      </c>
      <c r="J13" s="92">
        <v>0</v>
      </c>
    </row>
    <row r="14" spans="1:10" x14ac:dyDescent="0.3">
      <c r="A14" s="92">
        <v>1750</v>
      </c>
      <c r="B14">
        <v>1750</v>
      </c>
      <c r="C14">
        <v>0</v>
      </c>
      <c r="D14">
        <v>0</v>
      </c>
      <c r="E14">
        <v>0</v>
      </c>
      <c r="F14">
        <v>0</v>
      </c>
      <c r="G14">
        <v>0</v>
      </c>
      <c r="H14">
        <v>0</v>
      </c>
      <c r="I14">
        <v>0</v>
      </c>
      <c r="J14" s="92">
        <v>0</v>
      </c>
    </row>
    <row r="15" spans="1:10" x14ac:dyDescent="0.3">
      <c r="A15" s="92">
        <v>1800</v>
      </c>
      <c r="B15">
        <v>1800</v>
      </c>
      <c r="C15">
        <v>0</v>
      </c>
      <c r="D15">
        <v>0</v>
      </c>
      <c r="E15">
        <v>0</v>
      </c>
      <c r="F15">
        <v>0</v>
      </c>
      <c r="G15">
        <v>0</v>
      </c>
      <c r="H15">
        <v>0</v>
      </c>
      <c r="I15">
        <v>0</v>
      </c>
      <c r="J15" s="92">
        <v>0</v>
      </c>
    </row>
    <row r="16" spans="1:10" x14ac:dyDescent="0.3">
      <c r="A16" s="92">
        <v>1900</v>
      </c>
      <c r="B16">
        <v>1900</v>
      </c>
      <c r="C16">
        <v>0</v>
      </c>
      <c r="D16">
        <v>0</v>
      </c>
      <c r="E16">
        <v>0</v>
      </c>
      <c r="F16">
        <v>0</v>
      </c>
      <c r="G16">
        <v>0</v>
      </c>
      <c r="H16">
        <v>0</v>
      </c>
      <c r="I16">
        <v>0</v>
      </c>
      <c r="J16" s="92">
        <v>0</v>
      </c>
    </row>
    <row r="17" spans="1:10" x14ac:dyDescent="0.3">
      <c r="A17" s="92">
        <v>1950</v>
      </c>
      <c r="B17">
        <v>1950</v>
      </c>
      <c r="C17">
        <v>0</v>
      </c>
      <c r="D17">
        <v>0</v>
      </c>
      <c r="E17">
        <v>0</v>
      </c>
      <c r="F17">
        <v>0</v>
      </c>
      <c r="G17">
        <v>0</v>
      </c>
      <c r="H17">
        <v>0</v>
      </c>
      <c r="I17">
        <v>0</v>
      </c>
      <c r="J17" s="92">
        <v>0</v>
      </c>
    </row>
    <row r="18" spans="1:10" x14ac:dyDescent="0.3">
      <c r="A18" s="92">
        <v>2000</v>
      </c>
      <c r="B18">
        <v>2000</v>
      </c>
      <c r="C18">
        <v>0</v>
      </c>
      <c r="D18">
        <v>0</v>
      </c>
      <c r="E18">
        <v>111</v>
      </c>
      <c r="F18">
        <v>0</v>
      </c>
      <c r="G18">
        <v>0</v>
      </c>
      <c r="H18">
        <v>0</v>
      </c>
      <c r="I18">
        <v>0</v>
      </c>
      <c r="J18" s="92">
        <v>111</v>
      </c>
    </row>
    <row r="19" spans="1:10" x14ac:dyDescent="0.3">
      <c r="A19" s="92">
        <v>2050</v>
      </c>
      <c r="B19">
        <v>2050</v>
      </c>
      <c r="C19">
        <v>0</v>
      </c>
      <c r="D19">
        <v>0</v>
      </c>
      <c r="E19">
        <v>0</v>
      </c>
      <c r="F19">
        <v>0</v>
      </c>
      <c r="G19">
        <v>0</v>
      </c>
      <c r="H19">
        <v>0</v>
      </c>
      <c r="I19">
        <v>0</v>
      </c>
      <c r="J19" s="92">
        <v>0</v>
      </c>
    </row>
    <row r="20" spans="1:10" x14ac:dyDescent="0.3">
      <c r="A20" s="92">
        <v>2100</v>
      </c>
      <c r="B20">
        <v>2100</v>
      </c>
      <c r="C20">
        <v>0</v>
      </c>
      <c r="D20">
        <v>0</v>
      </c>
      <c r="E20">
        <v>0</v>
      </c>
      <c r="F20">
        <v>0</v>
      </c>
      <c r="G20">
        <v>0</v>
      </c>
      <c r="H20">
        <v>0</v>
      </c>
      <c r="I20">
        <v>0</v>
      </c>
      <c r="J20" s="92">
        <v>0</v>
      </c>
    </row>
    <row r="21" spans="1:10" x14ac:dyDescent="0.3">
      <c r="A21" s="92">
        <v>2150</v>
      </c>
      <c r="B21">
        <v>2150</v>
      </c>
      <c r="C21">
        <v>0</v>
      </c>
      <c r="D21">
        <v>0</v>
      </c>
      <c r="E21">
        <v>0</v>
      </c>
      <c r="F21">
        <v>0</v>
      </c>
      <c r="G21">
        <v>0</v>
      </c>
      <c r="H21">
        <v>0</v>
      </c>
      <c r="I21">
        <v>0</v>
      </c>
      <c r="J21" s="92">
        <v>0</v>
      </c>
    </row>
    <row r="22" spans="1:10" x14ac:dyDescent="0.3">
      <c r="A22" s="92">
        <v>2200</v>
      </c>
      <c r="B22">
        <v>2200</v>
      </c>
      <c r="C22">
        <v>0</v>
      </c>
      <c r="D22">
        <v>0</v>
      </c>
      <c r="E22">
        <v>800</v>
      </c>
      <c r="F22">
        <v>0</v>
      </c>
      <c r="G22">
        <v>0</v>
      </c>
      <c r="H22">
        <v>0</v>
      </c>
      <c r="I22">
        <v>0</v>
      </c>
      <c r="J22" s="92">
        <v>800</v>
      </c>
    </row>
    <row r="23" spans="1:10" x14ac:dyDescent="0.3">
      <c r="A23" s="92">
        <v>2250</v>
      </c>
      <c r="B23">
        <v>2250</v>
      </c>
      <c r="C23">
        <v>0</v>
      </c>
      <c r="D23">
        <v>0</v>
      </c>
      <c r="E23">
        <v>0</v>
      </c>
      <c r="F23">
        <v>0</v>
      </c>
      <c r="G23">
        <v>0</v>
      </c>
      <c r="H23">
        <v>0</v>
      </c>
      <c r="I23">
        <v>0</v>
      </c>
      <c r="J23" s="92">
        <v>0</v>
      </c>
    </row>
    <row r="24" spans="1:10" x14ac:dyDescent="0.3">
      <c r="A24" s="92">
        <v>2300</v>
      </c>
      <c r="B24">
        <v>2300</v>
      </c>
      <c r="C24">
        <v>0</v>
      </c>
      <c r="D24">
        <v>0</v>
      </c>
      <c r="E24">
        <v>0</v>
      </c>
      <c r="F24">
        <v>0</v>
      </c>
      <c r="G24">
        <v>0</v>
      </c>
      <c r="H24">
        <v>0</v>
      </c>
      <c r="I24">
        <v>0</v>
      </c>
      <c r="J24" s="92">
        <v>0</v>
      </c>
    </row>
    <row r="25" spans="1:10" x14ac:dyDescent="0.3">
      <c r="A25" s="92">
        <v>2325</v>
      </c>
      <c r="B25">
        <v>2325</v>
      </c>
      <c r="C25">
        <v>0</v>
      </c>
      <c r="D25">
        <v>0</v>
      </c>
      <c r="E25">
        <v>0</v>
      </c>
      <c r="F25">
        <v>0</v>
      </c>
      <c r="G25">
        <v>0</v>
      </c>
      <c r="H25">
        <v>0</v>
      </c>
      <c r="I25">
        <v>0</v>
      </c>
      <c r="J25" s="92">
        <v>0</v>
      </c>
    </row>
    <row r="26" spans="1:10" x14ac:dyDescent="0.3">
      <c r="A26" s="92">
        <v>2350</v>
      </c>
      <c r="B26">
        <v>2350</v>
      </c>
      <c r="C26">
        <v>0</v>
      </c>
      <c r="D26">
        <v>0</v>
      </c>
      <c r="E26">
        <v>0</v>
      </c>
      <c r="F26">
        <v>0</v>
      </c>
      <c r="G26">
        <v>0</v>
      </c>
      <c r="H26">
        <v>0</v>
      </c>
      <c r="I26">
        <v>0</v>
      </c>
      <c r="J26" s="92">
        <v>0</v>
      </c>
    </row>
    <row r="27" spans="1:10" x14ac:dyDescent="0.3">
      <c r="A27" s="92">
        <v>2375</v>
      </c>
      <c r="B27">
        <v>2375</v>
      </c>
      <c r="C27">
        <v>0</v>
      </c>
      <c r="D27">
        <v>0</v>
      </c>
      <c r="E27">
        <v>0</v>
      </c>
      <c r="F27">
        <v>0</v>
      </c>
      <c r="G27">
        <v>0</v>
      </c>
      <c r="H27">
        <v>0</v>
      </c>
      <c r="I27">
        <v>0</v>
      </c>
      <c r="J27" s="92">
        <v>0</v>
      </c>
    </row>
    <row r="28" spans="1:10" x14ac:dyDescent="0.3">
      <c r="A28" s="92">
        <v>2400</v>
      </c>
      <c r="B28">
        <v>2400</v>
      </c>
      <c r="C28">
        <v>0</v>
      </c>
      <c r="D28">
        <v>0</v>
      </c>
      <c r="E28">
        <v>0</v>
      </c>
      <c r="F28">
        <v>0</v>
      </c>
      <c r="G28">
        <v>0</v>
      </c>
      <c r="H28">
        <v>0</v>
      </c>
      <c r="I28">
        <v>0</v>
      </c>
      <c r="J28" s="92">
        <v>0</v>
      </c>
    </row>
    <row r="29" spans="1:10" x14ac:dyDescent="0.3">
      <c r="A29" s="92">
        <v>2425</v>
      </c>
      <c r="B29">
        <v>2425</v>
      </c>
      <c r="C29">
        <v>0</v>
      </c>
      <c r="D29">
        <v>0</v>
      </c>
      <c r="E29">
        <v>0</v>
      </c>
      <c r="F29">
        <v>0</v>
      </c>
      <c r="G29">
        <v>0</v>
      </c>
      <c r="H29">
        <v>0</v>
      </c>
      <c r="I29">
        <v>0</v>
      </c>
      <c r="J29" s="92">
        <v>0</v>
      </c>
    </row>
    <row r="30" spans="1:10" x14ac:dyDescent="0.3">
      <c r="A30" s="92">
        <v>2450</v>
      </c>
      <c r="B30">
        <v>2450</v>
      </c>
      <c r="C30">
        <v>0</v>
      </c>
      <c r="D30">
        <v>0</v>
      </c>
      <c r="E30">
        <v>0</v>
      </c>
      <c r="F30">
        <v>0</v>
      </c>
      <c r="G30">
        <v>0</v>
      </c>
      <c r="H30">
        <v>0</v>
      </c>
      <c r="I30">
        <v>0</v>
      </c>
      <c r="J30" s="92">
        <v>0</v>
      </c>
    </row>
    <row r="31" spans="1:10" x14ac:dyDescent="0.3">
      <c r="A31" s="92">
        <v>2475</v>
      </c>
      <c r="B31">
        <v>2475</v>
      </c>
      <c r="C31">
        <v>0</v>
      </c>
      <c r="D31">
        <v>0</v>
      </c>
      <c r="E31">
        <v>0</v>
      </c>
      <c r="F31">
        <v>0</v>
      </c>
      <c r="G31">
        <v>0</v>
      </c>
      <c r="H31">
        <v>0</v>
      </c>
      <c r="I31">
        <v>0</v>
      </c>
      <c r="J31" s="92">
        <v>0</v>
      </c>
    </row>
    <row r="32" spans="1:10" x14ac:dyDescent="0.3">
      <c r="A32" s="92">
        <v>2500</v>
      </c>
      <c r="B32">
        <v>2500</v>
      </c>
      <c r="C32">
        <v>0</v>
      </c>
      <c r="D32">
        <v>0</v>
      </c>
      <c r="E32">
        <v>0</v>
      </c>
      <c r="F32">
        <v>0</v>
      </c>
      <c r="G32">
        <v>0</v>
      </c>
      <c r="H32">
        <v>0</v>
      </c>
      <c r="I32">
        <v>0</v>
      </c>
      <c r="J32" s="92">
        <v>0</v>
      </c>
    </row>
    <row r="33" spans="1:10" x14ac:dyDescent="0.3">
      <c r="A33" s="92">
        <v>2525</v>
      </c>
      <c r="B33">
        <v>2525</v>
      </c>
      <c r="C33">
        <v>0</v>
      </c>
      <c r="D33">
        <v>0</v>
      </c>
      <c r="E33">
        <v>0</v>
      </c>
      <c r="F33">
        <v>0</v>
      </c>
      <c r="G33">
        <v>0</v>
      </c>
      <c r="H33">
        <v>0</v>
      </c>
      <c r="I33">
        <v>0</v>
      </c>
      <c r="J33" s="92">
        <v>0</v>
      </c>
    </row>
    <row r="34" spans="1:10" x14ac:dyDescent="0.3">
      <c r="A34" s="92">
        <v>2550</v>
      </c>
      <c r="B34">
        <v>2550</v>
      </c>
      <c r="C34">
        <v>0</v>
      </c>
      <c r="D34">
        <v>0</v>
      </c>
      <c r="E34">
        <v>0</v>
      </c>
      <c r="F34">
        <v>0</v>
      </c>
      <c r="G34">
        <v>0</v>
      </c>
      <c r="H34">
        <v>0</v>
      </c>
      <c r="I34">
        <v>0</v>
      </c>
      <c r="J34" s="92">
        <v>0</v>
      </c>
    </row>
    <row r="35" spans="1:10" x14ac:dyDescent="0.3">
      <c r="A35" s="92">
        <v>2575</v>
      </c>
      <c r="B35">
        <v>2575</v>
      </c>
      <c r="C35">
        <v>0</v>
      </c>
      <c r="D35">
        <v>0</v>
      </c>
      <c r="E35">
        <v>0</v>
      </c>
      <c r="F35">
        <v>0</v>
      </c>
      <c r="G35">
        <v>0</v>
      </c>
      <c r="H35">
        <v>0</v>
      </c>
      <c r="I35">
        <v>0</v>
      </c>
      <c r="J35" s="92">
        <v>0</v>
      </c>
    </row>
    <row r="36" spans="1:10" x14ac:dyDescent="0.3">
      <c r="A36" s="92">
        <v>2600</v>
      </c>
      <c r="B36">
        <v>2600</v>
      </c>
      <c r="C36">
        <v>0</v>
      </c>
      <c r="D36">
        <v>0</v>
      </c>
      <c r="E36">
        <v>0</v>
      </c>
      <c r="F36">
        <v>0</v>
      </c>
      <c r="G36">
        <v>0</v>
      </c>
      <c r="H36">
        <v>0</v>
      </c>
      <c r="I36">
        <v>0</v>
      </c>
      <c r="J36" s="92">
        <v>0</v>
      </c>
    </row>
    <row r="37" spans="1:10" x14ac:dyDescent="0.3">
      <c r="A37" s="92">
        <v>2625</v>
      </c>
      <c r="B37">
        <v>2625</v>
      </c>
      <c r="C37">
        <v>0</v>
      </c>
      <c r="D37">
        <v>0</v>
      </c>
      <c r="E37">
        <v>0</v>
      </c>
      <c r="F37">
        <v>0</v>
      </c>
      <c r="G37">
        <v>0</v>
      </c>
      <c r="H37">
        <v>0</v>
      </c>
      <c r="I37">
        <v>0</v>
      </c>
      <c r="J37" s="92">
        <v>0</v>
      </c>
    </row>
    <row r="38" spans="1:10" x14ac:dyDescent="0.3">
      <c r="A38" s="92">
        <v>2650</v>
      </c>
      <c r="B38">
        <v>2650</v>
      </c>
      <c r="C38">
        <v>0</v>
      </c>
      <c r="D38">
        <v>0</v>
      </c>
      <c r="E38">
        <v>0</v>
      </c>
      <c r="F38">
        <v>0</v>
      </c>
      <c r="G38">
        <v>0</v>
      </c>
      <c r="H38">
        <v>0</v>
      </c>
      <c r="I38">
        <v>0</v>
      </c>
      <c r="J38" s="92">
        <v>0</v>
      </c>
    </row>
    <row r="39" spans="1:10" x14ac:dyDescent="0.3">
      <c r="A39" s="92">
        <v>2675</v>
      </c>
      <c r="B39">
        <v>2675</v>
      </c>
      <c r="C39">
        <v>0</v>
      </c>
      <c r="D39">
        <v>0</v>
      </c>
      <c r="E39">
        <v>0</v>
      </c>
      <c r="F39">
        <v>0</v>
      </c>
      <c r="G39">
        <v>0</v>
      </c>
      <c r="H39">
        <v>0</v>
      </c>
      <c r="I39">
        <v>0</v>
      </c>
      <c r="J39" s="92">
        <v>0</v>
      </c>
    </row>
    <row r="40" spans="1:10" x14ac:dyDescent="0.3">
      <c r="A40" s="92">
        <v>2700</v>
      </c>
      <c r="B40">
        <v>2700</v>
      </c>
      <c r="C40">
        <v>0</v>
      </c>
      <c r="D40">
        <v>0</v>
      </c>
      <c r="E40">
        <v>1</v>
      </c>
      <c r="F40">
        <v>0</v>
      </c>
      <c r="G40">
        <v>0</v>
      </c>
      <c r="H40">
        <v>0</v>
      </c>
      <c r="I40">
        <v>0</v>
      </c>
      <c r="J40" s="92">
        <v>1</v>
      </c>
    </row>
    <row r="41" spans="1:10" x14ac:dyDescent="0.3">
      <c r="A41" s="92">
        <v>2725</v>
      </c>
      <c r="B41">
        <v>2725</v>
      </c>
      <c r="C41">
        <v>0</v>
      </c>
      <c r="D41">
        <v>0</v>
      </c>
      <c r="E41">
        <v>100</v>
      </c>
      <c r="F41">
        <v>0</v>
      </c>
      <c r="G41">
        <v>0</v>
      </c>
      <c r="H41">
        <v>0</v>
      </c>
      <c r="I41">
        <v>0</v>
      </c>
      <c r="J41" s="92">
        <v>100</v>
      </c>
    </row>
    <row r="42" spans="1:10" x14ac:dyDescent="0.3">
      <c r="A42" s="92">
        <v>2750</v>
      </c>
      <c r="B42">
        <v>2750</v>
      </c>
      <c r="C42">
        <v>0</v>
      </c>
      <c r="D42">
        <v>0</v>
      </c>
      <c r="E42">
        <v>0</v>
      </c>
      <c r="F42">
        <v>0</v>
      </c>
      <c r="G42">
        <v>0</v>
      </c>
      <c r="H42">
        <v>0</v>
      </c>
      <c r="I42">
        <v>0</v>
      </c>
      <c r="J42" s="92">
        <v>0</v>
      </c>
    </row>
    <row r="43" spans="1:10" x14ac:dyDescent="0.3">
      <c r="A43" s="92">
        <v>2775</v>
      </c>
      <c r="B43">
        <v>2775</v>
      </c>
      <c r="C43">
        <v>0</v>
      </c>
      <c r="D43">
        <v>0</v>
      </c>
      <c r="E43">
        <v>0</v>
      </c>
      <c r="F43">
        <v>0</v>
      </c>
      <c r="G43">
        <v>0</v>
      </c>
      <c r="H43">
        <v>0</v>
      </c>
      <c r="I43">
        <v>0</v>
      </c>
      <c r="J43" s="92">
        <v>0</v>
      </c>
    </row>
    <row r="44" spans="1:10" x14ac:dyDescent="0.3">
      <c r="A44" s="92">
        <v>2800</v>
      </c>
      <c r="B44">
        <v>2800</v>
      </c>
      <c r="C44">
        <v>0</v>
      </c>
      <c r="D44">
        <v>0</v>
      </c>
      <c r="E44">
        <v>30</v>
      </c>
      <c r="F44">
        <v>0</v>
      </c>
      <c r="G44">
        <v>0</v>
      </c>
      <c r="H44">
        <v>0</v>
      </c>
      <c r="I44">
        <v>0</v>
      </c>
      <c r="J44" s="92">
        <v>30</v>
      </c>
    </row>
    <row r="45" spans="1:10" x14ac:dyDescent="0.3">
      <c r="A45" s="92">
        <v>2825</v>
      </c>
      <c r="B45">
        <v>2825</v>
      </c>
      <c r="C45">
        <v>0</v>
      </c>
      <c r="D45">
        <v>0</v>
      </c>
      <c r="E45">
        <v>30</v>
      </c>
      <c r="F45">
        <v>0</v>
      </c>
      <c r="G45">
        <v>0</v>
      </c>
      <c r="H45">
        <v>0</v>
      </c>
      <c r="I45">
        <v>0</v>
      </c>
      <c r="J45" s="92">
        <v>30</v>
      </c>
    </row>
    <row r="46" spans="1:10" x14ac:dyDescent="0.3">
      <c r="A46" s="92">
        <v>2850</v>
      </c>
      <c r="B46">
        <v>2850</v>
      </c>
      <c r="C46">
        <v>0</v>
      </c>
      <c r="D46">
        <v>0</v>
      </c>
      <c r="E46">
        <v>160</v>
      </c>
      <c r="F46">
        <v>0</v>
      </c>
      <c r="G46">
        <v>0</v>
      </c>
      <c r="H46">
        <v>0</v>
      </c>
      <c r="I46">
        <v>0</v>
      </c>
      <c r="J46" s="92">
        <v>160</v>
      </c>
    </row>
    <row r="47" spans="1:10" x14ac:dyDescent="0.3">
      <c r="A47" s="92">
        <v>2875</v>
      </c>
      <c r="B47">
        <v>2875</v>
      </c>
      <c r="C47">
        <v>0</v>
      </c>
      <c r="D47">
        <v>0</v>
      </c>
      <c r="E47">
        <v>130</v>
      </c>
      <c r="F47">
        <v>0</v>
      </c>
      <c r="G47">
        <v>0</v>
      </c>
      <c r="H47">
        <v>0</v>
      </c>
      <c r="I47">
        <v>0</v>
      </c>
      <c r="J47" s="92">
        <v>130</v>
      </c>
    </row>
    <row r="48" spans="1:10" x14ac:dyDescent="0.3">
      <c r="A48" s="92">
        <v>2900</v>
      </c>
      <c r="B48">
        <v>2900</v>
      </c>
      <c r="C48">
        <v>0</v>
      </c>
      <c r="D48">
        <v>0</v>
      </c>
      <c r="E48">
        <v>0</v>
      </c>
      <c r="F48">
        <v>0</v>
      </c>
      <c r="G48">
        <v>0</v>
      </c>
      <c r="H48">
        <v>0</v>
      </c>
      <c r="I48">
        <v>0</v>
      </c>
      <c r="J48" s="92">
        <v>0</v>
      </c>
    </row>
    <row r="49" spans="1:10" x14ac:dyDescent="0.3">
      <c r="A49" s="92">
        <v>2925</v>
      </c>
      <c r="B49">
        <v>2925</v>
      </c>
      <c r="C49">
        <v>0</v>
      </c>
      <c r="D49">
        <v>0</v>
      </c>
      <c r="E49">
        <v>0</v>
      </c>
      <c r="F49">
        <v>0</v>
      </c>
      <c r="G49">
        <v>0</v>
      </c>
      <c r="H49">
        <v>0</v>
      </c>
      <c r="I49">
        <v>0</v>
      </c>
      <c r="J49" s="92">
        <v>0</v>
      </c>
    </row>
    <row r="50" spans="1:10" x14ac:dyDescent="0.3">
      <c r="A50" s="92">
        <v>2950</v>
      </c>
      <c r="B50">
        <v>2950</v>
      </c>
      <c r="C50">
        <v>0</v>
      </c>
      <c r="D50">
        <v>0</v>
      </c>
      <c r="E50">
        <v>30</v>
      </c>
      <c r="F50">
        <v>0</v>
      </c>
      <c r="G50">
        <v>0</v>
      </c>
      <c r="H50">
        <v>0</v>
      </c>
      <c r="I50">
        <v>0</v>
      </c>
      <c r="J50" s="92">
        <v>30</v>
      </c>
    </row>
    <row r="51" spans="1:10" x14ac:dyDescent="0.3">
      <c r="A51" s="92">
        <v>2975</v>
      </c>
      <c r="B51">
        <v>2975</v>
      </c>
      <c r="C51">
        <v>0</v>
      </c>
      <c r="D51">
        <v>0</v>
      </c>
      <c r="E51">
        <v>0</v>
      </c>
      <c r="F51">
        <v>0</v>
      </c>
      <c r="G51">
        <v>0</v>
      </c>
      <c r="H51">
        <v>0</v>
      </c>
      <c r="I51">
        <v>0</v>
      </c>
      <c r="J51" s="92">
        <v>0</v>
      </c>
    </row>
    <row r="52" spans="1:10" x14ac:dyDescent="0.3">
      <c r="A52" s="92">
        <v>3000</v>
      </c>
      <c r="B52">
        <v>3000</v>
      </c>
      <c r="C52">
        <v>0</v>
      </c>
      <c r="D52">
        <v>0</v>
      </c>
      <c r="E52">
        <v>8</v>
      </c>
      <c r="F52">
        <v>0</v>
      </c>
      <c r="G52">
        <v>0</v>
      </c>
      <c r="H52">
        <v>0</v>
      </c>
      <c r="I52">
        <v>0</v>
      </c>
      <c r="J52" s="92">
        <v>8</v>
      </c>
    </row>
    <row r="53" spans="1:10" x14ac:dyDescent="0.3">
      <c r="A53" s="92">
        <v>3025</v>
      </c>
      <c r="B53">
        <v>3025</v>
      </c>
      <c r="C53">
        <v>0</v>
      </c>
      <c r="D53">
        <v>0</v>
      </c>
      <c r="E53">
        <v>0</v>
      </c>
      <c r="F53">
        <v>0</v>
      </c>
      <c r="G53">
        <v>0</v>
      </c>
      <c r="H53">
        <v>0</v>
      </c>
      <c r="I53">
        <v>0</v>
      </c>
      <c r="J53" s="92">
        <v>0</v>
      </c>
    </row>
    <row r="54" spans="1:10" x14ac:dyDescent="0.3">
      <c r="A54" s="92">
        <v>3050</v>
      </c>
      <c r="B54">
        <v>3050</v>
      </c>
      <c r="C54">
        <v>0</v>
      </c>
      <c r="D54">
        <v>0</v>
      </c>
      <c r="E54">
        <v>0</v>
      </c>
      <c r="F54">
        <v>0</v>
      </c>
      <c r="G54">
        <v>0</v>
      </c>
      <c r="H54">
        <v>0</v>
      </c>
      <c r="I54">
        <v>0</v>
      </c>
      <c r="J54" s="92">
        <v>0</v>
      </c>
    </row>
    <row r="55" spans="1:10" x14ac:dyDescent="0.3">
      <c r="A55" s="92">
        <v>3075</v>
      </c>
      <c r="B55">
        <v>3075</v>
      </c>
      <c r="C55">
        <v>0</v>
      </c>
      <c r="D55">
        <v>0</v>
      </c>
      <c r="E55">
        <v>0</v>
      </c>
      <c r="F55">
        <v>0</v>
      </c>
      <c r="G55">
        <v>0</v>
      </c>
      <c r="H55">
        <v>0</v>
      </c>
      <c r="I55">
        <v>0</v>
      </c>
      <c r="J55" s="92">
        <v>0</v>
      </c>
    </row>
    <row r="56" spans="1:10" x14ac:dyDescent="0.3">
      <c r="A56" s="92">
        <v>3100</v>
      </c>
      <c r="B56">
        <v>3100</v>
      </c>
      <c r="C56">
        <v>0</v>
      </c>
      <c r="D56">
        <v>0</v>
      </c>
      <c r="E56">
        <v>137</v>
      </c>
      <c r="F56">
        <v>0</v>
      </c>
      <c r="G56">
        <v>0</v>
      </c>
      <c r="H56">
        <v>0</v>
      </c>
      <c r="I56">
        <v>0</v>
      </c>
      <c r="J56" s="92">
        <v>137</v>
      </c>
    </row>
    <row r="57" spans="1:10" x14ac:dyDescent="0.3">
      <c r="A57" s="92">
        <v>3125</v>
      </c>
      <c r="B57">
        <v>3125</v>
      </c>
      <c r="C57">
        <v>0</v>
      </c>
      <c r="D57">
        <v>0</v>
      </c>
      <c r="E57">
        <v>30</v>
      </c>
      <c r="F57">
        <v>0</v>
      </c>
      <c r="G57">
        <v>0</v>
      </c>
      <c r="H57">
        <v>0</v>
      </c>
      <c r="I57">
        <v>0</v>
      </c>
      <c r="J57" s="92">
        <v>30</v>
      </c>
    </row>
    <row r="58" spans="1:10" x14ac:dyDescent="0.3">
      <c r="A58" s="92">
        <v>3150</v>
      </c>
      <c r="B58">
        <v>3150</v>
      </c>
      <c r="C58">
        <v>0</v>
      </c>
      <c r="D58">
        <v>0</v>
      </c>
      <c r="E58">
        <v>650</v>
      </c>
      <c r="F58">
        <v>0</v>
      </c>
      <c r="G58">
        <v>0</v>
      </c>
      <c r="H58">
        <v>0</v>
      </c>
      <c r="I58">
        <v>0</v>
      </c>
      <c r="J58" s="92">
        <v>650</v>
      </c>
    </row>
    <row r="59" spans="1:10" x14ac:dyDescent="0.3">
      <c r="A59" s="92">
        <v>3175</v>
      </c>
      <c r="B59">
        <v>3175</v>
      </c>
      <c r="C59">
        <v>0</v>
      </c>
      <c r="D59">
        <v>0</v>
      </c>
      <c r="E59">
        <v>0</v>
      </c>
      <c r="F59">
        <v>0</v>
      </c>
      <c r="G59">
        <v>0</v>
      </c>
      <c r="H59">
        <v>0</v>
      </c>
      <c r="I59">
        <v>0</v>
      </c>
      <c r="J59" s="92">
        <v>0</v>
      </c>
    </row>
    <row r="60" spans="1:10" x14ac:dyDescent="0.3">
      <c r="A60" s="92">
        <v>3200</v>
      </c>
      <c r="B60">
        <v>3200</v>
      </c>
      <c r="C60">
        <v>0</v>
      </c>
      <c r="D60">
        <v>0</v>
      </c>
      <c r="E60">
        <v>3</v>
      </c>
      <c r="F60">
        <v>0</v>
      </c>
      <c r="G60">
        <v>0</v>
      </c>
      <c r="H60">
        <v>0</v>
      </c>
      <c r="I60">
        <v>0</v>
      </c>
      <c r="J60" s="92">
        <v>3</v>
      </c>
    </row>
    <row r="61" spans="1:10" x14ac:dyDescent="0.3">
      <c r="A61" s="92">
        <v>3225</v>
      </c>
      <c r="B61">
        <v>3225</v>
      </c>
      <c r="C61">
        <v>0</v>
      </c>
      <c r="D61">
        <v>0</v>
      </c>
      <c r="E61">
        <v>0</v>
      </c>
      <c r="F61">
        <v>0</v>
      </c>
      <c r="G61">
        <v>0</v>
      </c>
      <c r="H61">
        <v>0</v>
      </c>
      <c r="I61">
        <v>0</v>
      </c>
      <c r="J61" s="92">
        <v>0</v>
      </c>
    </row>
    <row r="62" spans="1:10" x14ac:dyDescent="0.3">
      <c r="A62" s="92">
        <v>3250</v>
      </c>
      <c r="B62">
        <v>3250</v>
      </c>
      <c r="C62">
        <v>0</v>
      </c>
      <c r="D62">
        <v>0</v>
      </c>
      <c r="E62">
        <v>0</v>
      </c>
      <c r="F62">
        <v>0</v>
      </c>
      <c r="G62">
        <v>0</v>
      </c>
      <c r="H62">
        <v>0</v>
      </c>
      <c r="I62">
        <v>0</v>
      </c>
      <c r="J62" s="92">
        <v>0</v>
      </c>
    </row>
    <row r="63" spans="1:10" x14ac:dyDescent="0.3">
      <c r="A63" s="92">
        <v>3275</v>
      </c>
      <c r="B63">
        <v>3275</v>
      </c>
      <c r="C63">
        <v>0</v>
      </c>
      <c r="D63">
        <v>0</v>
      </c>
      <c r="E63">
        <v>0</v>
      </c>
      <c r="F63">
        <v>0</v>
      </c>
      <c r="G63">
        <v>0</v>
      </c>
      <c r="H63">
        <v>0</v>
      </c>
      <c r="I63">
        <v>0</v>
      </c>
      <c r="J63" s="92">
        <v>0</v>
      </c>
    </row>
    <row r="64" spans="1:10" x14ac:dyDescent="0.3">
      <c r="A64" s="92">
        <v>3300</v>
      </c>
      <c r="B64">
        <v>3300</v>
      </c>
      <c r="C64">
        <v>0</v>
      </c>
      <c r="D64">
        <v>0</v>
      </c>
      <c r="E64">
        <v>1</v>
      </c>
      <c r="F64">
        <v>0</v>
      </c>
      <c r="G64">
        <v>0</v>
      </c>
      <c r="H64">
        <v>0</v>
      </c>
      <c r="I64">
        <v>0</v>
      </c>
      <c r="J64" s="92">
        <v>1</v>
      </c>
    </row>
    <row r="65" spans="1:10" x14ac:dyDescent="0.3">
      <c r="A65" s="92">
        <v>3325</v>
      </c>
      <c r="B65">
        <v>3325</v>
      </c>
      <c r="C65">
        <v>0</v>
      </c>
      <c r="D65">
        <v>0</v>
      </c>
      <c r="E65">
        <v>0</v>
      </c>
      <c r="F65">
        <v>0</v>
      </c>
      <c r="G65">
        <v>0</v>
      </c>
      <c r="H65">
        <v>0</v>
      </c>
      <c r="I65">
        <v>0</v>
      </c>
      <c r="J65" s="92">
        <v>0</v>
      </c>
    </row>
    <row r="66" spans="1:10" x14ac:dyDescent="0.3">
      <c r="A66" s="92">
        <v>3350</v>
      </c>
      <c r="B66">
        <v>3350</v>
      </c>
      <c r="C66">
        <v>0</v>
      </c>
      <c r="D66">
        <v>0</v>
      </c>
      <c r="E66">
        <v>17</v>
      </c>
      <c r="F66">
        <v>0</v>
      </c>
      <c r="G66">
        <v>0</v>
      </c>
      <c r="H66">
        <v>0</v>
      </c>
      <c r="I66">
        <v>0</v>
      </c>
      <c r="J66" s="92">
        <v>17</v>
      </c>
    </row>
    <row r="67" spans="1:10" x14ac:dyDescent="0.3">
      <c r="A67" s="92">
        <v>3375</v>
      </c>
      <c r="B67">
        <v>3375</v>
      </c>
      <c r="C67">
        <v>0</v>
      </c>
      <c r="D67">
        <v>0</v>
      </c>
      <c r="E67">
        <v>0</v>
      </c>
      <c r="F67">
        <v>0</v>
      </c>
      <c r="G67">
        <v>0</v>
      </c>
      <c r="H67">
        <v>0</v>
      </c>
      <c r="I67">
        <v>0</v>
      </c>
      <c r="J67" s="92">
        <v>0</v>
      </c>
    </row>
    <row r="68" spans="1:10" x14ac:dyDescent="0.3">
      <c r="A68" s="92">
        <v>3400</v>
      </c>
      <c r="B68">
        <v>3400</v>
      </c>
      <c r="C68">
        <v>0</v>
      </c>
      <c r="D68">
        <v>0</v>
      </c>
      <c r="E68">
        <v>1</v>
      </c>
      <c r="F68">
        <v>0</v>
      </c>
      <c r="G68">
        <v>0</v>
      </c>
      <c r="H68">
        <v>0</v>
      </c>
      <c r="I68">
        <v>0</v>
      </c>
      <c r="J68" s="92">
        <v>1</v>
      </c>
    </row>
    <row r="69" spans="1:10" x14ac:dyDescent="0.3">
      <c r="A69" s="92">
        <v>3425</v>
      </c>
      <c r="B69">
        <v>3425</v>
      </c>
      <c r="C69">
        <v>0</v>
      </c>
      <c r="D69">
        <v>0</v>
      </c>
      <c r="E69">
        <v>0</v>
      </c>
      <c r="F69">
        <v>0</v>
      </c>
      <c r="G69">
        <v>0</v>
      </c>
      <c r="H69">
        <v>0</v>
      </c>
      <c r="I69">
        <v>0</v>
      </c>
      <c r="J69" s="92">
        <v>0</v>
      </c>
    </row>
    <row r="70" spans="1:10" x14ac:dyDescent="0.3">
      <c r="A70" s="92">
        <v>3450</v>
      </c>
      <c r="B70">
        <v>3450</v>
      </c>
      <c r="C70">
        <v>0</v>
      </c>
      <c r="D70">
        <v>0</v>
      </c>
      <c r="E70">
        <v>1</v>
      </c>
      <c r="F70">
        <v>0</v>
      </c>
      <c r="G70">
        <v>0</v>
      </c>
      <c r="H70">
        <v>0</v>
      </c>
      <c r="I70">
        <v>0</v>
      </c>
      <c r="J70" s="92">
        <v>1</v>
      </c>
    </row>
    <row r="71" spans="1:10" x14ac:dyDescent="0.3">
      <c r="A71" s="92">
        <v>3475</v>
      </c>
      <c r="B71">
        <v>3475</v>
      </c>
      <c r="C71">
        <v>0</v>
      </c>
      <c r="D71">
        <v>0</v>
      </c>
      <c r="E71">
        <v>0</v>
      </c>
      <c r="F71">
        <v>0</v>
      </c>
      <c r="G71">
        <v>0</v>
      </c>
      <c r="H71">
        <v>0</v>
      </c>
      <c r="I71">
        <v>0</v>
      </c>
      <c r="J71" s="92">
        <v>0</v>
      </c>
    </row>
    <row r="72" spans="1:10" x14ac:dyDescent="0.3">
      <c r="A72" s="92">
        <v>3500</v>
      </c>
      <c r="B72">
        <v>3500</v>
      </c>
      <c r="C72">
        <v>0</v>
      </c>
      <c r="D72">
        <v>0</v>
      </c>
      <c r="E72">
        <v>4</v>
      </c>
      <c r="F72">
        <v>0</v>
      </c>
      <c r="G72">
        <v>0</v>
      </c>
      <c r="H72">
        <v>0</v>
      </c>
      <c r="I72">
        <v>0</v>
      </c>
      <c r="J72" s="92">
        <v>4</v>
      </c>
    </row>
    <row r="73" spans="1:10" x14ac:dyDescent="0.3">
      <c r="A73" s="92">
        <v>3525</v>
      </c>
      <c r="B73">
        <v>3525</v>
      </c>
      <c r="C73">
        <v>0</v>
      </c>
      <c r="D73">
        <v>0</v>
      </c>
      <c r="E73">
        <v>0</v>
      </c>
      <c r="F73">
        <v>0</v>
      </c>
      <c r="G73">
        <v>0</v>
      </c>
      <c r="H73">
        <v>0</v>
      </c>
      <c r="I73">
        <v>0</v>
      </c>
      <c r="J73" s="92">
        <v>0</v>
      </c>
    </row>
    <row r="74" spans="1:10" x14ac:dyDescent="0.3">
      <c r="A74" s="92">
        <v>3550</v>
      </c>
      <c r="B74">
        <v>3550</v>
      </c>
      <c r="C74">
        <v>0</v>
      </c>
      <c r="D74">
        <v>0</v>
      </c>
      <c r="E74">
        <v>2</v>
      </c>
      <c r="F74">
        <v>0</v>
      </c>
      <c r="G74">
        <v>0</v>
      </c>
      <c r="H74">
        <v>0</v>
      </c>
      <c r="I74">
        <v>0</v>
      </c>
      <c r="J74" s="92">
        <v>2</v>
      </c>
    </row>
    <row r="75" spans="1:10" x14ac:dyDescent="0.3">
      <c r="A75" s="92">
        <v>3575</v>
      </c>
      <c r="B75">
        <v>3575</v>
      </c>
      <c r="C75">
        <v>0</v>
      </c>
      <c r="D75">
        <v>0</v>
      </c>
      <c r="E75">
        <v>2</v>
      </c>
      <c r="F75">
        <v>0</v>
      </c>
      <c r="G75">
        <v>0</v>
      </c>
      <c r="H75">
        <v>0</v>
      </c>
      <c r="I75">
        <v>0</v>
      </c>
      <c r="J75" s="92">
        <v>2</v>
      </c>
    </row>
    <row r="76" spans="1:10" x14ac:dyDescent="0.3">
      <c r="A76" s="92">
        <v>3600</v>
      </c>
      <c r="B76">
        <v>3600</v>
      </c>
      <c r="C76">
        <v>0</v>
      </c>
      <c r="D76">
        <v>0</v>
      </c>
      <c r="E76">
        <v>6</v>
      </c>
      <c r="F76">
        <v>0</v>
      </c>
      <c r="G76">
        <v>0</v>
      </c>
      <c r="H76">
        <v>0</v>
      </c>
      <c r="I76">
        <v>0</v>
      </c>
      <c r="J76" s="92">
        <v>6</v>
      </c>
    </row>
    <row r="77" spans="1:10" x14ac:dyDescent="0.3">
      <c r="A77" s="92">
        <v>3625</v>
      </c>
      <c r="B77">
        <v>3625</v>
      </c>
      <c r="C77">
        <v>0</v>
      </c>
      <c r="D77">
        <v>0</v>
      </c>
      <c r="E77">
        <v>4</v>
      </c>
      <c r="F77">
        <v>0</v>
      </c>
      <c r="G77">
        <v>0</v>
      </c>
      <c r="H77">
        <v>0</v>
      </c>
      <c r="I77">
        <v>0</v>
      </c>
      <c r="J77" s="92">
        <v>4</v>
      </c>
    </row>
    <row r="78" spans="1:10" x14ac:dyDescent="0.3">
      <c r="A78" s="92">
        <v>3650</v>
      </c>
      <c r="B78">
        <v>3650</v>
      </c>
      <c r="C78">
        <v>0</v>
      </c>
      <c r="D78">
        <v>0</v>
      </c>
      <c r="E78">
        <v>0</v>
      </c>
      <c r="F78">
        <v>0</v>
      </c>
      <c r="G78">
        <v>0</v>
      </c>
      <c r="H78">
        <v>0</v>
      </c>
      <c r="I78">
        <v>0</v>
      </c>
      <c r="J78" s="92">
        <v>0</v>
      </c>
    </row>
    <row r="79" spans="1:10" x14ac:dyDescent="0.3">
      <c r="A79" s="92">
        <v>3675</v>
      </c>
      <c r="B79">
        <v>3675</v>
      </c>
      <c r="C79">
        <v>0</v>
      </c>
      <c r="D79">
        <v>0</v>
      </c>
      <c r="E79">
        <v>1</v>
      </c>
      <c r="F79">
        <v>0</v>
      </c>
      <c r="G79">
        <v>0</v>
      </c>
      <c r="H79">
        <v>0</v>
      </c>
      <c r="I79">
        <v>0</v>
      </c>
      <c r="J79" s="92">
        <v>1</v>
      </c>
    </row>
    <row r="80" spans="1:10" x14ac:dyDescent="0.3">
      <c r="A80" s="92">
        <v>3700</v>
      </c>
      <c r="B80">
        <v>3700</v>
      </c>
      <c r="C80">
        <v>0</v>
      </c>
      <c r="D80">
        <v>0</v>
      </c>
      <c r="E80">
        <v>565</v>
      </c>
      <c r="F80">
        <v>0</v>
      </c>
      <c r="G80">
        <v>0</v>
      </c>
      <c r="H80">
        <v>0</v>
      </c>
      <c r="I80">
        <v>0</v>
      </c>
      <c r="J80" s="92">
        <v>565</v>
      </c>
    </row>
    <row r="81" spans="1:10" x14ac:dyDescent="0.3">
      <c r="A81" s="92">
        <v>3725</v>
      </c>
      <c r="B81">
        <v>3725</v>
      </c>
      <c r="C81">
        <v>0</v>
      </c>
      <c r="D81">
        <v>0</v>
      </c>
      <c r="E81">
        <v>4</v>
      </c>
      <c r="F81">
        <v>0</v>
      </c>
      <c r="G81">
        <v>0</v>
      </c>
      <c r="H81">
        <v>0</v>
      </c>
      <c r="I81">
        <v>0</v>
      </c>
      <c r="J81" s="92">
        <v>4</v>
      </c>
    </row>
    <row r="82" spans="1:10" x14ac:dyDescent="0.3">
      <c r="A82" s="92">
        <v>3750</v>
      </c>
      <c r="B82">
        <v>3750</v>
      </c>
      <c r="C82">
        <v>0</v>
      </c>
      <c r="D82">
        <v>1</v>
      </c>
      <c r="E82">
        <v>23</v>
      </c>
      <c r="F82">
        <v>390.5</v>
      </c>
      <c r="G82">
        <v>390.5</v>
      </c>
      <c r="H82">
        <v>390.5</v>
      </c>
      <c r="I82">
        <v>390.5</v>
      </c>
      <c r="J82" s="92">
        <v>23</v>
      </c>
    </row>
    <row r="83" spans="1:10" x14ac:dyDescent="0.3">
      <c r="A83" s="92">
        <v>3775</v>
      </c>
      <c r="B83">
        <v>3775</v>
      </c>
      <c r="C83">
        <v>0</v>
      </c>
      <c r="D83">
        <v>0</v>
      </c>
      <c r="E83">
        <v>50</v>
      </c>
      <c r="F83">
        <v>0</v>
      </c>
      <c r="G83">
        <v>0</v>
      </c>
      <c r="H83">
        <v>0</v>
      </c>
      <c r="I83">
        <v>0</v>
      </c>
      <c r="J83" s="92">
        <v>50</v>
      </c>
    </row>
    <row r="84" spans="1:10" x14ac:dyDescent="0.3">
      <c r="A84" s="92">
        <v>3800</v>
      </c>
      <c r="B84">
        <v>3800</v>
      </c>
      <c r="C84">
        <v>0</v>
      </c>
      <c r="D84">
        <v>0</v>
      </c>
      <c r="E84">
        <v>1233</v>
      </c>
      <c r="F84">
        <v>0</v>
      </c>
      <c r="G84">
        <v>0</v>
      </c>
      <c r="H84">
        <v>0</v>
      </c>
      <c r="I84">
        <v>0</v>
      </c>
      <c r="J84" s="92">
        <v>1233</v>
      </c>
    </row>
    <row r="85" spans="1:10" x14ac:dyDescent="0.3">
      <c r="A85" s="92">
        <v>3825</v>
      </c>
      <c r="B85">
        <v>3825</v>
      </c>
      <c r="C85">
        <v>0</v>
      </c>
      <c r="D85">
        <v>0</v>
      </c>
      <c r="E85">
        <v>50</v>
      </c>
      <c r="F85">
        <v>0</v>
      </c>
      <c r="G85">
        <v>0</v>
      </c>
      <c r="H85">
        <v>0</v>
      </c>
      <c r="I85">
        <v>0</v>
      </c>
      <c r="J85" s="92">
        <v>50</v>
      </c>
    </row>
    <row r="86" spans="1:10" x14ac:dyDescent="0.3">
      <c r="A86" s="92">
        <v>3850</v>
      </c>
      <c r="B86">
        <v>3850</v>
      </c>
      <c r="C86">
        <v>0</v>
      </c>
      <c r="D86">
        <v>0</v>
      </c>
      <c r="E86">
        <v>17</v>
      </c>
      <c r="F86">
        <v>0</v>
      </c>
      <c r="G86">
        <v>0</v>
      </c>
      <c r="H86">
        <v>0</v>
      </c>
      <c r="I86">
        <v>0</v>
      </c>
      <c r="J86" s="92">
        <v>17</v>
      </c>
    </row>
    <row r="87" spans="1:10" x14ac:dyDescent="0.3">
      <c r="A87" s="92">
        <v>3875</v>
      </c>
      <c r="B87">
        <v>3875</v>
      </c>
      <c r="C87">
        <v>0</v>
      </c>
      <c r="D87">
        <v>0</v>
      </c>
      <c r="E87">
        <v>1</v>
      </c>
      <c r="F87">
        <v>0</v>
      </c>
      <c r="G87">
        <v>0</v>
      </c>
      <c r="H87">
        <v>0</v>
      </c>
      <c r="I87">
        <v>0</v>
      </c>
      <c r="J87" s="92">
        <v>1</v>
      </c>
    </row>
    <row r="88" spans="1:10" x14ac:dyDescent="0.3">
      <c r="A88" s="92">
        <v>3900</v>
      </c>
      <c r="B88">
        <v>3900</v>
      </c>
      <c r="C88">
        <v>0</v>
      </c>
      <c r="D88">
        <v>2</v>
      </c>
      <c r="E88">
        <v>5077</v>
      </c>
      <c r="F88">
        <v>250</v>
      </c>
      <c r="G88">
        <v>250</v>
      </c>
      <c r="H88">
        <v>250</v>
      </c>
      <c r="I88">
        <v>250</v>
      </c>
      <c r="J88" s="92">
        <v>5077</v>
      </c>
    </row>
    <row r="89" spans="1:10" x14ac:dyDescent="0.3">
      <c r="A89" s="92">
        <v>3925</v>
      </c>
      <c r="B89">
        <v>3925</v>
      </c>
      <c r="C89">
        <v>0</v>
      </c>
      <c r="D89">
        <v>6</v>
      </c>
      <c r="E89">
        <v>133</v>
      </c>
      <c r="F89">
        <v>0</v>
      </c>
      <c r="G89">
        <v>0</v>
      </c>
      <c r="H89">
        <v>0</v>
      </c>
      <c r="I89">
        <v>0</v>
      </c>
      <c r="J89" s="92">
        <v>133</v>
      </c>
    </row>
    <row r="90" spans="1:10" x14ac:dyDescent="0.3">
      <c r="A90" s="92">
        <v>3950</v>
      </c>
      <c r="B90">
        <v>3950</v>
      </c>
      <c r="C90">
        <v>0</v>
      </c>
      <c r="D90">
        <v>4</v>
      </c>
      <c r="E90">
        <v>13</v>
      </c>
      <c r="F90">
        <v>201.1</v>
      </c>
      <c r="G90">
        <v>203</v>
      </c>
      <c r="H90">
        <v>201.1</v>
      </c>
      <c r="I90">
        <v>203</v>
      </c>
      <c r="J90" s="92">
        <v>13</v>
      </c>
    </row>
    <row r="91" spans="1:10" x14ac:dyDescent="0.3">
      <c r="A91" s="92">
        <v>3975</v>
      </c>
      <c r="B91">
        <v>3975</v>
      </c>
      <c r="C91">
        <v>0</v>
      </c>
      <c r="D91">
        <v>0</v>
      </c>
      <c r="E91">
        <v>13</v>
      </c>
      <c r="F91">
        <v>0</v>
      </c>
      <c r="G91">
        <v>0</v>
      </c>
      <c r="H91">
        <v>0</v>
      </c>
      <c r="I91">
        <v>0</v>
      </c>
      <c r="J91" s="92">
        <v>13</v>
      </c>
    </row>
    <row r="92" spans="1:10" x14ac:dyDescent="0.3">
      <c r="A92" s="92">
        <v>4000</v>
      </c>
      <c r="B92">
        <v>4000</v>
      </c>
      <c r="C92">
        <v>0</v>
      </c>
      <c r="D92">
        <v>8</v>
      </c>
      <c r="E92">
        <v>6167</v>
      </c>
      <c r="F92">
        <v>155.5</v>
      </c>
      <c r="G92">
        <v>155.5</v>
      </c>
      <c r="H92">
        <v>155</v>
      </c>
      <c r="I92">
        <v>155</v>
      </c>
      <c r="J92" s="92">
        <v>6167</v>
      </c>
    </row>
    <row r="93" spans="1:10" x14ac:dyDescent="0.3">
      <c r="A93" s="92">
        <v>4025</v>
      </c>
      <c r="B93">
        <v>4025</v>
      </c>
      <c r="C93">
        <v>0</v>
      </c>
      <c r="D93">
        <v>0</v>
      </c>
      <c r="E93">
        <v>1465</v>
      </c>
      <c r="F93">
        <v>0</v>
      </c>
      <c r="G93">
        <v>0</v>
      </c>
      <c r="H93">
        <v>0</v>
      </c>
      <c r="I93">
        <v>0</v>
      </c>
      <c r="J93" s="92">
        <v>1465</v>
      </c>
    </row>
    <row r="94" spans="1:10" x14ac:dyDescent="0.3">
      <c r="A94" s="92">
        <v>4050</v>
      </c>
      <c r="B94">
        <v>4050</v>
      </c>
      <c r="C94">
        <v>0</v>
      </c>
      <c r="D94">
        <v>3</v>
      </c>
      <c r="E94">
        <v>1892</v>
      </c>
      <c r="F94">
        <v>97.1</v>
      </c>
      <c r="G94">
        <v>98.5</v>
      </c>
      <c r="H94">
        <v>92.7</v>
      </c>
      <c r="I94">
        <v>92.7</v>
      </c>
      <c r="J94" s="92">
        <v>1892</v>
      </c>
    </row>
    <row r="95" spans="1:10" x14ac:dyDescent="0.3">
      <c r="A95" s="92">
        <v>4075</v>
      </c>
      <c r="B95">
        <v>4075</v>
      </c>
      <c r="C95">
        <v>0</v>
      </c>
      <c r="D95">
        <v>0</v>
      </c>
      <c r="E95">
        <v>2054</v>
      </c>
      <c r="F95">
        <v>0</v>
      </c>
      <c r="G95">
        <v>0</v>
      </c>
      <c r="H95">
        <v>0</v>
      </c>
      <c r="I95">
        <v>0</v>
      </c>
      <c r="J95" s="92">
        <v>2054</v>
      </c>
    </row>
    <row r="96" spans="1:10" x14ac:dyDescent="0.3">
      <c r="A96" s="92">
        <v>4100</v>
      </c>
      <c r="B96">
        <v>4100</v>
      </c>
      <c r="C96">
        <v>0</v>
      </c>
      <c r="D96">
        <v>2106</v>
      </c>
      <c r="E96">
        <v>26342</v>
      </c>
      <c r="F96">
        <v>55</v>
      </c>
      <c r="G96">
        <v>70</v>
      </c>
      <c r="H96">
        <v>55</v>
      </c>
      <c r="I96">
        <v>70</v>
      </c>
      <c r="J96" s="92">
        <v>26342</v>
      </c>
    </row>
    <row r="97" spans="1:10" x14ac:dyDescent="0.3">
      <c r="A97" s="92">
        <v>4125</v>
      </c>
      <c r="B97">
        <v>4125</v>
      </c>
      <c r="C97">
        <v>0</v>
      </c>
      <c r="D97">
        <v>3552</v>
      </c>
      <c r="E97">
        <v>12486</v>
      </c>
      <c r="F97">
        <v>49.3</v>
      </c>
      <c r="G97">
        <v>58.3</v>
      </c>
      <c r="H97">
        <v>34</v>
      </c>
      <c r="I97">
        <v>53</v>
      </c>
      <c r="J97" s="92">
        <v>12486</v>
      </c>
    </row>
    <row r="98" spans="1:10" x14ac:dyDescent="0.3">
      <c r="A98" s="92">
        <v>4150</v>
      </c>
      <c r="B98">
        <v>4150</v>
      </c>
      <c r="C98">
        <v>0</v>
      </c>
      <c r="D98">
        <v>33568</v>
      </c>
      <c r="E98">
        <v>59812</v>
      </c>
      <c r="F98">
        <v>38.5</v>
      </c>
      <c r="G98">
        <v>42.3</v>
      </c>
      <c r="H98">
        <v>25.8</v>
      </c>
      <c r="I98">
        <v>35.6</v>
      </c>
      <c r="J98" s="92">
        <v>59812</v>
      </c>
    </row>
    <row r="99" spans="1:10" x14ac:dyDescent="0.3">
      <c r="A99" s="92">
        <v>4175</v>
      </c>
      <c r="B99">
        <v>4175</v>
      </c>
      <c r="C99">
        <v>0</v>
      </c>
      <c r="D99">
        <v>11924</v>
      </c>
      <c r="E99">
        <v>11719</v>
      </c>
      <c r="F99">
        <v>28.5</v>
      </c>
      <c r="G99">
        <v>29.7</v>
      </c>
      <c r="H99">
        <v>14.5</v>
      </c>
      <c r="I99">
        <v>23.3</v>
      </c>
      <c r="J99" s="92">
        <v>11719</v>
      </c>
    </row>
    <row r="100" spans="1:10" x14ac:dyDescent="0.3">
      <c r="A100" s="92">
        <v>4200</v>
      </c>
      <c r="B100">
        <v>4200</v>
      </c>
      <c r="C100">
        <v>0</v>
      </c>
      <c r="D100">
        <v>14534</v>
      </c>
      <c r="E100">
        <v>70130</v>
      </c>
      <c r="F100">
        <v>18.899999999999999</v>
      </c>
      <c r="G100">
        <v>20</v>
      </c>
      <c r="H100">
        <v>9.3000000000000007</v>
      </c>
      <c r="I100">
        <v>14.2</v>
      </c>
      <c r="J100" s="92">
        <v>70130</v>
      </c>
    </row>
    <row r="101" spans="1:10" x14ac:dyDescent="0.3">
      <c r="A101" s="92">
        <v>4225</v>
      </c>
      <c r="B101">
        <v>4225</v>
      </c>
      <c r="C101">
        <v>0</v>
      </c>
      <c r="D101">
        <v>5191</v>
      </c>
      <c r="E101">
        <v>20266</v>
      </c>
      <c r="F101">
        <v>10</v>
      </c>
      <c r="G101">
        <v>10.5</v>
      </c>
      <c r="H101">
        <v>5.2</v>
      </c>
      <c r="I101">
        <v>8.3000000000000007</v>
      </c>
      <c r="J101" s="92">
        <v>20266</v>
      </c>
    </row>
    <row r="102" spans="1:10" x14ac:dyDescent="0.3">
      <c r="A102" s="92">
        <v>4250</v>
      </c>
      <c r="B102">
        <v>4250</v>
      </c>
      <c r="C102">
        <v>0</v>
      </c>
      <c r="D102">
        <v>13763</v>
      </c>
      <c r="E102">
        <v>69196</v>
      </c>
      <c r="F102">
        <v>4.9000000000000004</v>
      </c>
      <c r="G102">
        <v>5.8</v>
      </c>
      <c r="H102">
        <v>3.1</v>
      </c>
      <c r="I102">
        <v>4.5</v>
      </c>
      <c r="J102" s="92">
        <v>69196</v>
      </c>
    </row>
    <row r="103" spans="1:10" x14ac:dyDescent="0.3">
      <c r="A103" s="92">
        <v>4275</v>
      </c>
      <c r="B103">
        <v>4275</v>
      </c>
      <c r="C103">
        <v>0</v>
      </c>
      <c r="D103">
        <v>5246</v>
      </c>
      <c r="E103">
        <v>27080</v>
      </c>
      <c r="F103">
        <v>3</v>
      </c>
      <c r="G103">
        <v>3</v>
      </c>
      <c r="H103">
        <v>1.9</v>
      </c>
      <c r="I103">
        <v>2.2999999999999998</v>
      </c>
      <c r="J103" s="92">
        <v>27080</v>
      </c>
    </row>
    <row r="104" spans="1:10" x14ac:dyDescent="0.3">
      <c r="A104" s="92">
        <v>4300</v>
      </c>
      <c r="B104">
        <v>4300</v>
      </c>
      <c r="C104">
        <v>0</v>
      </c>
      <c r="D104">
        <v>5928</v>
      </c>
      <c r="E104">
        <v>60404</v>
      </c>
      <c r="F104">
        <v>1.5</v>
      </c>
      <c r="G104">
        <v>1.7</v>
      </c>
      <c r="H104">
        <v>1.2</v>
      </c>
      <c r="I104">
        <v>1.3</v>
      </c>
      <c r="J104" s="92">
        <v>60404</v>
      </c>
    </row>
    <row r="105" spans="1:10" x14ac:dyDescent="0.3">
      <c r="A105" s="92">
        <v>4325</v>
      </c>
      <c r="B105">
        <v>4325</v>
      </c>
      <c r="C105">
        <v>0</v>
      </c>
      <c r="D105">
        <v>4640</v>
      </c>
      <c r="E105">
        <v>24229</v>
      </c>
      <c r="F105">
        <v>1</v>
      </c>
      <c r="G105">
        <v>1.1000000000000001</v>
      </c>
      <c r="H105">
        <v>0.7</v>
      </c>
      <c r="I105">
        <v>0.7</v>
      </c>
      <c r="J105" s="92">
        <v>24229</v>
      </c>
    </row>
    <row r="106" spans="1:10" x14ac:dyDescent="0.3">
      <c r="A106" s="92">
        <v>4350</v>
      </c>
      <c r="B106">
        <v>4350</v>
      </c>
      <c r="C106">
        <v>0</v>
      </c>
      <c r="D106">
        <v>2489</v>
      </c>
      <c r="E106">
        <v>69927</v>
      </c>
      <c r="F106">
        <v>0.8</v>
      </c>
      <c r="G106">
        <v>0.8</v>
      </c>
      <c r="H106">
        <v>0.5</v>
      </c>
      <c r="I106">
        <v>0.5</v>
      </c>
      <c r="J106" s="92">
        <v>69927</v>
      </c>
    </row>
    <row r="107" spans="1:10" x14ac:dyDescent="0.3">
      <c r="A107" s="92">
        <v>4375</v>
      </c>
      <c r="B107">
        <v>4375</v>
      </c>
      <c r="C107">
        <v>0</v>
      </c>
      <c r="D107">
        <v>1521</v>
      </c>
      <c r="E107">
        <v>39316</v>
      </c>
      <c r="F107">
        <v>0.4</v>
      </c>
      <c r="G107">
        <v>0.5</v>
      </c>
      <c r="H107">
        <v>0.3</v>
      </c>
      <c r="I107">
        <v>0.4</v>
      </c>
      <c r="J107" s="92">
        <v>39316</v>
      </c>
    </row>
    <row r="108" spans="1:10" x14ac:dyDescent="0.3">
      <c r="A108" s="92">
        <v>4400</v>
      </c>
      <c r="B108">
        <v>4400</v>
      </c>
      <c r="C108">
        <v>0</v>
      </c>
      <c r="D108">
        <v>1415</v>
      </c>
      <c r="E108">
        <v>61113</v>
      </c>
      <c r="F108">
        <v>0.3</v>
      </c>
      <c r="G108">
        <v>0.5</v>
      </c>
      <c r="H108">
        <v>0.3</v>
      </c>
      <c r="I108">
        <v>0.3</v>
      </c>
      <c r="J108" s="92">
        <v>61113</v>
      </c>
    </row>
    <row r="109" spans="1:10" x14ac:dyDescent="0.3">
      <c r="A109" s="92">
        <v>4425</v>
      </c>
      <c r="B109">
        <v>4425</v>
      </c>
      <c r="C109">
        <v>0</v>
      </c>
      <c r="D109">
        <v>26</v>
      </c>
      <c r="E109">
        <v>35782</v>
      </c>
      <c r="F109">
        <v>0.2</v>
      </c>
      <c r="G109">
        <v>0.3</v>
      </c>
      <c r="H109">
        <v>0.2</v>
      </c>
      <c r="I109">
        <v>0.3</v>
      </c>
      <c r="J109" s="92">
        <v>35782</v>
      </c>
    </row>
    <row r="110" spans="1:10" x14ac:dyDescent="0.3">
      <c r="A110" s="92">
        <v>4450</v>
      </c>
      <c r="B110">
        <v>4450</v>
      </c>
      <c r="C110">
        <v>0</v>
      </c>
      <c r="D110">
        <v>0</v>
      </c>
      <c r="E110">
        <v>61879</v>
      </c>
      <c r="F110">
        <v>0</v>
      </c>
      <c r="G110">
        <v>0</v>
      </c>
      <c r="H110">
        <v>0</v>
      </c>
      <c r="I110">
        <v>0</v>
      </c>
      <c r="J110" s="92">
        <v>61879</v>
      </c>
    </row>
    <row r="111" spans="1:10" x14ac:dyDescent="0.3">
      <c r="A111" s="92">
        <v>4475</v>
      </c>
      <c r="B111">
        <v>4475</v>
      </c>
      <c r="C111">
        <v>0</v>
      </c>
      <c r="D111">
        <v>800</v>
      </c>
      <c r="E111">
        <v>20170</v>
      </c>
      <c r="F111">
        <v>0</v>
      </c>
      <c r="G111">
        <v>0</v>
      </c>
      <c r="H111">
        <v>0</v>
      </c>
      <c r="I111">
        <v>0</v>
      </c>
      <c r="J111" s="92">
        <v>20170</v>
      </c>
    </row>
    <row r="112" spans="1:10" x14ac:dyDescent="0.3">
      <c r="A112" s="92">
        <v>4500</v>
      </c>
      <c r="B112">
        <v>4500</v>
      </c>
      <c r="C112">
        <v>0</v>
      </c>
      <c r="D112">
        <v>1410</v>
      </c>
      <c r="E112">
        <v>73961</v>
      </c>
      <c r="F112">
        <v>0.2</v>
      </c>
      <c r="G112">
        <v>0.2</v>
      </c>
      <c r="H112">
        <v>0.2</v>
      </c>
      <c r="I112">
        <v>0.2</v>
      </c>
      <c r="J112" s="92">
        <v>73961</v>
      </c>
    </row>
    <row r="113" spans="1:10" x14ac:dyDescent="0.3">
      <c r="A113" s="92">
        <v>4525</v>
      </c>
      <c r="B113">
        <v>4525</v>
      </c>
      <c r="C113">
        <v>0</v>
      </c>
      <c r="D113">
        <v>800</v>
      </c>
      <c r="E113">
        <v>42067</v>
      </c>
      <c r="F113">
        <v>0</v>
      </c>
      <c r="G113">
        <v>0</v>
      </c>
      <c r="H113">
        <v>0</v>
      </c>
      <c r="I113">
        <v>0</v>
      </c>
      <c r="J113" s="92">
        <v>42067</v>
      </c>
    </row>
    <row r="114" spans="1:10" x14ac:dyDescent="0.3">
      <c r="A114" s="92">
        <v>4550</v>
      </c>
      <c r="B114">
        <v>4550</v>
      </c>
      <c r="C114">
        <v>0</v>
      </c>
      <c r="D114">
        <v>0</v>
      </c>
      <c r="E114">
        <v>33721</v>
      </c>
      <c r="F114">
        <v>0</v>
      </c>
      <c r="G114">
        <v>0</v>
      </c>
      <c r="H114">
        <v>0</v>
      </c>
      <c r="I114">
        <v>0</v>
      </c>
      <c r="J114" s="92">
        <v>33721</v>
      </c>
    </row>
    <row r="115" spans="1:10" x14ac:dyDescent="0.3">
      <c r="A115" s="92">
        <v>4575</v>
      </c>
      <c r="B115">
        <v>4575</v>
      </c>
      <c r="C115">
        <v>0</v>
      </c>
      <c r="D115">
        <v>0</v>
      </c>
      <c r="E115">
        <v>17393</v>
      </c>
      <c r="F115">
        <v>0</v>
      </c>
      <c r="G115">
        <v>0</v>
      </c>
      <c r="H115">
        <v>0</v>
      </c>
      <c r="I115">
        <v>0</v>
      </c>
      <c r="J115" s="92">
        <v>17393</v>
      </c>
    </row>
    <row r="116" spans="1:10" x14ac:dyDescent="0.3">
      <c r="A116" s="92">
        <v>4600</v>
      </c>
      <c r="B116">
        <v>4600</v>
      </c>
      <c r="C116">
        <v>0</v>
      </c>
      <c r="D116">
        <v>0</v>
      </c>
      <c r="E116">
        <v>58664</v>
      </c>
      <c r="F116">
        <v>0</v>
      </c>
      <c r="G116">
        <v>0</v>
      </c>
      <c r="H116">
        <v>0</v>
      </c>
      <c r="I116">
        <v>0</v>
      </c>
      <c r="J116" s="92">
        <v>58664</v>
      </c>
    </row>
    <row r="117" spans="1:10" x14ac:dyDescent="0.3">
      <c r="A117" s="92">
        <v>4625</v>
      </c>
      <c r="B117">
        <v>4625</v>
      </c>
      <c r="C117">
        <v>0</v>
      </c>
      <c r="D117">
        <v>10</v>
      </c>
      <c r="E117">
        <v>5213</v>
      </c>
      <c r="F117">
        <v>0.1</v>
      </c>
      <c r="G117">
        <v>0.1</v>
      </c>
      <c r="H117">
        <v>0.1</v>
      </c>
      <c r="I117">
        <v>0.1</v>
      </c>
      <c r="J117" s="92">
        <v>5213</v>
      </c>
    </row>
    <row r="118" spans="1:10" x14ac:dyDescent="0.3">
      <c r="A118" s="92">
        <v>4650</v>
      </c>
      <c r="B118">
        <v>4650</v>
      </c>
      <c r="C118">
        <v>0</v>
      </c>
      <c r="D118">
        <v>400</v>
      </c>
      <c r="E118">
        <v>24132</v>
      </c>
      <c r="F118">
        <v>0.1</v>
      </c>
      <c r="G118">
        <v>0.1</v>
      </c>
      <c r="H118">
        <v>0.1</v>
      </c>
      <c r="I118">
        <v>0.1</v>
      </c>
      <c r="J118" s="92">
        <v>24132</v>
      </c>
    </row>
    <row r="119" spans="1:10" x14ac:dyDescent="0.3">
      <c r="A119" s="92">
        <v>4675</v>
      </c>
      <c r="B119">
        <v>4675</v>
      </c>
      <c r="C119">
        <v>0</v>
      </c>
      <c r="D119">
        <v>200</v>
      </c>
      <c r="E119">
        <v>4074</v>
      </c>
      <c r="F119">
        <v>0.1</v>
      </c>
      <c r="G119">
        <v>0.1</v>
      </c>
      <c r="H119">
        <v>0.1</v>
      </c>
      <c r="I119">
        <v>0.1</v>
      </c>
      <c r="J119" s="92">
        <v>4074</v>
      </c>
    </row>
    <row r="120" spans="1:10" x14ac:dyDescent="0.3">
      <c r="A120" s="92">
        <v>4700</v>
      </c>
      <c r="B120">
        <v>4700</v>
      </c>
      <c r="C120">
        <v>0</v>
      </c>
      <c r="D120">
        <v>0</v>
      </c>
      <c r="E120">
        <v>32249</v>
      </c>
      <c r="F120">
        <v>0</v>
      </c>
      <c r="G120">
        <v>0</v>
      </c>
      <c r="H120">
        <v>0</v>
      </c>
      <c r="I120">
        <v>0</v>
      </c>
      <c r="J120" s="92">
        <v>32249</v>
      </c>
    </row>
    <row r="121" spans="1:10" x14ac:dyDescent="0.3">
      <c r="A121" s="92">
        <v>4725</v>
      </c>
      <c r="B121">
        <v>4725</v>
      </c>
      <c r="C121">
        <v>0</v>
      </c>
      <c r="D121">
        <v>0</v>
      </c>
      <c r="E121">
        <v>1700</v>
      </c>
      <c r="F121">
        <v>0</v>
      </c>
      <c r="G121">
        <v>0</v>
      </c>
      <c r="H121">
        <v>0</v>
      </c>
      <c r="I121">
        <v>0</v>
      </c>
      <c r="J121" s="92">
        <v>1700</v>
      </c>
    </row>
    <row r="122" spans="1:10" x14ac:dyDescent="0.3">
      <c r="A122" s="92">
        <v>4750</v>
      </c>
      <c r="B122">
        <v>4750</v>
      </c>
      <c r="C122">
        <v>0</v>
      </c>
      <c r="D122">
        <v>0</v>
      </c>
      <c r="E122">
        <v>7073</v>
      </c>
      <c r="F122">
        <v>0</v>
      </c>
      <c r="G122">
        <v>0</v>
      </c>
      <c r="H122">
        <v>0</v>
      </c>
      <c r="I122">
        <v>0</v>
      </c>
      <c r="J122" s="92">
        <v>7073</v>
      </c>
    </row>
    <row r="123" spans="1:10" x14ac:dyDescent="0.3">
      <c r="A123" s="92">
        <v>4775</v>
      </c>
      <c r="B123">
        <v>4775</v>
      </c>
      <c r="C123">
        <v>0</v>
      </c>
      <c r="D123">
        <v>0</v>
      </c>
      <c r="E123">
        <v>2656</v>
      </c>
      <c r="F123">
        <v>0</v>
      </c>
      <c r="G123">
        <v>0</v>
      </c>
      <c r="H123">
        <v>0</v>
      </c>
      <c r="I123">
        <v>0</v>
      </c>
      <c r="J123" s="92">
        <v>2656</v>
      </c>
    </row>
    <row r="124" spans="1:10" x14ac:dyDescent="0.3">
      <c r="A124" s="92">
        <v>4800</v>
      </c>
      <c r="B124">
        <v>4800</v>
      </c>
      <c r="C124">
        <v>0</v>
      </c>
      <c r="D124">
        <v>0</v>
      </c>
      <c r="E124">
        <v>19870</v>
      </c>
      <c r="F124">
        <v>0</v>
      </c>
      <c r="G124">
        <v>0</v>
      </c>
      <c r="H124">
        <v>0</v>
      </c>
      <c r="I124">
        <v>0</v>
      </c>
      <c r="J124" s="92">
        <v>19870</v>
      </c>
    </row>
    <row r="125" spans="1:10" x14ac:dyDescent="0.3">
      <c r="A125" s="92">
        <v>4825</v>
      </c>
      <c r="B125">
        <v>4825</v>
      </c>
      <c r="C125">
        <v>0</v>
      </c>
      <c r="D125">
        <v>0</v>
      </c>
      <c r="E125">
        <v>1553</v>
      </c>
      <c r="F125">
        <v>0</v>
      </c>
      <c r="G125">
        <v>0</v>
      </c>
      <c r="H125">
        <v>0</v>
      </c>
      <c r="I125">
        <v>0</v>
      </c>
      <c r="J125" s="92">
        <v>1553</v>
      </c>
    </row>
    <row r="126" spans="1:10" x14ac:dyDescent="0.3">
      <c r="A126" s="92">
        <v>4850</v>
      </c>
      <c r="B126">
        <v>4850</v>
      </c>
      <c r="C126">
        <v>0</v>
      </c>
      <c r="D126">
        <v>0</v>
      </c>
      <c r="E126">
        <v>6126</v>
      </c>
      <c r="F126">
        <v>0</v>
      </c>
      <c r="G126">
        <v>0</v>
      </c>
      <c r="H126">
        <v>0</v>
      </c>
      <c r="I126">
        <v>0</v>
      </c>
      <c r="J126" s="92">
        <v>6126</v>
      </c>
    </row>
    <row r="127" spans="1:10" x14ac:dyDescent="0.3">
      <c r="A127" s="92">
        <v>4875</v>
      </c>
      <c r="B127">
        <v>4875</v>
      </c>
      <c r="C127">
        <v>0</v>
      </c>
      <c r="D127">
        <v>0</v>
      </c>
      <c r="E127">
        <v>270</v>
      </c>
      <c r="F127">
        <v>0</v>
      </c>
      <c r="G127">
        <v>0</v>
      </c>
      <c r="H127">
        <v>0</v>
      </c>
      <c r="I127">
        <v>0</v>
      </c>
      <c r="J127" s="92">
        <v>270</v>
      </c>
    </row>
    <row r="128" spans="1:10" x14ac:dyDescent="0.3">
      <c r="A128" s="92">
        <v>4900</v>
      </c>
      <c r="B128">
        <v>4900</v>
      </c>
      <c r="C128">
        <v>0</v>
      </c>
      <c r="D128">
        <v>0</v>
      </c>
      <c r="E128">
        <v>631</v>
      </c>
      <c r="F128">
        <v>0</v>
      </c>
      <c r="G128">
        <v>0</v>
      </c>
      <c r="H128">
        <v>0</v>
      </c>
      <c r="I128">
        <v>0</v>
      </c>
      <c r="J128" s="92">
        <v>631</v>
      </c>
    </row>
    <row r="129" spans="1:10" x14ac:dyDescent="0.3">
      <c r="A129" s="92">
        <v>4925</v>
      </c>
      <c r="B129">
        <v>4925</v>
      </c>
      <c r="C129">
        <v>0</v>
      </c>
      <c r="D129">
        <v>0</v>
      </c>
      <c r="E129">
        <v>241</v>
      </c>
      <c r="F129">
        <v>0</v>
      </c>
      <c r="G129">
        <v>0</v>
      </c>
      <c r="H129">
        <v>0</v>
      </c>
      <c r="I129">
        <v>0</v>
      </c>
      <c r="J129" s="92">
        <v>241</v>
      </c>
    </row>
    <row r="130" spans="1:10" x14ac:dyDescent="0.3">
      <c r="A130" s="92">
        <v>4950</v>
      </c>
      <c r="B130">
        <v>4950</v>
      </c>
      <c r="C130">
        <v>0</v>
      </c>
      <c r="D130">
        <v>0</v>
      </c>
      <c r="E130">
        <v>152</v>
      </c>
      <c r="F130">
        <v>0</v>
      </c>
      <c r="G130">
        <v>0</v>
      </c>
      <c r="H130">
        <v>0</v>
      </c>
      <c r="I130">
        <v>0</v>
      </c>
      <c r="J130" s="92">
        <v>152</v>
      </c>
    </row>
    <row r="131" spans="1:10" x14ac:dyDescent="0.3">
      <c r="A131" s="92">
        <v>4975</v>
      </c>
      <c r="B131">
        <v>4975</v>
      </c>
      <c r="C131">
        <v>0</v>
      </c>
      <c r="D131">
        <v>0</v>
      </c>
      <c r="E131">
        <v>128</v>
      </c>
      <c r="F131">
        <v>0</v>
      </c>
      <c r="G131">
        <v>0</v>
      </c>
      <c r="H131">
        <v>0</v>
      </c>
      <c r="I131">
        <v>0</v>
      </c>
      <c r="J131" s="92">
        <v>128</v>
      </c>
    </row>
    <row r="132" spans="1:10" x14ac:dyDescent="0.3">
      <c r="A132" s="92">
        <v>5000</v>
      </c>
      <c r="B132">
        <v>5000</v>
      </c>
      <c r="C132">
        <v>0</v>
      </c>
      <c r="D132">
        <v>0</v>
      </c>
      <c r="E132">
        <v>1478</v>
      </c>
      <c r="F132">
        <v>0</v>
      </c>
      <c r="G132">
        <v>0</v>
      </c>
      <c r="H132">
        <v>0</v>
      </c>
      <c r="I132">
        <v>0</v>
      </c>
      <c r="J132" s="92">
        <v>1478</v>
      </c>
    </row>
    <row r="133" spans="1:10" x14ac:dyDescent="0.3">
      <c r="A133" s="92">
        <v>5025</v>
      </c>
      <c r="B133">
        <v>5025</v>
      </c>
      <c r="C133">
        <v>0</v>
      </c>
      <c r="D133">
        <v>0</v>
      </c>
      <c r="E133">
        <v>85</v>
      </c>
      <c r="F133">
        <v>0</v>
      </c>
      <c r="G133">
        <v>0</v>
      </c>
      <c r="H133">
        <v>0</v>
      </c>
      <c r="I133">
        <v>0</v>
      </c>
      <c r="J133" s="92">
        <v>85</v>
      </c>
    </row>
    <row r="134" spans="1:10" x14ac:dyDescent="0.3">
      <c r="A134" s="92">
        <v>5050</v>
      </c>
      <c r="B134">
        <v>5050</v>
      </c>
      <c r="C134">
        <v>0</v>
      </c>
      <c r="D134">
        <v>0</v>
      </c>
      <c r="E134">
        <v>4562</v>
      </c>
      <c r="F134">
        <v>0</v>
      </c>
      <c r="G134">
        <v>0</v>
      </c>
      <c r="H134">
        <v>0</v>
      </c>
      <c r="I134">
        <v>0</v>
      </c>
      <c r="J134" s="92">
        <v>4562</v>
      </c>
    </row>
    <row r="135" spans="1:10" x14ac:dyDescent="0.3">
      <c r="A135" s="92">
        <v>5075</v>
      </c>
      <c r="B135">
        <v>5075</v>
      </c>
      <c r="C135">
        <v>0</v>
      </c>
      <c r="D135">
        <v>0</v>
      </c>
      <c r="E135">
        <v>35</v>
      </c>
      <c r="F135">
        <v>0</v>
      </c>
      <c r="G135">
        <v>0</v>
      </c>
      <c r="H135">
        <v>0</v>
      </c>
      <c r="I135">
        <v>0</v>
      </c>
      <c r="J135" s="92">
        <v>35</v>
      </c>
    </row>
    <row r="136" spans="1:10" x14ac:dyDescent="0.3">
      <c r="A136" s="92">
        <v>5100</v>
      </c>
      <c r="B136">
        <v>5100</v>
      </c>
      <c r="C136">
        <v>0</v>
      </c>
      <c r="D136">
        <v>0</v>
      </c>
      <c r="E136">
        <v>28</v>
      </c>
      <c r="F136">
        <v>0</v>
      </c>
      <c r="G136">
        <v>0</v>
      </c>
      <c r="H136">
        <v>0</v>
      </c>
      <c r="I136">
        <v>0</v>
      </c>
      <c r="J136" s="92">
        <v>28</v>
      </c>
    </row>
    <row r="137" spans="1:10" x14ac:dyDescent="0.3">
      <c r="A137" s="92">
        <v>5125</v>
      </c>
      <c r="B137">
        <v>5125</v>
      </c>
      <c r="C137">
        <v>0</v>
      </c>
      <c r="D137">
        <v>0</v>
      </c>
      <c r="E137">
        <v>14</v>
      </c>
      <c r="F137">
        <v>0</v>
      </c>
      <c r="G137">
        <v>0</v>
      </c>
      <c r="H137">
        <v>0</v>
      </c>
      <c r="I137">
        <v>0</v>
      </c>
      <c r="J137" s="92">
        <v>14</v>
      </c>
    </row>
    <row r="138" spans="1:10" x14ac:dyDescent="0.3">
      <c r="A138" s="92">
        <v>5150</v>
      </c>
      <c r="B138">
        <v>5150</v>
      </c>
      <c r="C138">
        <v>0</v>
      </c>
      <c r="D138">
        <v>0</v>
      </c>
      <c r="E138">
        <v>57</v>
      </c>
      <c r="F138">
        <v>0</v>
      </c>
      <c r="G138">
        <v>0</v>
      </c>
      <c r="H138">
        <v>0</v>
      </c>
      <c r="I138">
        <v>0</v>
      </c>
      <c r="J138" s="92">
        <v>57</v>
      </c>
    </row>
    <row r="139" spans="1:10" x14ac:dyDescent="0.3">
      <c r="A139" s="92">
        <v>5175</v>
      </c>
      <c r="B139">
        <v>5175</v>
      </c>
      <c r="C139">
        <v>0</v>
      </c>
      <c r="D139">
        <v>0</v>
      </c>
      <c r="E139">
        <v>7</v>
      </c>
      <c r="F139">
        <v>0</v>
      </c>
      <c r="G139">
        <v>0</v>
      </c>
      <c r="H139">
        <v>0</v>
      </c>
      <c r="I139">
        <v>0</v>
      </c>
      <c r="J139" s="92">
        <v>7</v>
      </c>
    </row>
    <row r="140" spans="1:10" x14ac:dyDescent="0.3">
      <c r="A140" s="92">
        <v>5200</v>
      </c>
      <c r="B140">
        <v>5200</v>
      </c>
      <c r="C140">
        <v>0</v>
      </c>
      <c r="D140">
        <v>0</v>
      </c>
      <c r="E140">
        <v>15</v>
      </c>
      <c r="F140">
        <v>0</v>
      </c>
      <c r="G140">
        <v>0</v>
      </c>
      <c r="H140">
        <v>0</v>
      </c>
      <c r="I140">
        <v>0</v>
      </c>
      <c r="J140" s="92">
        <v>15</v>
      </c>
    </row>
    <row r="141" spans="1:10" x14ac:dyDescent="0.3">
      <c r="A141" s="92">
        <v>5250</v>
      </c>
      <c r="B141">
        <v>5250</v>
      </c>
      <c r="C141">
        <v>0</v>
      </c>
      <c r="D141">
        <v>0</v>
      </c>
      <c r="E141">
        <v>260</v>
      </c>
      <c r="F141">
        <v>0</v>
      </c>
      <c r="G141">
        <v>0</v>
      </c>
      <c r="H141">
        <v>0</v>
      </c>
      <c r="I141">
        <v>0</v>
      </c>
      <c r="J141" s="92">
        <v>260</v>
      </c>
    </row>
    <row r="142" spans="1:10" x14ac:dyDescent="0.3">
      <c r="A142" s="92">
        <v>5300</v>
      </c>
      <c r="B142">
        <v>5300</v>
      </c>
      <c r="C142">
        <v>0</v>
      </c>
      <c r="D142">
        <v>0</v>
      </c>
      <c r="E142">
        <v>13</v>
      </c>
      <c r="F142">
        <v>0</v>
      </c>
      <c r="G142">
        <v>0</v>
      </c>
      <c r="H142">
        <v>0</v>
      </c>
      <c r="I142">
        <v>0</v>
      </c>
      <c r="J142" s="92">
        <v>13</v>
      </c>
    </row>
    <row r="143" spans="1:10" x14ac:dyDescent="0.3">
      <c r="A143" s="92">
        <v>5400</v>
      </c>
      <c r="B143">
        <v>5400</v>
      </c>
      <c r="C143">
        <v>0</v>
      </c>
      <c r="D143">
        <v>0</v>
      </c>
      <c r="E143">
        <v>0</v>
      </c>
      <c r="F143">
        <v>0</v>
      </c>
      <c r="G143">
        <v>0</v>
      </c>
      <c r="H143">
        <v>0</v>
      </c>
      <c r="I143">
        <v>0</v>
      </c>
      <c r="J143" s="92">
        <v>0</v>
      </c>
    </row>
    <row r="144" spans="1:10" x14ac:dyDescent="0.3">
      <c r="A144" s="92">
        <v>5500</v>
      </c>
      <c r="B144">
        <v>5500</v>
      </c>
      <c r="C144">
        <v>0</v>
      </c>
      <c r="D144">
        <v>0</v>
      </c>
      <c r="E144">
        <v>0</v>
      </c>
      <c r="F144">
        <v>0</v>
      </c>
      <c r="G144">
        <v>0</v>
      </c>
      <c r="H144">
        <v>0</v>
      </c>
      <c r="I144">
        <v>0</v>
      </c>
      <c r="J144" s="92">
        <v>0</v>
      </c>
    </row>
    <row r="145" spans="1:10" x14ac:dyDescent="0.3">
      <c r="A145" s="92">
        <v>5600</v>
      </c>
      <c r="B145">
        <v>5600</v>
      </c>
      <c r="C145">
        <v>0</v>
      </c>
      <c r="D145">
        <v>0</v>
      </c>
      <c r="E145">
        <v>0</v>
      </c>
      <c r="F145">
        <v>0</v>
      </c>
      <c r="G145">
        <v>0</v>
      </c>
      <c r="H145">
        <v>0</v>
      </c>
      <c r="I145">
        <v>0</v>
      </c>
      <c r="J145" s="92">
        <v>0</v>
      </c>
    </row>
    <row r="146" spans="1:10" x14ac:dyDescent="0.3">
      <c r="A146" s="92">
        <v>5700</v>
      </c>
      <c r="B146">
        <v>5700</v>
      </c>
      <c r="C146">
        <v>0</v>
      </c>
      <c r="D146">
        <v>0</v>
      </c>
      <c r="E146">
        <v>3</v>
      </c>
      <c r="F146">
        <v>0</v>
      </c>
      <c r="G146">
        <v>0</v>
      </c>
      <c r="H146">
        <v>0</v>
      </c>
      <c r="I146">
        <v>0</v>
      </c>
      <c r="J146" s="92">
        <v>3</v>
      </c>
    </row>
    <row r="147" spans="1:10" x14ac:dyDescent="0.3">
      <c r="A147" s="92">
        <v>5800</v>
      </c>
      <c r="B147">
        <v>5800</v>
      </c>
      <c r="C147">
        <v>0</v>
      </c>
      <c r="D147">
        <v>0</v>
      </c>
      <c r="E147">
        <v>3</v>
      </c>
      <c r="F147">
        <v>0</v>
      </c>
      <c r="G147">
        <v>0</v>
      </c>
      <c r="H147">
        <v>0</v>
      </c>
      <c r="I147">
        <v>0</v>
      </c>
      <c r="J147" s="92">
        <v>3</v>
      </c>
    </row>
    <row r="148" spans="1:10" x14ac:dyDescent="0.3">
      <c r="A148" s="92">
        <v>5900</v>
      </c>
      <c r="B148">
        <v>5900</v>
      </c>
      <c r="C148">
        <v>0</v>
      </c>
      <c r="D148">
        <v>0</v>
      </c>
      <c r="E148">
        <v>0</v>
      </c>
      <c r="F148">
        <v>0</v>
      </c>
      <c r="G148">
        <v>0</v>
      </c>
      <c r="H148">
        <v>0</v>
      </c>
      <c r="I148">
        <v>0</v>
      </c>
      <c r="J148" s="92">
        <v>0</v>
      </c>
    </row>
    <row r="149" spans="1:10" x14ac:dyDescent="0.3">
      <c r="A149" s="92">
        <v>6000</v>
      </c>
      <c r="B149">
        <v>6000</v>
      </c>
      <c r="C149">
        <v>0</v>
      </c>
      <c r="D149">
        <v>0</v>
      </c>
      <c r="E149">
        <v>0</v>
      </c>
      <c r="F149">
        <v>0</v>
      </c>
      <c r="G149">
        <v>0</v>
      </c>
      <c r="H149">
        <v>0</v>
      </c>
      <c r="I149">
        <v>0</v>
      </c>
      <c r="J149" s="92">
        <v>0</v>
      </c>
    </row>
    <row r="150" spans="1:10" x14ac:dyDescent="0.3">
      <c r="A150" s="92">
        <v>7000</v>
      </c>
      <c r="B150">
        <v>7000</v>
      </c>
      <c r="C150">
        <v>0</v>
      </c>
      <c r="D150">
        <v>0</v>
      </c>
      <c r="E150">
        <v>0</v>
      </c>
      <c r="F150">
        <v>0</v>
      </c>
      <c r="G150">
        <v>0</v>
      </c>
      <c r="H150">
        <v>0</v>
      </c>
      <c r="I150">
        <v>0</v>
      </c>
      <c r="J150" s="92">
        <v>0</v>
      </c>
    </row>
    <row r="151" spans="1:10" x14ac:dyDescent="0.3">
      <c r="A151" s="92">
        <v>8000</v>
      </c>
      <c r="B151">
        <v>8000</v>
      </c>
      <c r="C151">
        <v>0</v>
      </c>
      <c r="D151">
        <v>0</v>
      </c>
      <c r="E151">
        <v>0</v>
      </c>
      <c r="F151">
        <v>0</v>
      </c>
      <c r="G151">
        <v>0</v>
      </c>
      <c r="H151">
        <v>0</v>
      </c>
      <c r="I151">
        <v>0</v>
      </c>
      <c r="J151" s="92">
        <v>0</v>
      </c>
    </row>
    <row r="152" spans="1:10" x14ac:dyDescent="0.3">
      <c r="A152" s="92">
        <v>9000</v>
      </c>
      <c r="B152">
        <v>9000</v>
      </c>
      <c r="C152">
        <v>0</v>
      </c>
      <c r="D152">
        <v>0</v>
      </c>
      <c r="E152">
        <v>0</v>
      </c>
      <c r="F152">
        <v>0</v>
      </c>
      <c r="G152">
        <v>0</v>
      </c>
      <c r="H152">
        <v>0</v>
      </c>
      <c r="I152">
        <v>0</v>
      </c>
      <c r="J152" s="92">
        <v>0</v>
      </c>
    </row>
    <row r="153" spans="1:10" x14ac:dyDescent="0.3">
      <c r="A153" t="s">
        <v>266</v>
      </c>
      <c r="B153">
        <v>10000</v>
      </c>
      <c r="C153">
        <v>0</v>
      </c>
      <c r="D153">
        <v>0</v>
      </c>
      <c r="E153">
        <v>0</v>
      </c>
      <c r="F153">
        <v>0</v>
      </c>
      <c r="G153">
        <v>0</v>
      </c>
      <c r="H153">
        <v>0</v>
      </c>
      <c r="I153">
        <v>0</v>
      </c>
      <c r="J153">
        <v>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900AE-A684-4A63-BDD0-095BDE9818E0}">
  <sheetPr codeName="Tabelle5"/>
  <dimension ref="A1:J153"/>
  <sheetViews>
    <sheetView workbookViewId="0"/>
  </sheetViews>
  <sheetFormatPr baseColWidth="10" defaultColWidth="8.88671875" defaultRowHeight="14.4" x14ac:dyDescent="0.3"/>
  <sheetData>
    <row r="1" spans="1:10" x14ac:dyDescent="0.3">
      <c r="A1" s="138" t="s">
        <v>276</v>
      </c>
      <c r="B1" s="138" t="s">
        <v>275</v>
      </c>
      <c r="C1" s="138" t="s">
        <v>274</v>
      </c>
      <c r="D1" s="138" t="s">
        <v>273</v>
      </c>
      <c r="E1" s="138" t="s">
        <v>272</v>
      </c>
      <c r="F1" s="138" t="s">
        <v>271</v>
      </c>
      <c r="G1" s="138" t="s">
        <v>270</v>
      </c>
      <c r="H1" s="138" t="s">
        <v>269</v>
      </c>
      <c r="I1" s="138" t="s">
        <v>268</v>
      </c>
      <c r="J1" s="138" t="s">
        <v>267</v>
      </c>
    </row>
    <row r="2" spans="1:10" x14ac:dyDescent="0.3">
      <c r="A2" s="92">
        <v>1000</v>
      </c>
      <c r="B2">
        <v>1000</v>
      </c>
      <c r="C2">
        <v>0</v>
      </c>
      <c r="D2">
        <v>0</v>
      </c>
      <c r="E2">
        <v>1</v>
      </c>
      <c r="F2">
        <v>0</v>
      </c>
      <c r="G2">
        <v>0</v>
      </c>
      <c r="H2">
        <v>0</v>
      </c>
      <c r="I2">
        <v>0</v>
      </c>
      <c r="J2" s="92">
        <v>1</v>
      </c>
    </row>
    <row r="3" spans="1:10" x14ac:dyDescent="0.3">
      <c r="A3" s="92">
        <v>1100</v>
      </c>
      <c r="B3">
        <v>1100</v>
      </c>
      <c r="C3">
        <v>0</v>
      </c>
      <c r="D3">
        <v>0</v>
      </c>
      <c r="E3">
        <v>0</v>
      </c>
      <c r="F3">
        <v>0</v>
      </c>
      <c r="G3">
        <v>0</v>
      </c>
      <c r="H3">
        <v>0</v>
      </c>
      <c r="I3">
        <v>0</v>
      </c>
      <c r="J3" s="92">
        <v>0</v>
      </c>
    </row>
    <row r="4" spans="1:10" x14ac:dyDescent="0.3">
      <c r="A4" s="92">
        <v>1150</v>
      </c>
      <c r="B4">
        <v>1150</v>
      </c>
      <c r="C4">
        <v>0</v>
      </c>
      <c r="D4">
        <v>0</v>
      </c>
      <c r="E4">
        <v>774</v>
      </c>
      <c r="F4">
        <v>0</v>
      </c>
      <c r="G4">
        <v>0</v>
      </c>
      <c r="H4">
        <v>0</v>
      </c>
      <c r="I4">
        <v>0</v>
      </c>
      <c r="J4" s="92">
        <v>774</v>
      </c>
    </row>
    <row r="5" spans="1:10" x14ac:dyDescent="0.3">
      <c r="A5" s="92">
        <v>1200</v>
      </c>
      <c r="B5">
        <v>1200</v>
      </c>
      <c r="C5">
        <v>0</v>
      </c>
      <c r="D5">
        <v>0</v>
      </c>
      <c r="E5">
        <v>782</v>
      </c>
      <c r="F5">
        <v>0</v>
      </c>
      <c r="G5">
        <v>0</v>
      </c>
      <c r="H5">
        <v>0</v>
      </c>
      <c r="I5">
        <v>0</v>
      </c>
      <c r="J5" s="92">
        <v>782</v>
      </c>
    </row>
    <row r="6" spans="1:10" x14ac:dyDescent="0.3">
      <c r="A6" s="92">
        <v>1250</v>
      </c>
      <c r="B6">
        <v>1250</v>
      </c>
      <c r="C6">
        <v>0</v>
      </c>
      <c r="D6">
        <v>0</v>
      </c>
      <c r="E6">
        <v>41</v>
      </c>
      <c r="F6">
        <v>0</v>
      </c>
      <c r="G6">
        <v>0</v>
      </c>
      <c r="H6">
        <v>0</v>
      </c>
      <c r="I6">
        <v>0</v>
      </c>
      <c r="J6" s="92">
        <v>41</v>
      </c>
    </row>
    <row r="7" spans="1:10" x14ac:dyDescent="0.3">
      <c r="A7" s="92">
        <v>1300</v>
      </c>
      <c r="B7">
        <v>1300</v>
      </c>
      <c r="C7">
        <v>0</v>
      </c>
      <c r="D7">
        <v>0</v>
      </c>
      <c r="E7">
        <v>2</v>
      </c>
      <c r="F7">
        <v>0</v>
      </c>
      <c r="G7">
        <v>0</v>
      </c>
      <c r="H7">
        <v>0</v>
      </c>
      <c r="I7">
        <v>0</v>
      </c>
      <c r="J7" s="92">
        <v>2</v>
      </c>
    </row>
    <row r="8" spans="1:10" x14ac:dyDescent="0.3">
      <c r="A8" s="92">
        <v>1400</v>
      </c>
      <c r="B8">
        <v>1400</v>
      </c>
      <c r="C8">
        <v>0</v>
      </c>
      <c r="D8">
        <v>0</v>
      </c>
      <c r="E8">
        <v>1</v>
      </c>
      <c r="F8">
        <v>0</v>
      </c>
      <c r="G8">
        <v>0</v>
      </c>
      <c r="H8">
        <v>0</v>
      </c>
      <c r="I8">
        <v>0</v>
      </c>
      <c r="J8" s="92">
        <v>1</v>
      </c>
    </row>
    <row r="9" spans="1:10" x14ac:dyDescent="0.3">
      <c r="A9" s="92">
        <v>1450</v>
      </c>
      <c r="B9">
        <v>1450</v>
      </c>
      <c r="C9">
        <v>0</v>
      </c>
      <c r="D9">
        <v>0</v>
      </c>
      <c r="E9">
        <v>2</v>
      </c>
      <c r="F9">
        <v>0</v>
      </c>
      <c r="G9">
        <v>0</v>
      </c>
      <c r="H9">
        <v>0</v>
      </c>
      <c r="I9">
        <v>0</v>
      </c>
      <c r="J9" s="92">
        <v>2</v>
      </c>
    </row>
    <row r="10" spans="1:10" x14ac:dyDescent="0.3">
      <c r="A10" s="92">
        <v>1500</v>
      </c>
      <c r="B10">
        <v>1500</v>
      </c>
      <c r="C10">
        <v>0</v>
      </c>
      <c r="D10">
        <v>0</v>
      </c>
      <c r="E10">
        <v>2</v>
      </c>
      <c r="F10">
        <v>0</v>
      </c>
      <c r="G10">
        <v>0</v>
      </c>
      <c r="H10">
        <v>0</v>
      </c>
      <c r="I10">
        <v>0</v>
      </c>
      <c r="J10" s="92">
        <v>2</v>
      </c>
    </row>
    <row r="11" spans="1:10" x14ac:dyDescent="0.3">
      <c r="A11" s="92">
        <v>1600</v>
      </c>
      <c r="B11">
        <v>1600</v>
      </c>
      <c r="C11">
        <v>0</v>
      </c>
      <c r="D11">
        <v>0</v>
      </c>
      <c r="E11">
        <v>0</v>
      </c>
      <c r="F11">
        <v>0</v>
      </c>
      <c r="G11">
        <v>0</v>
      </c>
      <c r="H11">
        <v>0</v>
      </c>
      <c r="I11">
        <v>0</v>
      </c>
      <c r="J11" s="92">
        <v>0</v>
      </c>
    </row>
    <row r="12" spans="1:10" x14ac:dyDescent="0.3">
      <c r="A12" s="92">
        <v>1650</v>
      </c>
      <c r="B12">
        <v>1650</v>
      </c>
      <c r="C12">
        <v>0</v>
      </c>
      <c r="D12">
        <v>0</v>
      </c>
      <c r="E12">
        <v>275</v>
      </c>
      <c r="F12">
        <v>0</v>
      </c>
      <c r="G12">
        <v>0</v>
      </c>
      <c r="H12">
        <v>0</v>
      </c>
      <c r="I12">
        <v>0</v>
      </c>
      <c r="J12" s="92">
        <v>275</v>
      </c>
    </row>
    <row r="13" spans="1:10" x14ac:dyDescent="0.3">
      <c r="A13" s="92">
        <v>1700</v>
      </c>
      <c r="B13">
        <v>1700</v>
      </c>
      <c r="C13">
        <v>0</v>
      </c>
      <c r="D13">
        <v>0</v>
      </c>
      <c r="E13">
        <v>0</v>
      </c>
      <c r="F13">
        <v>0</v>
      </c>
      <c r="G13">
        <v>0</v>
      </c>
      <c r="H13">
        <v>0</v>
      </c>
      <c r="I13">
        <v>0</v>
      </c>
      <c r="J13" s="92">
        <v>0</v>
      </c>
    </row>
    <row r="14" spans="1:10" x14ac:dyDescent="0.3">
      <c r="A14" s="92">
        <v>1750</v>
      </c>
      <c r="B14">
        <v>1750</v>
      </c>
      <c r="C14">
        <v>0</v>
      </c>
      <c r="D14">
        <v>0</v>
      </c>
      <c r="E14">
        <v>400</v>
      </c>
      <c r="F14">
        <v>0</v>
      </c>
      <c r="G14">
        <v>0</v>
      </c>
      <c r="H14">
        <v>0</v>
      </c>
      <c r="I14">
        <v>0</v>
      </c>
      <c r="J14" s="92">
        <v>400</v>
      </c>
    </row>
    <row r="15" spans="1:10" x14ac:dyDescent="0.3">
      <c r="A15" s="92">
        <v>1800</v>
      </c>
      <c r="B15">
        <v>1800</v>
      </c>
      <c r="C15">
        <v>0</v>
      </c>
      <c r="D15">
        <v>0</v>
      </c>
      <c r="E15">
        <v>50</v>
      </c>
      <c r="F15">
        <v>0</v>
      </c>
      <c r="G15">
        <v>0</v>
      </c>
      <c r="H15">
        <v>0</v>
      </c>
      <c r="I15">
        <v>0</v>
      </c>
      <c r="J15" s="92">
        <v>50</v>
      </c>
    </row>
    <row r="16" spans="1:10" x14ac:dyDescent="0.3">
      <c r="A16" s="92">
        <v>1900</v>
      </c>
      <c r="B16">
        <v>1900</v>
      </c>
      <c r="C16">
        <v>0</v>
      </c>
      <c r="D16">
        <v>0</v>
      </c>
      <c r="E16">
        <v>4000</v>
      </c>
      <c r="F16">
        <v>0</v>
      </c>
      <c r="G16">
        <v>0</v>
      </c>
      <c r="H16">
        <v>0</v>
      </c>
      <c r="I16">
        <v>0</v>
      </c>
      <c r="J16" s="92">
        <v>4000</v>
      </c>
    </row>
    <row r="17" spans="1:10" x14ac:dyDescent="0.3">
      <c r="A17" s="92">
        <v>1950</v>
      </c>
      <c r="B17">
        <v>1950</v>
      </c>
      <c r="C17">
        <v>0</v>
      </c>
      <c r="D17">
        <v>0</v>
      </c>
      <c r="E17">
        <v>110</v>
      </c>
      <c r="F17">
        <v>0</v>
      </c>
      <c r="G17">
        <v>0</v>
      </c>
      <c r="H17">
        <v>0</v>
      </c>
      <c r="I17">
        <v>0</v>
      </c>
      <c r="J17" s="92">
        <v>110</v>
      </c>
    </row>
    <row r="18" spans="1:10" x14ac:dyDescent="0.3">
      <c r="A18" s="92">
        <v>2000</v>
      </c>
      <c r="B18">
        <v>2000</v>
      </c>
      <c r="C18">
        <v>0</v>
      </c>
      <c r="D18">
        <v>0</v>
      </c>
      <c r="E18">
        <v>10</v>
      </c>
      <c r="F18">
        <v>0</v>
      </c>
      <c r="G18">
        <v>0</v>
      </c>
      <c r="H18">
        <v>0</v>
      </c>
      <c r="I18">
        <v>0</v>
      </c>
      <c r="J18" s="92">
        <v>10</v>
      </c>
    </row>
    <row r="19" spans="1:10" x14ac:dyDescent="0.3">
      <c r="A19" s="92">
        <v>2050</v>
      </c>
      <c r="B19">
        <v>2050</v>
      </c>
      <c r="C19">
        <v>0</v>
      </c>
      <c r="D19">
        <v>0</v>
      </c>
      <c r="E19">
        <v>726</v>
      </c>
      <c r="F19">
        <v>0</v>
      </c>
      <c r="G19">
        <v>0</v>
      </c>
      <c r="H19">
        <v>0</v>
      </c>
      <c r="I19">
        <v>0</v>
      </c>
      <c r="J19" s="92">
        <v>726</v>
      </c>
    </row>
    <row r="20" spans="1:10" x14ac:dyDescent="0.3">
      <c r="A20" s="92">
        <v>2100</v>
      </c>
      <c r="B20">
        <v>2100</v>
      </c>
      <c r="C20">
        <v>0</v>
      </c>
      <c r="D20">
        <v>0</v>
      </c>
      <c r="E20">
        <v>530</v>
      </c>
      <c r="F20">
        <v>0</v>
      </c>
      <c r="G20">
        <v>0</v>
      </c>
      <c r="H20">
        <v>0</v>
      </c>
      <c r="I20">
        <v>0</v>
      </c>
      <c r="J20" s="92">
        <v>530</v>
      </c>
    </row>
    <row r="21" spans="1:10" x14ac:dyDescent="0.3">
      <c r="A21" s="92">
        <v>2150</v>
      </c>
      <c r="B21">
        <v>2150</v>
      </c>
      <c r="C21">
        <v>0</v>
      </c>
      <c r="D21">
        <v>0</v>
      </c>
      <c r="E21">
        <v>9</v>
      </c>
      <c r="F21">
        <v>0</v>
      </c>
      <c r="G21">
        <v>0</v>
      </c>
      <c r="H21">
        <v>0</v>
      </c>
      <c r="I21">
        <v>0</v>
      </c>
      <c r="J21" s="92">
        <v>9</v>
      </c>
    </row>
    <row r="22" spans="1:10" x14ac:dyDescent="0.3">
      <c r="A22" s="92">
        <v>2200</v>
      </c>
      <c r="B22">
        <v>2200</v>
      </c>
      <c r="C22">
        <v>0</v>
      </c>
      <c r="D22">
        <v>0</v>
      </c>
      <c r="E22">
        <v>146</v>
      </c>
      <c r="F22">
        <v>0</v>
      </c>
      <c r="G22">
        <v>0</v>
      </c>
      <c r="H22">
        <v>0</v>
      </c>
      <c r="I22">
        <v>0</v>
      </c>
      <c r="J22" s="92">
        <v>146</v>
      </c>
    </row>
    <row r="23" spans="1:10" x14ac:dyDescent="0.3">
      <c r="A23" s="92">
        <v>2250</v>
      </c>
      <c r="B23">
        <v>2250</v>
      </c>
      <c r="C23">
        <v>0</v>
      </c>
      <c r="D23">
        <v>0</v>
      </c>
      <c r="E23">
        <v>112</v>
      </c>
      <c r="F23">
        <v>0</v>
      </c>
      <c r="G23">
        <v>0</v>
      </c>
      <c r="H23">
        <v>0</v>
      </c>
      <c r="I23">
        <v>0</v>
      </c>
      <c r="J23" s="92">
        <v>112</v>
      </c>
    </row>
    <row r="24" spans="1:10" x14ac:dyDescent="0.3">
      <c r="A24" s="92">
        <v>2300</v>
      </c>
      <c r="B24">
        <v>2300</v>
      </c>
      <c r="C24">
        <v>0</v>
      </c>
      <c r="D24">
        <v>0</v>
      </c>
      <c r="E24">
        <v>217</v>
      </c>
      <c r="F24">
        <v>0</v>
      </c>
      <c r="G24">
        <v>0</v>
      </c>
      <c r="H24">
        <v>0</v>
      </c>
      <c r="I24">
        <v>0</v>
      </c>
      <c r="J24" s="92">
        <v>217</v>
      </c>
    </row>
    <row r="25" spans="1:10" x14ac:dyDescent="0.3">
      <c r="A25" s="92">
        <v>2325</v>
      </c>
      <c r="B25">
        <v>2325</v>
      </c>
      <c r="C25">
        <v>0</v>
      </c>
      <c r="D25">
        <v>0</v>
      </c>
      <c r="E25">
        <v>92</v>
      </c>
      <c r="F25">
        <v>0</v>
      </c>
      <c r="G25">
        <v>0</v>
      </c>
      <c r="H25">
        <v>0</v>
      </c>
      <c r="I25">
        <v>0</v>
      </c>
      <c r="J25" s="92">
        <v>92</v>
      </c>
    </row>
    <row r="26" spans="1:10" x14ac:dyDescent="0.3">
      <c r="A26" s="92">
        <v>2350</v>
      </c>
      <c r="B26">
        <v>2350</v>
      </c>
      <c r="C26">
        <v>0</v>
      </c>
      <c r="D26">
        <v>0</v>
      </c>
      <c r="E26">
        <v>61</v>
      </c>
      <c r="F26">
        <v>0</v>
      </c>
      <c r="G26">
        <v>0</v>
      </c>
      <c r="H26">
        <v>0</v>
      </c>
      <c r="I26">
        <v>0</v>
      </c>
      <c r="J26" s="92">
        <v>61</v>
      </c>
    </row>
    <row r="27" spans="1:10" x14ac:dyDescent="0.3">
      <c r="A27" s="92">
        <v>2375</v>
      </c>
      <c r="B27">
        <v>2375</v>
      </c>
      <c r="C27">
        <v>0</v>
      </c>
      <c r="D27">
        <v>0</v>
      </c>
      <c r="E27">
        <v>101</v>
      </c>
      <c r="F27">
        <v>0</v>
      </c>
      <c r="G27">
        <v>0</v>
      </c>
      <c r="H27">
        <v>0</v>
      </c>
      <c r="I27">
        <v>0</v>
      </c>
      <c r="J27" s="92">
        <v>101</v>
      </c>
    </row>
    <row r="28" spans="1:10" x14ac:dyDescent="0.3">
      <c r="A28" s="92">
        <v>2400</v>
      </c>
      <c r="B28">
        <v>2400</v>
      </c>
      <c r="C28">
        <v>0</v>
      </c>
      <c r="D28">
        <v>0</v>
      </c>
      <c r="E28">
        <v>249</v>
      </c>
      <c r="F28">
        <v>0</v>
      </c>
      <c r="G28">
        <v>0</v>
      </c>
      <c r="H28">
        <v>0</v>
      </c>
      <c r="I28">
        <v>0</v>
      </c>
      <c r="J28" s="92">
        <v>249</v>
      </c>
    </row>
    <row r="29" spans="1:10" x14ac:dyDescent="0.3">
      <c r="A29" s="92">
        <v>2425</v>
      </c>
      <c r="B29">
        <v>2425</v>
      </c>
      <c r="C29">
        <v>0</v>
      </c>
      <c r="D29">
        <v>0</v>
      </c>
      <c r="E29">
        <v>50</v>
      </c>
      <c r="F29">
        <v>0</v>
      </c>
      <c r="G29">
        <v>0</v>
      </c>
      <c r="H29">
        <v>0</v>
      </c>
      <c r="I29">
        <v>0</v>
      </c>
      <c r="J29" s="92">
        <v>50</v>
      </c>
    </row>
    <row r="30" spans="1:10" x14ac:dyDescent="0.3">
      <c r="A30" s="92">
        <v>2450</v>
      </c>
      <c r="B30">
        <v>2450</v>
      </c>
      <c r="C30">
        <v>0</v>
      </c>
      <c r="D30">
        <v>0</v>
      </c>
      <c r="E30">
        <v>1855</v>
      </c>
      <c r="F30">
        <v>0</v>
      </c>
      <c r="G30">
        <v>0</v>
      </c>
      <c r="H30">
        <v>0</v>
      </c>
      <c r="I30">
        <v>0</v>
      </c>
      <c r="J30" s="92">
        <v>1855</v>
      </c>
    </row>
    <row r="31" spans="1:10" x14ac:dyDescent="0.3">
      <c r="A31" s="92">
        <v>2475</v>
      </c>
      <c r="B31">
        <v>2475</v>
      </c>
      <c r="C31">
        <v>0</v>
      </c>
      <c r="D31">
        <v>0</v>
      </c>
      <c r="E31">
        <v>55</v>
      </c>
      <c r="F31">
        <v>0</v>
      </c>
      <c r="G31">
        <v>0</v>
      </c>
      <c r="H31">
        <v>0</v>
      </c>
      <c r="I31">
        <v>0</v>
      </c>
      <c r="J31" s="92">
        <v>55</v>
      </c>
    </row>
    <row r="32" spans="1:10" x14ac:dyDescent="0.3">
      <c r="A32" s="92">
        <v>2500</v>
      </c>
      <c r="B32">
        <v>2500</v>
      </c>
      <c r="C32">
        <v>0</v>
      </c>
      <c r="D32">
        <v>0</v>
      </c>
      <c r="E32">
        <v>1419</v>
      </c>
      <c r="F32">
        <v>0</v>
      </c>
      <c r="G32">
        <v>0</v>
      </c>
      <c r="H32">
        <v>0</v>
      </c>
      <c r="I32">
        <v>0</v>
      </c>
      <c r="J32" s="92">
        <v>1419</v>
      </c>
    </row>
    <row r="33" spans="1:10" x14ac:dyDescent="0.3">
      <c r="A33" s="92">
        <v>2525</v>
      </c>
      <c r="B33">
        <v>2525</v>
      </c>
      <c r="C33">
        <v>0</v>
      </c>
      <c r="D33">
        <v>0</v>
      </c>
      <c r="E33">
        <v>201</v>
      </c>
      <c r="F33">
        <v>0</v>
      </c>
      <c r="G33">
        <v>0</v>
      </c>
      <c r="H33">
        <v>0</v>
      </c>
      <c r="I33">
        <v>0</v>
      </c>
      <c r="J33" s="92">
        <v>201</v>
      </c>
    </row>
    <row r="34" spans="1:10" x14ac:dyDescent="0.3">
      <c r="A34" s="92">
        <v>2550</v>
      </c>
      <c r="B34">
        <v>2550</v>
      </c>
      <c r="C34">
        <v>0</v>
      </c>
      <c r="D34">
        <v>0</v>
      </c>
      <c r="E34">
        <v>116</v>
      </c>
      <c r="F34">
        <v>0</v>
      </c>
      <c r="G34">
        <v>0</v>
      </c>
      <c r="H34">
        <v>0</v>
      </c>
      <c r="I34">
        <v>0</v>
      </c>
      <c r="J34" s="92">
        <v>116</v>
      </c>
    </row>
    <row r="35" spans="1:10" x14ac:dyDescent="0.3">
      <c r="A35" s="92">
        <v>2575</v>
      </c>
      <c r="B35">
        <v>2575</v>
      </c>
      <c r="C35">
        <v>0</v>
      </c>
      <c r="D35">
        <v>0</v>
      </c>
      <c r="E35">
        <v>181</v>
      </c>
      <c r="F35">
        <v>0</v>
      </c>
      <c r="G35">
        <v>0</v>
      </c>
      <c r="H35">
        <v>0</v>
      </c>
      <c r="I35">
        <v>0</v>
      </c>
      <c r="J35" s="92">
        <v>181</v>
      </c>
    </row>
    <row r="36" spans="1:10" x14ac:dyDescent="0.3">
      <c r="A36" s="92">
        <v>2600</v>
      </c>
      <c r="B36">
        <v>2600</v>
      </c>
      <c r="C36">
        <v>0</v>
      </c>
      <c r="D36">
        <v>0</v>
      </c>
      <c r="E36">
        <v>9038</v>
      </c>
      <c r="F36">
        <v>0</v>
      </c>
      <c r="G36">
        <v>0</v>
      </c>
      <c r="H36">
        <v>0</v>
      </c>
      <c r="I36">
        <v>0</v>
      </c>
      <c r="J36" s="92">
        <v>9038</v>
      </c>
    </row>
    <row r="37" spans="1:10" x14ac:dyDescent="0.3">
      <c r="A37" s="92">
        <v>2625</v>
      </c>
      <c r="B37">
        <v>2625</v>
      </c>
      <c r="C37">
        <v>0</v>
      </c>
      <c r="D37">
        <v>0</v>
      </c>
      <c r="E37">
        <v>201</v>
      </c>
      <c r="F37">
        <v>0</v>
      </c>
      <c r="G37">
        <v>0</v>
      </c>
      <c r="H37">
        <v>0</v>
      </c>
      <c r="I37">
        <v>0</v>
      </c>
      <c r="J37" s="92">
        <v>201</v>
      </c>
    </row>
    <row r="38" spans="1:10" x14ac:dyDescent="0.3">
      <c r="A38" s="92">
        <v>2650</v>
      </c>
      <c r="B38">
        <v>2650</v>
      </c>
      <c r="C38">
        <v>0</v>
      </c>
      <c r="D38">
        <v>0</v>
      </c>
      <c r="E38">
        <v>317</v>
      </c>
      <c r="F38">
        <v>0</v>
      </c>
      <c r="G38">
        <v>0</v>
      </c>
      <c r="H38">
        <v>0</v>
      </c>
      <c r="I38">
        <v>0</v>
      </c>
      <c r="J38" s="92">
        <v>317</v>
      </c>
    </row>
    <row r="39" spans="1:10" x14ac:dyDescent="0.3">
      <c r="A39" s="92">
        <v>2675</v>
      </c>
      <c r="B39">
        <v>2675</v>
      </c>
      <c r="C39">
        <v>0</v>
      </c>
      <c r="D39">
        <v>0</v>
      </c>
      <c r="E39">
        <v>136</v>
      </c>
      <c r="F39">
        <v>0</v>
      </c>
      <c r="G39">
        <v>0</v>
      </c>
      <c r="H39">
        <v>0</v>
      </c>
      <c r="I39">
        <v>0</v>
      </c>
      <c r="J39" s="92">
        <v>136</v>
      </c>
    </row>
    <row r="40" spans="1:10" x14ac:dyDescent="0.3">
      <c r="A40" s="92">
        <v>2700</v>
      </c>
      <c r="B40">
        <v>2700</v>
      </c>
      <c r="C40">
        <v>0</v>
      </c>
      <c r="D40">
        <v>0</v>
      </c>
      <c r="E40">
        <v>4891</v>
      </c>
      <c r="F40">
        <v>0</v>
      </c>
      <c r="G40">
        <v>0</v>
      </c>
      <c r="H40">
        <v>0</v>
      </c>
      <c r="I40">
        <v>0</v>
      </c>
      <c r="J40" s="92">
        <v>4891</v>
      </c>
    </row>
    <row r="41" spans="1:10" x14ac:dyDescent="0.3">
      <c r="A41" s="92">
        <v>2725</v>
      </c>
      <c r="B41">
        <v>2725</v>
      </c>
      <c r="C41">
        <v>0</v>
      </c>
      <c r="D41">
        <v>0</v>
      </c>
      <c r="E41">
        <v>2950</v>
      </c>
      <c r="F41">
        <v>0</v>
      </c>
      <c r="G41">
        <v>0</v>
      </c>
      <c r="H41">
        <v>0</v>
      </c>
      <c r="I41">
        <v>0</v>
      </c>
      <c r="J41" s="92">
        <v>2950</v>
      </c>
    </row>
    <row r="42" spans="1:10" x14ac:dyDescent="0.3">
      <c r="A42" s="92">
        <v>2750</v>
      </c>
      <c r="B42">
        <v>2750</v>
      </c>
      <c r="C42">
        <v>0</v>
      </c>
      <c r="D42">
        <v>0</v>
      </c>
      <c r="E42">
        <v>5486</v>
      </c>
      <c r="F42">
        <v>0</v>
      </c>
      <c r="G42">
        <v>0</v>
      </c>
      <c r="H42">
        <v>0</v>
      </c>
      <c r="I42">
        <v>0</v>
      </c>
      <c r="J42" s="92">
        <v>5486</v>
      </c>
    </row>
    <row r="43" spans="1:10" x14ac:dyDescent="0.3">
      <c r="A43" s="92">
        <v>2775</v>
      </c>
      <c r="B43">
        <v>2775</v>
      </c>
      <c r="C43">
        <v>0</v>
      </c>
      <c r="D43">
        <v>0</v>
      </c>
      <c r="E43">
        <v>24033</v>
      </c>
      <c r="F43">
        <v>0</v>
      </c>
      <c r="G43">
        <v>0</v>
      </c>
      <c r="H43">
        <v>0</v>
      </c>
      <c r="I43">
        <v>0</v>
      </c>
      <c r="J43" s="92">
        <v>24033</v>
      </c>
    </row>
    <row r="44" spans="1:10" x14ac:dyDescent="0.3">
      <c r="A44" s="92">
        <v>2800</v>
      </c>
      <c r="B44">
        <v>2800</v>
      </c>
      <c r="C44">
        <v>0</v>
      </c>
      <c r="D44">
        <v>0</v>
      </c>
      <c r="E44">
        <v>5697</v>
      </c>
      <c r="F44">
        <v>0</v>
      </c>
      <c r="G44">
        <v>0</v>
      </c>
      <c r="H44">
        <v>0</v>
      </c>
      <c r="I44">
        <v>0</v>
      </c>
      <c r="J44" s="92">
        <v>5697</v>
      </c>
    </row>
    <row r="45" spans="1:10" x14ac:dyDescent="0.3">
      <c r="A45" s="92">
        <v>2825</v>
      </c>
      <c r="B45">
        <v>2825</v>
      </c>
      <c r="C45">
        <v>0</v>
      </c>
      <c r="D45">
        <v>0</v>
      </c>
      <c r="E45">
        <v>4192</v>
      </c>
      <c r="F45">
        <v>0</v>
      </c>
      <c r="G45">
        <v>0</v>
      </c>
      <c r="H45">
        <v>0</v>
      </c>
      <c r="I45">
        <v>0</v>
      </c>
      <c r="J45" s="92">
        <v>4192</v>
      </c>
    </row>
    <row r="46" spans="1:10" x14ac:dyDescent="0.3">
      <c r="A46" s="92">
        <v>2850</v>
      </c>
      <c r="B46">
        <v>2850</v>
      </c>
      <c r="C46">
        <v>0</v>
      </c>
      <c r="D46">
        <v>0</v>
      </c>
      <c r="E46">
        <v>2095</v>
      </c>
      <c r="F46">
        <v>0</v>
      </c>
      <c r="G46">
        <v>0</v>
      </c>
      <c r="H46">
        <v>0</v>
      </c>
      <c r="I46">
        <v>0</v>
      </c>
      <c r="J46" s="92">
        <v>2095</v>
      </c>
    </row>
    <row r="47" spans="1:10" x14ac:dyDescent="0.3">
      <c r="A47" s="92">
        <v>2875</v>
      </c>
      <c r="B47">
        <v>2875</v>
      </c>
      <c r="C47">
        <v>0</v>
      </c>
      <c r="D47">
        <v>0</v>
      </c>
      <c r="E47">
        <v>19101</v>
      </c>
      <c r="F47">
        <v>0</v>
      </c>
      <c r="G47">
        <v>0</v>
      </c>
      <c r="H47">
        <v>0</v>
      </c>
      <c r="I47">
        <v>0</v>
      </c>
      <c r="J47" s="92">
        <v>19101</v>
      </c>
    </row>
    <row r="48" spans="1:10" x14ac:dyDescent="0.3">
      <c r="A48" s="92">
        <v>2900</v>
      </c>
      <c r="B48">
        <v>2900</v>
      </c>
      <c r="C48">
        <v>0</v>
      </c>
      <c r="D48">
        <v>0</v>
      </c>
      <c r="E48">
        <v>5203</v>
      </c>
      <c r="F48">
        <v>0</v>
      </c>
      <c r="G48">
        <v>0</v>
      </c>
      <c r="H48">
        <v>0</v>
      </c>
      <c r="I48">
        <v>0</v>
      </c>
      <c r="J48" s="92">
        <v>5203</v>
      </c>
    </row>
    <row r="49" spans="1:10" x14ac:dyDescent="0.3">
      <c r="A49" s="92">
        <v>2925</v>
      </c>
      <c r="B49">
        <v>2925</v>
      </c>
      <c r="C49">
        <v>0</v>
      </c>
      <c r="D49">
        <v>0</v>
      </c>
      <c r="E49">
        <v>4417</v>
      </c>
      <c r="F49">
        <v>0</v>
      </c>
      <c r="G49">
        <v>0</v>
      </c>
      <c r="H49">
        <v>0</v>
      </c>
      <c r="I49">
        <v>0</v>
      </c>
      <c r="J49" s="92">
        <v>4417</v>
      </c>
    </row>
    <row r="50" spans="1:10" x14ac:dyDescent="0.3">
      <c r="A50" s="92">
        <v>2950</v>
      </c>
      <c r="B50">
        <v>2950</v>
      </c>
      <c r="C50">
        <v>0</v>
      </c>
      <c r="D50">
        <v>0</v>
      </c>
      <c r="E50">
        <v>5487</v>
      </c>
      <c r="F50">
        <v>0</v>
      </c>
      <c r="G50">
        <v>0</v>
      </c>
      <c r="H50">
        <v>0</v>
      </c>
      <c r="I50">
        <v>0</v>
      </c>
      <c r="J50" s="92">
        <v>5487</v>
      </c>
    </row>
    <row r="51" spans="1:10" x14ac:dyDescent="0.3">
      <c r="A51" s="92">
        <v>2975</v>
      </c>
      <c r="B51">
        <v>2975</v>
      </c>
      <c r="C51">
        <v>0</v>
      </c>
      <c r="D51">
        <v>0</v>
      </c>
      <c r="E51">
        <v>2423</v>
      </c>
      <c r="F51">
        <v>0</v>
      </c>
      <c r="G51">
        <v>0</v>
      </c>
      <c r="H51">
        <v>0</v>
      </c>
      <c r="I51">
        <v>0</v>
      </c>
      <c r="J51" s="92">
        <v>2423</v>
      </c>
    </row>
    <row r="52" spans="1:10" x14ac:dyDescent="0.3">
      <c r="A52" s="92">
        <v>3000</v>
      </c>
      <c r="B52">
        <v>3000</v>
      </c>
      <c r="C52">
        <v>0</v>
      </c>
      <c r="D52">
        <v>0</v>
      </c>
      <c r="E52">
        <v>11105</v>
      </c>
      <c r="F52">
        <v>0</v>
      </c>
      <c r="G52">
        <v>0</v>
      </c>
      <c r="H52">
        <v>0</v>
      </c>
      <c r="I52">
        <v>0</v>
      </c>
      <c r="J52" s="92">
        <v>11105</v>
      </c>
    </row>
    <row r="53" spans="1:10" x14ac:dyDescent="0.3">
      <c r="A53" s="92">
        <v>3025</v>
      </c>
      <c r="B53">
        <v>3025</v>
      </c>
      <c r="C53">
        <v>0</v>
      </c>
      <c r="D53">
        <v>0</v>
      </c>
      <c r="E53">
        <v>9817</v>
      </c>
      <c r="F53">
        <v>0</v>
      </c>
      <c r="G53">
        <v>0</v>
      </c>
      <c r="H53">
        <v>0</v>
      </c>
      <c r="I53">
        <v>0</v>
      </c>
      <c r="J53" s="92">
        <v>9817</v>
      </c>
    </row>
    <row r="54" spans="1:10" x14ac:dyDescent="0.3">
      <c r="A54" s="92">
        <v>3050</v>
      </c>
      <c r="B54">
        <v>3050</v>
      </c>
      <c r="C54">
        <v>0</v>
      </c>
      <c r="D54">
        <v>0</v>
      </c>
      <c r="E54">
        <v>7231</v>
      </c>
      <c r="F54">
        <v>0</v>
      </c>
      <c r="G54">
        <v>0</v>
      </c>
      <c r="H54">
        <v>0</v>
      </c>
      <c r="I54">
        <v>0</v>
      </c>
      <c r="J54" s="92">
        <v>7231</v>
      </c>
    </row>
    <row r="55" spans="1:10" x14ac:dyDescent="0.3">
      <c r="A55" s="92">
        <v>3075</v>
      </c>
      <c r="B55">
        <v>3075</v>
      </c>
      <c r="C55">
        <v>0</v>
      </c>
      <c r="D55">
        <v>0</v>
      </c>
      <c r="E55">
        <v>3873</v>
      </c>
      <c r="F55">
        <v>0</v>
      </c>
      <c r="G55">
        <v>0</v>
      </c>
      <c r="H55">
        <v>0</v>
      </c>
      <c r="I55">
        <v>0</v>
      </c>
      <c r="J55" s="92">
        <v>3873</v>
      </c>
    </row>
    <row r="56" spans="1:10" x14ac:dyDescent="0.3">
      <c r="A56" s="92">
        <v>3100</v>
      </c>
      <c r="B56">
        <v>3100</v>
      </c>
      <c r="C56">
        <v>0</v>
      </c>
      <c r="D56">
        <v>0</v>
      </c>
      <c r="E56">
        <v>20267</v>
      </c>
      <c r="F56">
        <v>0</v>
      </c>
      <c r="G56">
        <v>0</v>
      </c>
      <c r="H56">
        <v>0</v>
      </c>
      <c r="I56">
        <v>0</v>
      </c>
      <c r="J56" s="92">
        <v>20267</v>
      </c>
    </row>
    <row r="57" spans="1:10" x14ac:dyDescent="0.3">
      <c r="A57" s="92">
        <v>3125</v>
      </c>
      <c r="B57">
        <v>3125</v>
      </c>
      <c r="C57">
        <v>0</v>
      </c>
      <c r="D57">
        <v>0</v>
      </c>
      <c r="E57">
        <v>12336</v>
      </c>
      <c r="F57">
        <v>0</v>
      </c>
      <c r="G57">
        <v>0</v>
      </c>
      <c r="H57">
        <v>0</v>
      </c>
      <c r="I57">
        <v>0</v>
      </c>
      <c r="J57" s="92">
        <v>12336</v>
      </c>
    </row>
    <row r="58" spans="1:10" x14ac:dyDescent="0.3">
      <c r="A58" s="92">
        <v>3150</v>
      </c>
      <c r="B58">
        <v>3150</v>
      </c>
      <c r="C58">
        <v>0</v>
      </c>
      <c r="D58">
        <v>0</v>
      </c>
      <c r="E58">
        <v>17856</v>
      </c>
      <c r="F58">
        <v>0</v>
      </c>
      <c r="G58">
        <v>0</v>
      </c>
      <c r="H58">
        <v>0</v>
      </c>
      <c r="I58">
        <v>0</v>
      </c>
      <c r="J58" s="92">
        <v>17856</v>
      </c>
    </row>
    <row r="59" spans="1:10" x14ac:dyDescent="0.3">
      <c r="A59" s="92">
        <v>3175</v>
      </c>
      <c r="B59">
        <v>3175</v>
      </c>
      <c r="C59">
        <v>0</v>
      </c>
      <c r="D59">
        <v>0</v>
      </c>
      <c r="E59">
        <v>10038</v>
      </c>
      <c r="F59">
        <v>0</v>
      </c>
      <c r="G59">
        <v>0</v>
      </c>
      <c r="H59">
        <v>0</v>
      </c>
      <c r="I59">
        <v>0</v>
      </c>
      <c r="J59" s="92">
        <v>10038</v>
      </c>
    </row>
    <row r="60" spans="1:10" x14ac:dyDescent="0.3">
      <c r="A60" s="92">
        <v>3200</v>
      </c>
      <c r="B60">
        <v>3200</v>
      </c>
      <c r="C60">
        <v>0</v>
      </c>
      <c r="D60">
        <v>0</v>
      </c>
      <c r="E60">
        <v>22318</v>
      </c>
      <c r="F60">
        <v>0</v>
      </c>
      <c r="G60">
        <v>0</v>
      </c>
      <c r="H60">
        <v>0</v>
      </c>
      <c r="I60">
        <v>0</v>
      </c>
      <c r="J60" s="92">
        <v>22318</v>
      </c>
    </row>
    <row r="61" spans="1:10" x14ac:dyDescent="0.3">
      <c r="A61" s="92">
        <v>3225</v>
      </c>
      <c r="B61">
        <v>3225</v>
      </c>
      <c r="C61">
        <v>0</v>
      </c>
      <c r="D61">
        <v>0</v>
      </c>
      <c r="E61">
        <v>5027</v>
      </c>
      <c r="F61">
        <v>0</v>
      </c>
      <c r="G61">
        <v>0</v>
      </c>
      <c r="H61">
        <v>0</v>
      </c>
      <c r="I61">
        <v>0</v>
      </c>
      <c r="J61" s="92">
        <v>5027</v>
      </c>
    </row>
    <row r="62" spans="1:10" x14ac:dyDescent="0.3">
      <c r="A62" s="92">
        <v>3250</v>
      </c>
      <c r="B62">
        <v>3250</v>
      </c>
      <c r="C62">
        <v>0</v>
      </c>
      <c r="D62">
        <v>0</v>
      </c>
      <c r="E62">
        <v>16859</v>
      </c>
      <c r="F62">
        <v>0</v>
      </c>
      <c r="G62">
        <v>0</v>
      </c>
      <c r="H62">
        <v>0</v>
      </c>
      <c r="I62">
        <v>0</v>
      </c>
      <c r="J62" s="92">
        <v>16859</v>
      </c>
    </row>
    <row r="63" spans="1:10" x14ac:dyDescent="0.3">
      <c r="A63" s="92">
        <v>3275</v>
      </c>
      <c r="B63">
        <v>3275</v>
      </c>
      <c r="C63">
        <v>0</v>
      </c>
      <c r="D63">
        <v>20</v>
      </c>
      <c r="E63">
        <v>10609</v>
      </c>
      <c r="F63">
        <v>0.3</v>
      </c>
      <c r="G63">
        <v>0.3</v>
      </c>
      <c r="H63">
        <v>0.3</v>
      </c>
      <c r="I63">
        <v>0.3</v>
      </c>
      <c r="J63" s="92">
        <v>10609</v>
      </c>
    </row>
    <row r="64" spans="1:10" x14ac:dyDescent="0.3">
      <c r="A64" s="92">
        <v>3300</v>
      </c>
      <c r="B64">
        <v>3300</v>
      </c>
      <c r="C64">
        <v>0</v>
      </c>
      <c r="D64">
        <v>500</v>
      </c>
      <c r="E64">
        <v>19623</v>
      </c>
      <c r="F64">
        <v>0.2</v>
      </c>
      <c r="G64">
        <v>0.2</v>
      </c>
      <c r="H64">
        <v>0.2</v>
      </c>
      <c r="I64">
        <v>0.2</v>
      </c>
      <c r="J64" s="92">
        <v>19623</v>
      </c>
    </row>
    <row r="65" spans="1:10" x14ac:dyDescent="0.3">
      <c r="A65" s="92">
        <v>3325</v>
      </c>
      <c r="B65">
        <v>3325</v>
      </c>
      <c r="C65">
        <v>0</v>
      </c>
      <c r="D65">
        <v>400</v>
      </c>
      <c r="E65">
        <v>4565</v>
      </c>
      <c r="F65">
        <v>0.3</v>
      </c>
      <c r="G65">
        <v>0.3</v>
      </c>
      <c r="H65">
        <v>0.2</v>
      </c>
      <c r="I65">
        <v>0.2</v>
      </c>
      <c r="J65" s="92">
        <v>4565</v>
      </c>
    </row>
    <row r="66" spans="1:10" x14ac:dyDescent="0.3">
      <c r="A66" s="92">
        <v>3350</v>
      </c>
      <c r="B66">
        <v>3350</v>
      </c>
      <c r="C66">
        <v>0</v>
      </c>
      <c r="D66">
        <v>401</v>
      </c>
      <c r="E66">
        <v>3560</v>
      </c>
      <c r="F66">
        <v>0.3</v>
      </c>
      <c r="G66">
        <v>0.3</v>
      </c>
      <c r="H66">
        <v>0.2</v>
      </c>
      <c r="I66">
        <v>0.2</v>
      </c>
      <c r="J66" s="92">
        <v>3560</v>
      </c>
    </row>
    <row r="67" spans="1:10" x14ac:dyDescent="0.3">
      <c r="A67" s="92">
        <v>3375</v>
      </c>
      <c r="B67">
        <v>3375</v>
      </c>
      <c r="C67">
        <v>0</v>
      </c>
      <c r="D67">
        <v>0</v>
      </c>
      <c r="E67">
        <v>4257</v>
      </c>
      <c r="F67">
        <v>0</v>
      </c>
      <c r="G67">
        <v>0</v>
      </c>
      <c r="H67">
        <v>0</v>
      </c>
      <c r="I67">
        <v>0</v>
      </c>
      <c r="J67" s="92">
        <v>4257</v>
      </c>
    </row>
    <row r="68" spans="1:10" x14ac:dyDescent="0.3">
      <c r="A68" s="92">
        <v>3400</v>
      </c>
      <c r="B68">
        <v>3400</v>
      </c>
      <c r="C68">
        <v>0</v>
      </c>
      <c r="D68">
        <v>2826</v>
      </c>
      <c r="E68">
        <v>21646</v>
      </c>
      <c r="F68">
        <v>0.4</v>
      </c>
      <c r="G68">
        <v>0.5</v>
      </c>
      <c r="H68">
        <v>0.3</v>
      </c>
      <c r="I68">
        <v>0.3</v>
      </c>
      <c r="J68" s="92">
        <v>21646</v>
      </c>
    </row>
    <row r="69" spans="1:10" x14ac:dyDescent="0.3">
      <c r="A69" s="92">
        <v>3425</v>
      </c>
      <c r="B69">
        <v>3425</v>
      </c>
      <c r="C69">
        <v>0</v>
      </c>
      <c r="D69">
        <v>795</v>
      </c>
      <c r="E69">
        <v>6845</v>
      </c>
      <c r="F69">
        <v>0.4</v>
      </c>
      <c r="G69">
        <v>0.4</v>
      </c>
      <c r="H69">
        <v>0.3</v>
      </c>
      <c r="I69">
        <v>0.3</v>
      </c>
      <c r="J69" s="92">
        <v>6845</v>
      </c>
    </row>
    <row r="70" spans="1:10" x14ac:dyDescent="0.3">
      <c r="A70" s="92">
        <v>3450</v>
      </c>
      <c r="B70">
        <v>3450</v>
      </c>
      <c r="C70">
        <v>0</v>
      </c>
      <c r="D70">
        <v>1065</v>
      </c>
      <c r="E70">
        <v>14776</v>
      </c>
      <c r="F70">
        <v>0.5</v>
      </c>
      <c r="G70">
        <v>0.5</v>
      </c>
      <c r="H70">
        <v>0.4</v>
      </c>
      <c r="I70">
        <v>0.4</v>
      </c>
      <c r="J70" s="92">
        <v>14776</v>
      </c>
    </row>
    <row r="71" spans="1:10" x14ac:dyDescent="0.3">
      <c r="A71" s="92">
        <v>3475</v>
      </c>
      <c r="B71">
        <v>3475</v>
      </c>
      <c r="C71">
        <v>0</v>
      </c>
      <c r="D71">
        <v>352</v>
      </c>
      <c r="E71">
        <v>8568</v>
      </c>
      <c r="F71">
        <v>0.5</v>
      </c>
      <c r="G71">
        <v>0.6</v>
      </c>
      <c r="H71">
        <v>0.3</v>
      </c>
      <c r="I71">
        <v>0.3</v>
      </c>
      <c r="J71" s="92">
        <v>8568</v>
      </c>
    </row>
    <row r="72" spans="1:10" x14ac:dyDescent="0.3">
      <c r="A72" s="92">
        <v>3500</v>
      </c>
      <c r="B72">
        <v>3500</v>
      </c>
      <c r="C72">
        <v>0</v>
      </c>
      <c r="D72">
        <v>203</v>
      </c>
      <c r="E72">
        <v>29699</v>
      </c>
      <c r="F72">
        <v>0.7</v>
      </c>
      <c r="G72">
        <v>0.7</v>
      </c>
      <c r="H72">
        <v>0.3</v>
      </c>
      <c r="I72">
        <v>0.3</v>
      </c>
      <c r="J72" s="92">
        <v>29699</v>
      </c>
    </row>
    <row r="73" spans="1:10" x14ac:dyDescent="0.3">
      <c r="A73" s="92">
        <v>3525</v>
      </c>
      <c r="B73">
        <v>3525</v>
      </c>
      <c r="C73">
        <v>0</v>
      </c>
      <c r="D73">
        <v>521</v>
      </c>
      <c r="E73">
        <v>7021</v>
      </c>
      <c r="F73">
        <v>0.7</v>
      </c>
      <c r="G73">
        <v>0.7</v>
      </c>
      <c r="H73">
        <v>0.4</v>
      </c>
      <c r="I73">
        <v>0.4</v>
      </c>
      <c r="J73" s="92">
        <v>7021</v>
      </c>
    </row>
    <row r="74" spans="1:10" x14ac:dyDescent="0.3">
      <c r="A74" s="92">
        <v>3550</v>
      </c>
      <c r="B74">
        <v>3550</v>
      </c>
      <c r="C74">
        <v>0</v>
      </c>
      <c r="D74">
        <v>1326</v>
      </c>
      <c r="E74">
        <v>47243</v>
      </c>
      <c r="F74">
        <v>0.8</v>
      </c>
      <c r="G74">
        <v>0.8</v>
      </c>
      <c r="H74">
        <v>0.4</v>
      </c>
      <c r="I74">
        <v>0.4</v>
      </c>
      <c r="J74" s="92">
        <v>47243</v>
      </c>
    </row>
    <row r="75" spans="1:10" x14ac:dyDescent="0.3">
      <c r="A75" s="92">
        <v>3575</v>
      </c>
      <c r="B75">
        <v>3575</v>
      </c>
      <c r="C75">
        <v>0</v>
      </c>
      <c r="D75">
        <v>5430</v>
      </c>
      <c r="E75">
        <v>9243</v>
      </c>
      <c r="F75">
        <v>0.7</v>
      </c>
      <c r="G75">
        <v>0.7</v>
      </c>
      <c r="H75">
        <v>0.4</v>
      </c>
      <c r="I75">
        <v>0.5</v>
      </c>
      <c r="J75" s="92">
        <v>9243</v>
      </c>
    </row>
    <row r="76" spans="1:10" x14ac:dyDescent="0.3">
      <c r="A76" s="92">
        <v>3600</v>
      </c>
      <c r="B76">
        <v>3600</v>
      </c>
      <c r="C76">
        <v>0</v>
      </c>
      <c r="D76">
        <v>2311</v>
      </c>
      <c r="E76">
        <v>44280</v>
      </c>
      <c r="F76">
        <v>1</v>
      </c>
      <c r="G76">
        <v>1</v>
      </c>
      <c r="H76">
        <v>0.4</v>
      </c>
      <c r="I76">
        <v>0.4</v>
      </c>
      <c r="J76" s="92">
        <v>44280</v>
      </c>
    </row>
    <row r="77" spans="1:10" x14ac:dyDescent="0.3">
      <c r="A77" s="92">
        <v>3625</v>
      </c>
      <c r="B77">
        <v>3625</v>
      </c>
      <c r="C77">
        <v>0</v>
      </c>
      <c r="D77">
        <v>1918</v>
      </c>
      <c r="E77">
        <v>6122</v>
      </c>
      <c r="F77">
        <v>1.1000000000000001</v>
      </c>
      <c r="G77">
        <v>1.1000000000000001</v>
      </c>
      <c r="H77">
        <v>0.5</v>
      </c>
      <c r="I77">
        <v>0.5</v>
      </c>
      <c r="J77" s="92">
        <v>6122</v>
      </c>
    </row>
    <row r="78" spans="1:10" x14ac:dyDescent="0.3">
      <c r="A78" s="92">
        <v>3650</v>
      </c>
      <c r="B78">
        <v>3650</v>
      </c>
      <c r="C78">
        <v>0</v>
      </c>
      <c r="D78">
        <v>1296</v>
      </c>
      <c r="E78">
        <v>14998</v>
      </c>
      <c r="F78">
        <v>0.9</v>
      </c>
      <c r="G78">
        <v>1</v>
      </c>
      <c r="H78">
        <v>0.5</v>
      </c>
      <c r="I78">
        <v>0.6</v>
      </c>
      <c r="J78" s="92">
        <v>14998</v>
      </c>
    </row>
    <row r="79" spans="1:10" x14ac:dyDescent="0.3">
      <c r="A79" s="92">
        <v>3675</v>
      </c>
      <c r="B79">
        <v>3675</v>
      </c>
      <c r="C79">
        <v>0</v>
      </c>
      <c r="D79">
        <v>1252</v>
      </c>
      <c r="E79">
        <v>16064</v>
      </c>
      <c r="F79">
        <v>1</v>
      </c>
      <c r="G79">
        <v>1.1000000000000001</v>
      </c>
      <c r="H79">
        <v>0.6</v>
      </c>
      <c r="I79">
        <v>0.6</v>
      </c>
      <c r="J79" s="92">
        <v>16064</v>
      </c>
    </row>
    <row r="80" spans="1:10" x14ac:dyDescent="0.3">
      <c r="A80" s="92">
        <v>3700</v>
      </c>
      <c r="B80">
        <v>3700</v>
      </c>
      <c r="C80">
        <v>0</v>
      </c>
      <c r="D80">
        <v>1867</v>
      </c>
      <c r="E80">
        <v>42275</v>
      </c>
      <c r="F80">
        <v>1.5</v>
      </c>
      <c r="G80">
        <v>1.6</v>
      </c>
      <c r="H80">
        <v>0.7</v>
      </c>
      <c r="I80">
        <v>0.7</v>
      </c>
      <c r="J80" s="92">
        <v>42275</v>
      </c>
    </row>
    <row r="81" spans="1:10" x14ac:dyDescent="0.3">
      <c r="A81" s="92">
        <v>3725</v>
      </c>
      <c r="B81">
        <v>3725</v>
      </c>
      <c r="C81">
        <v>0</v>
      </c>
      <c r="D81">
        <v>1149</v>
      </c>
      <c r="E81">
        <v>11545</v>
      </c>
      <c r="F81">
        <v>1.4</v>
      </c>
      <c r="G81">
        <v>1.4</v>
      </c>
      <c r="H81">
        <v>0.8</v>
      </c>
      <c r="I81">
        <v>0.8</v>
      </c>
      <c r="J81" s="92">
        <v>11545</v>
      </c>
    </row>
    <row r="82" spans="1:10" x14ac:dyDescent="0.3">
      <c r="A82" s="92">
        <v>3750</v>
      </c>
      <c r="B82">
        <v>3750</v>
      </c>
      <c r="C82">
        <v>0</v>
      </c>
      <c r="D82">
        <v>8155</v>
      </c>
      <c r="E82">
        <v>38424</v>
      </c>
      <c r="F82">
        <v>1.6</v>
      </c>
      <c r="G82">
        <v>1.7</v>
      </c>
      <c r="H82">
        <v>0.8</v>
      </c>
      <c r="I82">
        <v>0.9</v>
      </c>
      <c r="J82" s="92">
        <v>38424</v>
      </c>
    </row>
    <row r="83" spans="1:10" x14ac:dyDescent="0.3">
      <c r="A83" s="92">
        <v>3775</v>
      </c>
      <c r="B83">
        <v>3775</v>
      </c>
      <c r="C83">
        <v>0</v>
      </c>
      <c r="D83">
        <v>506</v>
      </c>
      <c r="E83">
        <v>9666</v>
      </c>
      <c r="F83">
        <v>1.7</v>
      </c>
      <c r="G83">
        <v>1.9</v>
      </c>
      <c r="H83">
        <v>0.9</v>
      </c>
      <c r="I83">
        <v>1</v>
      </c>
      <c r="J83" s="92">
        <v>9666</v>
      </c>
    </row>
    <row r="84" spans="1:10" x14ac:dyDescent="0.3">
      <c r="A84" s="92">
        <v>3800</v>
      </c>
      <c r="B84">
        <v>3800</v>
      </c>
      <c r="C84">
        <v>0</v>
      </c>
      <c r="D84">
        <v>3219</v>
      </c>
      <c r="E84">
        <v>88416</v>
      </c>
      <c r="F84">
        <v>2</v>
      </c>
      <c r="G84">
        <v>2.1</v>
      </c>
      <c r="H84">
        <v>1.1000000000000001</v>
      </c>
      <c r="I84">
        <v>1.2</v>
      </c>
      <c r="J84" s="92">
        <v>88416</v>
      </c>
    </row>
    <row r="85" spans="1:10" x14ac:dyDescent="0.3">
      <c r="A85" s="92">
        <v>3825</v>
      </c>
      <c r="B85">
        <v>3825</v>
      </c>
      <c r="C85">
        <v>0</v>
      </c>
      <c r="D85">
        <v>1662</v>
      </c>
      <c r="E85">
        <v>9948</v>
      </c>
      <c r="F85">
        <v>2.5</v>
      </c>
      <c r="G85">
        <v>2.7</v>
      </c>
      <c r="H85">
        <v>1.2</v>
      </c>
      <c r="I85">
        <v>1.3</v>
      </c>
      <c r="J85" s="92">
        <v>9948</v>
      </c>
    </row>
    <row r="86" spans="1:10" x14ac:dyDescent="0.3">
      <c r="A86" s="92">
        <v>3850</v>
      </c>
      <c r="B86">
        <v>3850</v>
      </c>
      <c r="C86">
        <v>0</v>
      </c>
      <c r="D86">
        <v>1537</v>
      </c>
      <c r="E86">
        <v>26323</v>
      </c>
      <c r="F86">
        <v>3.2</v>
      </c>
      <c r="G86">
        <v>3.2</v>
      </c>
      <c r="H86">
        <v>1.4</v>
      </c>
      <c r="I86">
        <v>1.5</v>
      </c>
      <c r="J86" s="92">
        <v>26323</v>
      </c>
    </row>
    <row r="87" spans="1:10" x14ac:dyDescent="0.3">
      <c r="A87" s="92">
        <v>3875</v>
      </c>
      <c r="B87">
        <v>3875</v>
      </c>
      <c r="C87">
        <v>0</v>
      </c>
      <c r="D87">
        <v>608</v>
      </c>
      <c r="E87">
        <v>31132</v>
      </c>
      <c r="F87">
        <v>2.9</v>
      </c>
      <c r="G87">
        <v>2.9</v>
      </c>
      <c r="H87">
        <v>1.6</v>
      </c>
      <c r="I87">
        <v>1.8</v>
      </c>
      <c r="J87" s="92">
        <v>31132</v>
      </c>
    </row>
    <row r="88" spans="1:10" x14ac:dyDescent="0.3">
      <c r="A88" s="92">
        <v>3900</v>
      </c>
      <c r="B88">
        <v>3900</v>
      </c>
      <c r="C88">
        <v>0</v>
      </c>
      <c r="D88">
        <v>18967</v>
      </c>
      <c r="E88">
        <v>123836</v>
      </c>
      <c r="F88">
        <v>2.8</v>
      </c>
      <c r="G88">
        <v>4.5</v>
      </c>
      <c r="H88">
        <v>1.8</v>
      </c>
      <c r="I88">
        <v>2.1</v>
      </c>
      <c r="J88" s="92">
        <v>123836</v>
      </c>
    </row>
    <row r="89" spans="1:10" x14ac:dyDescent="0.3">
      <c r="A89" s="92">
        <v>3925</v>
      </c>
      <c r="B89">
        <v>3925</v>
      </c>
      <c r="C89">
        <v>0</v>
      </c>
      <c r="D89">
        <v>3945</v>
      </c>
      <c r="E89">
        <v>13695</v>
      </c>
      <c r="F89">
        <v>4.0999999999999996</v>
      </c>
      <c r="G89">
        <v>5.5</v>
      </c>
      <c r="H89">
        <v>2.1</v>
      </c>
      <c r="I89">
        <v>2.5</v>
      </c>
      <c r="J89" s="92">
        <v>13695</v>
      </c>
    </row>
    <row r="90" spans="1:10" x14ac:dyDescent="0.3">
      <c r="A90" s="92">
        <v>3950</v>
      </c>
      <c r="B90">
        <v>3950</v>
      </c>
      <c r="C90">
        <v>0</v>
      </c>
      <c r="D90">
        <v>7691</v>
      </c>
      <c r="E90">
        <v>49341</v>
      </c>
      <c r="F90">
        <v>4.7</v>
      </c>
      <c r="G90">
        <v>7</v>
      </c>
      <c r="H90">
        <v>2.6</v>
      </c>
      <c r="I90">
        <v>3</v>
      </c>
      <c r="J90" s="92">
        <v>49341</v>
      </c>
    </row>
    <row r="91" spans="1:10" x14ac:dyDescent="0.3">
      <c r="A91" s="92">
        <v>3975</v>
      </c>
      <c r="B91">
        <v>3975</v>
      </c>
      <c r="C91">
        <v>0</v>
      </c>
      <c r="D91">
        <v>1629</v>
      </c>
      <c r="E91">
        <v>27153</v>
      </c>
      <c r="F91">
        <v>6.2</v>
      </c>
      <c r="G91">
        <v>8.6</v>
      </c>
      <c r="H91">
        <v>3.2</v>
      </c>
      <c r="I91">
        <v>3.9</v>
      </c>
      <c r="J91" s="92">
        <v>27153</v>
      </c>
    </row>
    <row r="92" spans="1:10" x14ac:dyDescent="0.3">
      <c r="A92" s="92">
        <v>4000</v>
      </c>
      <c r="B92">
        <v>4000</v>
      </c>
      <c r="C92">
        <v>0</v>
      </c>
      <c r="D92">
        <v>22342</v>
      </c>
      <c r="E92">
        <v>105096</v>
      </c>
      <c r="F92">
        <v>6.7</v>
      </c>
      <c r="G92">
        <v>10.8</v>
      </c>
      <c r="H92">
        <v>4.0999999999999996</v>
      </c>
      <c r="I92">
        <v>5.0999999999999996</v>
      </c>
      <c r="J92" s="92">
        <v>105096</v>
      </c>
    </row>
    <row r="93" spans="1:10" x14ac:dyDescent="0.3">
      <c r="A93" s="92">
        <v>4025</v>
      </c>
      <c r="B93">
        <v>4025</v>
      </c>
      <c r="C93">
        <v>0</v>
      </c>
      <c r="D93">
        <v>4881</v>
      </c>
      <c r="E93">
        <v>16521</v>
      </c>
      <c r="F93">
        <v>11.9</v>
      </c>
      <c r="G93">
        <v>15.1</v>
      </c>
      <c r="H93">
        <v>5.3</v>
      </c>
      <c r="I93">
        <v>7</v>
      </c>
      <c r="J93" s="92">
        <v>16521</v>
      </c>
    </row>
    <row r="94" spans="1:10" x14ac:dyDescent="0.3">
      <c r="A94" s="92">
        <v>4050</v>
      </c>
      <c r="B94">
        <v>4050</v>
      </c>
      <c r="C94">
        <v>0</v>
      </c>
      <c r="D94">
        <v>12407</v>
      </c>
      <c r="E94">
        <v>54358</v>
      </c>
      <c r="F94">
        <v>10.7</v>
      </c>
      <c r="G94">
        <v>19.5</v>
      </c>
      <c r="H94">
        <v>7.2</v>
      </c>
      <c r="I94">
        <v>9.4</v>
      </c>
      <c r="J94" s="92">
        <v>54358</v>
      </c>
    </row>
    <row r="95" spans="1:10" x14ac:dyDescent="0.3">
      <c r="A95" s="92">
        <v>4075</v>
      </c>
      <c r="B95">
        <v>4075</v>
      </c>
      <c r="C95">
        <v>0</v>
      </c>
      <c r="D95">
        <v>5597</v>
      </c>
      <c r="E95">
        <v>26521</v>
      </c>
      <c r="F95">
        <v>17.8</v>
      </c>
      <c r="G95">
        <v>24.9</v>
      </c>
      <c r="H95">
        <v>9.9</v>
      </c>
      <c r="I95">
        <v>13.1</v>
      </c>
      <c r="J95" s="92">
        <v>26521</v>
      </c>
    </row>
    <row r="96" spans="1:10" x14ac:dyDescent="0.3">
      <c r="A96" s="92">
        <v>4100</v>
      </c>
      <c r="B96">
        <v>4100</v>
      </c>
      <c r="C96">
        <v>0</v>
      </c>
      <c r="D96">
        <v>35448</v>
      </c>
      <c r="E96">
        <v>126364</v>
      </c>
      <c r="F96">
        <v>18.8</v>
      </c>
      <c r="G96">
        <v>34.4</v>
      </c>
      <c r="H96">
        <v>14</v>
      </c>
      <c r="I96">
        <v>18.2</v>
      </c>
      <c r="J96" s="92">
        <v>126364</v>
      </c>
    </row>
    <row r="97" spans="1:10" x14ac:dyDescent="0.3">
      <c r="A97" s="92">
        <v>4125</v>
      </c>
      <c r="B97">
        <v>4125</v>
      </c>
      <c r="C97">
        <v>0</v>
      </c>
      <c r="D97">
        <v>6981</v>
      </c>
      <c r="E97">
        <v>36171</v>
      </c>
      <c r="F97">
        <v>27.9</v>
      </c>
      <c r="G97">
        <v>39.6</v>
      </c>
      <c r="H97">
        <v>19.600000000000001</v>
      </c>
      <c r="I97">
        <v>25.2</v>
      </c>
      <c r="J97" s="92">
        <v>36171</v>
      </c>
    </row>
    <row r="98" spans="1:10" x14ac:dyDescent="0.3">
      <c r="A98" s="92">
        <v>4150</v>
      </c>
      <c r="B98">
        <v>4150</v>
      </c>
      <c r="C98">
        <v>0</v>
      </c>
      <c r="D98">
        <v>49558</v>
      </c>
      <c r="E98">
        <v>95588</v>
      </c>
      <c r="F98">
        <v>39</v>
      </c>
      <c r="G98">
        <v>59</v>
      </c>
      <c r="H98">
        <v>27.9</v>
      </c>
      <c r="I98">
        <v>34.700000000000003</v>
      </c>
      <c r="J98" s="92">
        <v>95588</v>
      </c>
    </row>
    <row r="99" spans="1:10" x14ac:dyDescent="0.3">
      <c r="A99" s="92">
        <v>4175</v>
      </c>
      <c r="B99">
        <v>4175</v>
      </c>
      <c r="C99">
        <v>0</v>
      </c>
      <c r="D99">
        <v>2765</v>
      </c>
      <c r="E99">
        <v>29378</v>
      </c>
      <c r="F99">
        <v>48.1</v>
      </c>
      <c r="G99">
        <v>66.3</v>
      </c>
      <c r="H99">
        <v>40.700000000000003</v>
      </c>
      <c r="I99">
        <v>40.700000000000003</v>
      </c>
      <c r="J99" s="92">
        <v>29378</v>
      </c>
    </row>
    <row r="100" spans="1:10" x14ac:dyDescent="0.3">
      <c r="A100" s="92">
        <v>4200</v>
      </c>
      <c r="B100">
        <v>4200</v>
      </c>
      <c r="C100">
        <v>0</v>
      </c>
      <c r="D100">
        <v>2086</v>
      </c>
      <c r="E100">
        <v>95282</v>
      </c>
      <c r="F100">
        <v>66</v>
      </c>
      <c r="G100">
        <v>95.6</v>
      </c>
      <c r="H100">
        <v>53.5</v>
      </c>
      <c r="I100">
        <v>62</v>
      </c>
      <c r="J100" s="92">
        <v>95282</v>
      </c>
    </row>
    <row r="101" spans="1:10" x14ac:dyDescent="0.3">
      <c r="A101" s="92">
        <v>4225</v>
      </c>
      <c r="B101">
        <v>4225</v>
      </c>
      <c r="C101">
        <v>0</v>
      </c>
      <c r="D101">
        <v>156</v>
      </c>
      <c r="E101">
        <v>17136</v>
      </c>
      <c r="F101">
        <v>88</v>
      </c>
      <c r="G101">
        <v>113.7</v>
      </c>
      <c r="H101">
        <v>88</v>
      </c>
      <c r="I101">
        <v>113.7</v>
      </c>
      <c r="J101" s="92">
        <v>17136</v>
      </c>
    </row>
    <row r="102" spans="1:10" x14ac:dyDescent="0.3">
      <c r="A102" s="92">
        <v>4250</v>
      </c>
      <c r="B102">
        <v>4250</v>
      </c>
      <c r="C102">
        <v>0</v>
      </c>
      <c r="D102">
        <v>5423</v>
      </c>
      <c r="E102">
        <v>70174</v>
      </c>
      <c r="F102">
        <v>133</v>
      </c>
      <c r="G102">
        <v>133</v>
      </c>
      <c r="H102">
        <v>104.9</v>
      </c>
      <c r="I102">
        <v>107.5</v>
      </c>
      <c r="J102" s="92">
        <v>70174</v>
      </c>
    </row>
    <row r="103" spans="1:10" x14ac:dyDescent="0.3">
      <c r="A103" s="92">
        <v>4275</v>
      </c>
      <c r="B103">
        <v>4275</v>
      </c>
      <c r="C103">
        <v>0</v>
      </c>
      <c r="D103">
        <v>1</v>
      </c>
      <c r="E103">
        <v>13527</v>
      </c>
      <c r="F103">
        <v>142.30000000000001</v>
      </c>
      <c r="G103">
        <v>142.30000000000001</v>
      </c>
      <c r="H103">
        <v>142.30000000000001</v>
      </c>
      <c r="I103">
        <v>142.30000000000001</v>
      </c>
      <c r="J103" s="92">
        <v>13527</v>
      </c>
    </row>
    <row r="104" spans="1:10" x14ac:dyDescent="0.3">
      <c r="A104" s="92">
        <v>4300</v>
      </c>
      <c r="B104">
        <v>4300</v>
      </c>
      <c r="C104">
        <v>0</v>
      </c>
      <c r="D104">
        <v>379</v>
      </c>
      <c r="E104">
        <v>44538</v>
      </c>
      <c r="F104">
        <v>182.4</v>
      </c>
      <c r="G104">
        <v>182.4</v>
      </c>
      <c r="H104">
        <v>139.80000000000001</v>
      </c>
      <c r="I104">
        <v>144.9</v>
      </c>
      <c r="J104" s="92">
        <v>44538</v>
      </c>
    </row>
    <row r="105" spans="1:10" x14ac:dyDescent="0.3">
      <c r="A105" s="92">
        <v>4325</v>
      </c>
      <c r="B105">
        <v>4325</v>
      </c>
      <c r="C105">
        <v>0</v>
      </c>
      <c r="D105">
        <v>740</v>
      </c>
      <c r="E105">
        <v>8923</v>
      </c>
      <c r="F105">
        <v>209</v>
      </c>
      <c r="G105">
        <v>209</v>
      </c>
      <c r="H105">
        <v>162.4</v>
      </c>
      <c r="I105">
        <v>172.2</v>
      </c>
      <c r="J105" s="92">
        <v>8923</v>
      </c>
    </row>
    <row r="106" spans="1:10" x14ac:dyDescent="0.3">
      <c r="A106" s="92">
        <v>4350</v>
      </c>
      <c r="B106">
        <v>4350</v>
      </c>
      <c r="C106">
        <v>0</v>
      </c>
      <c r="D106">
        <v>2</v>
      </c>
      <c r="E106">
        <v>41165</v>
      </c>
      <c r="F106">
        <v>222</v>
      </c>
      <c r="G106">
        <v>222</v>
      </c>
      <c r="H106">
        <v>202</v>
      </c>
      <c r="I106">
        <v>202</v>
      </c>
      <c r="J106" s="92">
        <v>41165</v>
      </c>
    </row>
    <row r="107" spans="1:10" x14ac:dyDescent="0.3">
      <c r="A107" s="92">
        <v>4375</v>
      </c>
      <c r="B107">
        <v>4375</v>
      </c>
      <c r="C107">
        <v>0</v>
      </c>
      <c r="D107">
        <v>1</v>
      </c>
      <c r="E107">
        <v>9801</v>
      </c>
      <c r="F107">
        <v>244.2</v>
      </c>
      <c r="G107">
        <v>244.2</v>
      </c>
      <c r="H107">
        <v>244.2</v>
      </c>
      <c r="I107">
        <v>244.2</v>
      </c>
      <c r="J107" s="92">
        <v>9801</v>
      </c>
    </row>
    <row r="108" spans="1:10" x14ac:dyDescent="0.3">
      <c r="A108" s="92">
        <v>4400</v>
      </c>
      <c r="B108">
        <v>4400</v>
      </c>
      <c r="C108">
        <v>0</v>
      </c>
      <c r="D108">
        <v>0</v>
      </c>
      <c r="E108">
        <v>11901</v>
      </c>
      <c r="F108">
        <v>0</v>
      </c>
      <c r="G108">
        <v>0</v>
      </c>
      <c r="H108">
        <v>0</v>
      </c>
      <c r="I108">
        <v>0</v>
      </c>
      <c r="J108" s="92">
        <v>11901</v>
      </c>
    </row>
    <row r="109" spans="1:10" x14ac:dyDescent="0.3">
      <c r="A109" s="92">
        <v>4425</v>
      </c>
      <c r="B109">
        <v>4425</v>
      </c>
      <c r="C109">
        <v>0</v>
      </c>
      <c r="D109">
        <v>1</v>
      </c>
      <c r="E109">
        <v>2875</v>
      </c>
      <c r="F109">
        <v>296.10000000000002</v>
      </c>
      <c r="G109">
        <v>296.10000000000002</v>
      </c>
      <c r="H109">
        <v>296.10000000000002</v>
      </c>
      <c r="I109">
        <v>296.10000000000002</v>
      </c>
      <c r="J109" s="92">
        <v>2875</v>
      </c>
    </row>
    <row r="110" spans="1:10" x14ac:dyDescent="0.3">
      <c r="A110" s="92">
        <v>4450</v>
      </c>
      <c r="B110">
        <v>4450</v>
      </c>
      <c r="C110">
        <v>0</v>
      </c>
      <c r="D110">
        <v>0</v>
      </c>
      <c r="E110">
        <v>1288</v>
      </c>
      <c r="F110">
        <v>0</v>
      </c>
      <c r="G110">
        <v>0</v>
      </c>
      <c r="H110">
        <v>0</v>
      </c>
      <c r="I110">
        <v>0</v>
      </c>
      <c r="J110" s="92">
        <v>1288</v>
      </c>
    </row>
    <row r="111" spans="1:10" x14ac:dyDescent="0.3">
      <c r="A111" s="92">
        <v>4475</v>
      </c>
      <c r="B111">
        <v>4475</v>
      </c>
      <c r="C111">
        <v>0</v>
      </c>
      <c r="D111">
        <v>0</v>
      </c>
      <c r="E111">
        <v>115</v>
      </c>
      <c r="F111">
        <v>0</v>
      </c>
      <c r="G111">
        <v>0</v>
      </c>
      <c r="H111">
        <v>0</v>
      </c>
      <c r="I111">
        <v>0</v>
      </c>
      <c r="J111" s="92">
        <v>115</v>
      </c>
    </row>
    <row r="112" spans="1:10" x14ac:dyDescent="0.3">
      <c r="A112" s="92">
        <v>4500</v>
      </c>
      <c r="B112">
        <v>4500</v>
      </c>
      <c r="C112">
        <v>0</v>
      </c>
      <c r="D112">
        <v>0</v>
      </c>
      <c r="E112">
        <v>546</v>
      </c>
      <c r="F112">
        <v>0</v>
      </c>
      <c r="G112">
        <v>0</v>
      </c>
      <c r="H112">
        <v>0</v>
      </c>
      <c r="I112">
        <v>0</v>
      </c>
      <c r="J112" s="92">
        <v>546</v>
      </c>
    </row>
    <row r="113" spans="1:10" x14ac:dyDescent="0.3">
      <c r="A113" s="92">
        <v>4525</v>
      </c>
      <c r="B113">
        <v>4525</v>
      </c>
      <c r="C113">
        <v>0</v>
      </c>
      <c r="D113">
        <v>0</v>
      </c>
      <c r="E113">
        <v>790</v>
      </c>
      <c r="F113">
        <v>0</v>
      </c>
      <c r="G113">
        <v>0</v>
      </c>
      <c r="H113">
        <v>0</v>
      </c>
      <c r="I113">
        <v>0</v>
      </c>
      <c r="J113" s="92">
        <v>790</v>
      </c>
    </row>
    <row r="114" spans="1:10" x14ac:dyDescent="0.3">
      <c r="A114" s="92">
        <v>4550</v>
      </c>
      <c r="B114">
        <v>4550</v>
      </c>
      <c r="C114">
        <v>0</v>
      </c>
      <c r="D114">
        <v>0</v>
      </c>
      <c r="E114">
        <v>56</v>
      </c>
      <c r="F114">
        <v>0</v>
      </c>
      <c r="G114">
        <v>0</v>
      </c>
      <c r="H114">
        <v>0</v>
      </c>
      <c r="I114">
        <v>0</v>
      </c>
      <c r="J114" s="92">
        <v>56</v>
      </c>
    </row>
    <row r="115" spans="1:10" x14ac:dyDescent="0.3">
      <c r="A115" s="92">
        <v>4575</v>
      </c>
      <c r="B115">
        <v>4575</v>
      </c>
      <c r="C115">
        <v>0</v>
      </c>
      <c r="D115">
        <v>0</v>
      </c>
      <c r="E115">
        <v>260</v>
      </c>
      <c r="F115">
        <v>0</v>
      </c>
      <c r="G115">
        <v>0</v>
      </c>
      <c r="H115">
        <v>0</v>
      </c>
      <c r="I115">
        <v>0</v>
      </c>
      <c r="J115" s="92">
        <v>260</v>
      </c>
    </row>
    <row r="116" spans="1:10" x14ac:dyDescent="0.3">
      <c r="A116" s="92">
        <v>4600</v>
      </c>
      <c r="B116">
        <v>4600</v>
      </c>
      <c r="C116">
        <v>0</v>
      </c>
      <c r="D116">
        <v>0</v>
      </c>
      <c r="E116">
        <v>52</v>
      </c>
      <c r="F116">
        <v>0</v>
      </c>
      <c r="G116">
        <v>0</v>
      </c>
      <c r="H116">
        <v>0</v>
      </c>
      <c r="I116">
        <v>0</v>
      </c>
      <c r="J116" s="92">
        <v>52</v>
      </c>
    </row>
    <row r="117" spans="1:10" x14ac:dyDescent="0.3">
      <c r="A117" s="92">
        <v>4625</v>
      </c>
      <c r="B117">
        <v>4625</v>
      </c>
      <c r="C117">
        <v>0</v>
      </c>
      <c r="D117">
        <v>0</v>
      </c>
      <c r="E117">
        <v>0</v>
      </c>
      <c r="F117">
        <v>0</v>
      </c>
      <c r="G117">
        <v>0</v>
      </c>
      <c r="H117">
        <v>0</v>
      </c>
      <c r="I117">
        <v>0</v>
      </c>
      <c r="J117" s="92">
        <v>0</v>
      </c>
    </row>
    <row r="118" spans="1:10" x14ac:dyDescent="0.3">
      <c r="A118" s="92">
        <v>4650</v>
      </c>
      <c r="B118">
        <v>4650</v>
      </c>
      <c r="C118">
        <v>0</v>
      </c>
      <c r="D118">
        <v>10</v>
      </c>
      <c r="E118">
        <v>1</v>
      </c>
      <c r="F118">
        <v>517.1</v>
      </c>
      <c r="G118">
        <v>517.1</v>
      </c>
      <c r="H118">
        <v>517.1</v>
      </c>
      <c r="I118">
        <v>517.1</v>
      </c>
      <c r="J118" s="92">
        <v>1</v>
      </c>
    </row>
    <row r="119" spans="1:10" x14ac:dyDescent="0.3">
      <c r="A119" s="92">
        <v>4675</v>
      </c>
      <c r="B119">
        <v>4675</v>
      </c>
      <c r="C119">
        <v>0</v>
      </c>
      <c r="D119">
        <v>0</v>
      </c>
      <c r="E119">
        <v>0</v>
      </c>
      <c r="F119">
        <v>0</v>
      </c>
      <c r="G119">
        <v>0</v>
      </c>
      <c r="H119">
        <v>0</v>
      </c>
      <c r="I119">
        <v>0</v>
      </c>
      <c r="J119" s="92">
        <v>0</v>
      </c>
    </row>
    <row r="120" spans="1:10" x14ac:dyDescent="0.3">
      <c r="A120" s="92">
        <v>4700</v>
      </c>
      <c r="B120">
        <v>4700</v>
      </c>
      <c r="C120">
        <v>0</v>
      </c>
      <c r="D120">
        <v>0</v>
      </c>
      <c r="E120">
        <v>1</v>
      </c>
      <c r="F120">
        <v>0</v>
      </c>
      <c r="G120">
        <v>0</v>
      </c>
      <c r="H120">
        <v>0</v>
      </c>
      <c r="I120">
        <v>0</v>
      </c>
      <c r="J120" s="92">
        <v>1</v>
      </c>
    </row>
    <row r="121" spans="1:10" x14ac:dyDescent="0.3">
      <c r="A121" s="92">
        <v>4725</v>
      </c>
      <c r="B121">
        <v>4725</v>
      </c>
      <c r="C121">
        <v>0</v>
      </c>
      <c r="D121">
        <v>0</v>
      </c>
      <c r="E121">
        <v>0</v>
      </c>
      <c r="F121">
        <v>0</v>
      </c>
      <c r="G121">
        <v>0</v>
      </c>
      <c r="H121">
        <v>0</v>
      </c>
      <c r="I121">
        <v>0</v>
      </c>
      <c r="J121" s="92">
        <v>0</v>
      </c>
    </row>
    <row r="122" spans="1:10" x14ac:dyDescent="0.3">
      <c r="A122" s="92">
        <v>4750</v>
      </c>
      <c r="B122">
        <v>4750</v>
      </c>
      <c r="C122">
        <v>0</v>
      </c>
      <c r="D122">
        <v>0</v>
      </c>
      <c r="E122">
        <v>0</v>
      </c>
      <c r="F122">
        <v>0</v>
      </c>
      <c r="G122">
        <v>0</v>
      </c>
      <c r="H122">
        <v>0</v>
      </c>
      <c r="I122">
        <v>0</v>
      </c>
      <c r="J122" s="92">
        <v>0</v>
      </c>
    </row>
    <row r="123" spans="1:10" x14ac:dyDescent="0.3">
      <c r="A123" s="92">
        <v>4775</v>
      </c>
      <c r="B123">
        <v>4775</v>
      </c>
      <c r="C123">
        <v>0</v>
      </c>
      <c r="D123">
        <v>0</v>
      </c>
      <c r="E123">
        <v>0</v>
      </c>
      <c r="F123">
        <v>0</v>
      </c>
      <c r="G123">
        <v>0</v>
      </c>
      <c r="H123">
        <v>0</v>
      </c>
      <c r="I123">
        <v>0</v>
      </c>
      <c r="J123" s="92">
        <v>0</v>
      </c>
    </row>
    <row r="124" spans="1:10" x14ac:dyDescent="0.3">
      <c r="A124" s="92">
        <v>4800</v>
      </c>
      <c r="B124">
        <v>4800</v>
      </c>
      <c r="C124">
        <v>0</v>
      </c>
      <c r="D124">
        <v>0</v>
      </c>
      <c r="E124">
        <v>1</v>
      </c>
      <c r="F124">
        <v>0</v>
      </c>
      <c r="G124">
        <v>0</v>
      </c>
      <c r="H124">
        <v>0</v>
      </c>
      <c r="I124">
        <v>0</v>
      </c>
      <c r="J124" s="92">
        <v>1</v>
      </c>
    </row>
    <row r="125" spans="1:10" x14ac:dyDescent="0.3">
      <c r="A125" s="92">
        <v>4825</v>
      </c>
      <c r="B125">
        <v>4825</v>
      </c>
      <c r="C125">
        <v>0</v>
      </c>
      <c r="D125">
        <v>0</v>
      </c>
      <c r="E125">
        <v>0</v>
      </c>
      <c r="F125">
        <v>0</v>
      </c>
      <c r="G125">
        <v>0</v>
      </c>
      <c r="H125">
        <v>0</v>
      </c>
      <c r="I125">
        <v>0</v>
      </c>
      <c r="J125" s="92">
        <v>0</v>
      </c>
    </row>
    <row r="126" spans="1:10" x14ac:dyDescent="0.3">
      <c r="A126" s="92">
        <v>4850</v>
      </c>
      <c r="B126">
        <v>4850</v>
      </c>
      <c r="C126">
        <v>0</v>
      </c>
      <c r="D126">
        <v>0</v>
      </c>
      <c r="E126">
        <v>0</v>
      </c>
      <c r="F126">
        <v>0</v>
      </c>
      <c r="G126">
        <v>0</v>
      </c>
      <c r="H126">
        <v>0</v>
      </c>
      <c r="I126">
        <v>0</v>
      </c>
      <c r="J126" s="92">
        <v>0</v>
      </c>
    </row>
    <row r="127" spans="1:10" x14ac:dyDescent="0.3">
      <c r="A127" s="92">
        <v>4875</v>
      </c>
      <c r="B127">
        <v>4875</v>
      </c>
      <c r="C127">
        <v>0</v>
      </c>
      <c r="D127">
        <v>0</v>
      </c>
      <c r="E127">
        <v>0</v>
      </c>
      <c r="F127">
        <v>0</v>
      </c>
      <c r="G127">
        <v>0</v>
      </c>
      <c r="H127">
        <v>0</v>
      </c>
      <c r="I127">
        <v>0</v>
      </c>
      <c r="J127" s="92">
        <v>0</v>
      </c>
    </row>
    <row r="128" spans="1:10" x14ac:dyDescent="0.3">
      <c r="A128" s="92">
        <v>4900</v>
      </c>
      <c r="B128">
        <v>4900</v>
      </c>
      <c r="C128">
        <v>0</v>
      </c>
      <c r="D128">
        <v>0</v>
      </c>
      <c r="E128">
        <v>0</v>
      </c>
      <c r="F128">
        <v>0</v>
      </c>
      <c r="G128">
        <v>0</v>
      </c>
      <c r="H128">
        <v>0</v>
      </c>
      <c r="I128">
        <v>0</v>
      </c>
      <c r="J128" s="92">
        <v>0</v>
      </c>
    </row>
    <row r="129" spans="1:10" x14ac:dyDescent="0.3">
      <c r="A129" s="92">
        <v>4925</v>
      </c>
      <c r="B129">
        <v>4925</v>
      </c>
      <c r="C129">
        <v>0</v>
      </c>
      <c r="D129">
        <v>0</v>
      </c>
      <c r="E129">
        <v>0</v>
      </c>
      <c r="F129">
        <v>0</v>
      </c>
      <c r="G129">
        <v>0</v>
      </c>
      <c r="H129">
        <v>0</v>
      </c>
      <c r="I129">
        <v>0</v>
      </c>
      <c r="J129" s="92">
        <v>0</v>
      </c>
    </row>
    <row r="130" spans="1:10" x14ac:dyDescent="0.3">
      <c r="A130" s="92">
        <v>4950</v>
      </c>
      <c r="B130">
        <v>4950</v>
      </c>
      <c r="C130">
        <v>0</v>
      </c>
      <c r="D130">
        <v>0</v>
      </c>
      <c r="E130">
        <v>0</v>
      </c>
      <c r="F130">
        <v>0</v>
      </c>
      <c r="G130">
        <v>0</v>
      </c>
      <c r="H130">
        <v>0</v>
      </c>
      <c r="I130">
        <v>0</v>
      </c>
      <c r="J130" s="92">
        <v>0</v>
      </c>
    </row>
    <row r="131" spans="1:10" x14ac:dyDescent="0.3">
      <c r="A131" s="92">
        <v>4975</v>
      </c>
      <c r="B131">
        <v>4975</v>
      </c>
      <c r="C131">
        <v>0</v>
      </c>
      <c r="D131">
        <v>0</v>
      </c>
      <c r="E131">
        <v>0</v>
      </c>
      <c r="F131">
        <v>0</v>
      </c>
      <c r="G131">
        <v>0</v>
      </c>
      <c r="H131">
        <v>0</v>
      </c>
      <c r="I131">
        <v>0</v>
      </c>
      <c r="J131" s="92">
        <v>0</v>
      </c>
    </row>
    <row r="132" spans="1:10" x14ac:dyDescent="0.3">
      <c r="A132" s="92">
        <v>5000</v>
      </c>
      <c r="B132">
        <v>5000</v>
      </c>
      <c r="C132">
        <v>0</v>
      </c>
      <c r="D132">
        <v>0</v>
      </c>
      <c r="E132">
        <v>2</v>
      </c>
      <c r="F132">
        <v>0</v>
      </c>
      <c r="G132">
        <v>0</v>
      </c>
      <c r="H132">
        <v>0</v>
      </c>
      <c r="I132">
        <v>0</v>
      </c>
      <c r="J132" s="92">
        <v>2</v>
      </c>
    </row>
    <row r="133" spans="1:10" x14ac:dyDescent="0.3">
      <c r="A133" s="92">
        <v>5025</v>
      </c>
      <c r="B133">
        <v>5025</v>
      </c>
      <c r="C133">
        <v>0</v>
      </c>
      <c r="D133">
        <v>0</v>
      </c>
      <c r="E133">
        <v>0</v>
      </c>
      <c r="F133">
        <v>0</v>
      </c>
      <c r="G133">
        <v>0</v>
      </c>
      <c r="H133">
        <v>0</v>
      </c>
      <c r="I133">
        <v>0</v>
      </c>
      <c r="J133" s="92">
        <v>0</v>
      </c>
    </row>
    <row r="134" spans="1:10" x14ac:dyDescent="0.3">
      <c r="A134" s="92">
        <v>5050</v>
      </c>
      <c r="B134">
        <v>5050</v>
      </c>
      <c r="C134">
        <v>0</v>
      </c>
      <c r="D134">
        <v>0</v>
      </c>
      <c r="E134">
        <v>0</v>
      </c>
      <c r="F134">
        <v>0</v>
      </c>
      <c r="G134">
        <v>0</v>
      </c>
      <c r="H134">
        <v>0</v>
      </c>
      <c r="I134">
        <v>0</v>
      </c>
      <c r="J134" s="92">
        <v>0</v>
      </c>
    </row>
    <row r="135" spans="1:10" x14ac:dyDescent="0.3">
      <c r="A135" s="92">
        <v>5075</v>
      </c>
      <c r="B135">
        <v>5075</v>
      </c>
      <c r="C135">
        <v>0</v>
      </c>
      <c r="D135">
        <v>0</v>
      </c>
      <c r="E135">
        <v>0</v>
      </c>
      <c r="F135">
        <v>0</v>
      </c>
      <c r="G135">
        <v>0</v>
      </c>
      <c r="H135">
        <v>0</v>
      </c>
      <c r="I135">
        <v>0</v>
      </c>
      <c r="J135" s="92">
        <v>0</v>
      </c>
    </row>
    <row r="136" spans="1:10" x14ac:dyDescent="0.3">
      <c r="A136" s="92">
        <v>5100</v>
      </c>
      <c r="B136">
        <v>5100</v>
      </c>
      <c r="C136">
        <v>0</v>
      </c>
      <c r="D136">
        <v>0</v>
      </c>
      <c r="E136">
        <v>2</v>
      </c>
      <c r="F136">
        <v>0</v>
      </c>
      <c r="G136">
        <v>0</v>
      </c>
      <c r="H136">
        <v>0</v>
      </c>
      <c r="I136">
        <v>0</v>
      </c>
      <c r="J136" s="92">
        <v>2</v>
      </c>
    </row>
    <row r="137" spans="1:10" x14ac:dyDescent="0.3">
      <c r="A137" s="92">
        <v>5125</v>
      </c>
      <c r="B137">
        <v>5125</v>
      </c>
      <c r="C137">
        <v>0</v>
      </c>
      <c r="D137">
        <v>0</v>
      </c>
      <c r="E137">
        <v>0</v>
      </c>
      <c r="F137">
        <v>0</v>
      </c>
      <c r="G137">
        <v>0</v>
      </c>
      <c r="H137">
        <v>0</v>
      </c>
      <c r="I137">
        <v>0</v>
      </c>
      <c r="J137" s="92">
        <v>0</v>
      </c>
    </row>
    <row r="138" spans="1:10" x14ac:dyDescent="0.3">
      <c r="A138" s="92">
        <v>5150</v>
      </c>
      <c r="B138">
        <v>5150</v>
      </c>
      <c r="C138">
        <v>0</v>
      </c>
      <c r="D138">
        <v>0</v>
      </c>
      <c r="E138">
        <v>0</v>
      </c>
      <c r="F138">
        <v>0</v>
      </c>
      <c r="G138">
        <v>0</v>
      </c>
      <c r="H138">
        <v>0</v>
      </c>
      <c r="I138">
        <v>0</v>
      </c>
      <c r="J138" s="92">
        <v>0</v>
      </c>
    </row>
    <row r="139" spans="1:10" x14ac:dyDescent="0.3">
      <c r="A139" s="92">
        <v>5175</v>
      </c>
      <c r="B139">
        <v>5175</v>
      </c>
      <c r="C139">
        <v>0</v>
      </c>
      <c r="D139">
        <v>0</v>
      </c>
      <c r="E139">
        <v>0</v>
      </c>
      <c r="F139">
        <v>0</v>
      </c>
      <c r="G139">
        <v>0</v>
      </c>
      <c r="H139">
        <v>0</v>
      </c>
      <c r="I139">
        <v>0</v>
      </c>
      <c r="J139" s="92">
        <v>0</v>
      </c>
    </row>
    <row r="140" spans="1:10" x14ac:dyDescent="0.3">
      <c r="A140" s="92">
        <v>5200</v>
      </c>
      <c r="B140">
        <v>5200</v>
      </c>
      <c r="C140">
        <v>0</v>
      </c>
      <c r="D140">
        <v>0</v>
      </c>
      <c r="E140">
        <v>0</v>
      </c>
      <c r="F140">
        <v>0</v>
      </c>
      <c r="G140">
        <v>0</v>
      </c>
      <c r="H140">
        <v>0</v>
      </c>
      <c r="I140">
        <v>0</v>
      </c>
      <c r="J140" s="92">
        <v>0</v>
      </c>
    </row>
    <row r="141" spans="1:10" x14ac:dyDescent="0.3">
      <c r="A141" s="92">
        <v>5250</v>
      </c>
      <c r="B141">
        <v>5250</v>
      </c>
      <c r="C141">
        <v>0</v>
      </c>
      <c r="D141">
        <v>0</v>
      </c>
      <c r="E141">
        <v>0</v>
      </c>
      <c r="F141">
        <v>0</v>
      </c>
      <c r="G141">
        <v>0</v>
      </c>
      <c r="H141">
        <v>0</v>
      </c>
      <c r="I141">
        <v>0</v>
      </c>
      <c r="J141" s="92">
        <v>0</v>
      </c>
    </row>
    <row r="142" spans="1:10" x14ac:dyDescent="0.3">
      <c r="A142" s="92">
        <v>5300</v>
      </c>
      <c r="B142">
        <v>5300</v>
      </c>
      <c r="C142">
        <v>0</v>
      </c>
      <c r="D142">
        <v>0</v>
      </c>
      <c r="E142">
        <v>0</v>
      </c>
      <c r="F142">
        <v>0</v>
      </c>
      <c r="G142">
        <v>0</v>
      </c>
      <c r="H142">
        <v>0</v>
      </c>
      <c r="I142">
        <v>0</v>
      </c>
      <c r="J142" s="92">
        <v>0</v>
      </c>
    </row>
    <row r="143" spans="1:10" x14ac:dyDescent="0.3">
      <c r="A143" s="92">
        <v>5400</v>
      </c>
      <c r="B143">
        <v>5400</v>
      </c>
      <c r="C143">
        <v>0</v>
      </c>
      <c r="D143">
        <v>0</v>
      </c>
      <c r="E143">
        <v>20</v>
      </c>
      <c r="F143">
        <v>0</v>
      </c>
      <c r="G143">
        <v>0</v>
      </c>
      <c r="H143">
        <v>0</v>
      </c>
      <c r="I143">
        <v>0</v>
      </c>
      <c r="J143" s="92">
        <v>20</v>
      </c>
    </row>
    <row r="144" spans="1:10" x14ac:dyDescent="0.3">
      <c r="A144" s="92">
        <v>5500</v>
      </c>
      <c r="B144">
        <v>5500</v>
      </c>
      <c r="C144">
        <v>0</v>
      </c>
      <c r="D144">
        <v>0</v>
      </c>
      <c r="E144">
        <v>0</v>
      </c>
      <c r="F144">
        <v>0</v>
      </c>
      <c r="G144">
        <v>0</v>
      </c>
      <c r="H144">
        <v>0</v>
      </c>
      <c r="I144">
        <v>0</v>
      </c>
      <c r="J144" s="92">
        <v>0</v>
      </c>
    </row>
    <row r="145" spans="1:10" x14ac:dyDescent="0.3">
      <c r="A145" s="92">
        <v>5600</v>
      </c>
      <c r="B145">
        <v>5600</v>
      </c>
      <c r="C145">
        <v>0</v>
      </c>
      <c r="D145">
        <v>0</v>
      </c>
      <c r="E145">
        <v>0</v>
      </c>
      <c r="F145">
        <v>0</v>
      </c>
      <c r="G145">
        <v>0</v>
      </c>
      <c r="H145">
        <v>0</v>
      </c>
      <c r="I145">
        <v>0</v>
      </c>
      <c r="J145" s="92">
        <v>0</v>
      </c>
    </row>
    <row r="146" spans="1:10" x14ac:dyDescent="0.3">
      <c r="A146" s="92">
        <v>5700</v>
      </c>
      <c r="B146">
        <v>5700</v>
      </c>
      <c r="C146">
        <v>0</v>
      </c>
      <c r="D146">
        <v>0</v>
      </c>
      <c r="E146">
        <v>3</v>
      </c>
      <c r="F146">
        <v>0</v>
      </c>
      <c r="G146">
        <v>0</v>
      </c>
      <c r="H146">
        <v>0</v>
      </c>
      <c r="I146">
        <v>0</v>
      </c>
      <c r="J146" s="92">
        <v>3</v>
      </c>
    </row>
    <row r="147" spans="1:10" x14ac:dyDescent="0.3">
      <c r="A147" s="92">
        <v>5800</v>
      </c>
      <c r="B147">
        <v>5800</v>
      </c>
      <c r="C147">
        <v>0</v>
      </c>
      <c r="D147">
        <v>0</v>
      </c>
      <c r="E147">
        <v>3</v>
      </c>
      <c r="F147">
        <v>0</v>
      </c>
      <c r="G147">
        <v>0</v>
      </c>
      <c r="H147">
        <v>0</v>
      </c>
      <c r="I147">
        <v>0</v>
      </c>
      <c r="J147" s="92">
        <v>3</v>
      </c>
    </row>
    <row r="148" spans="1:10" x14ac:dyDescent="0.3">
      <c r="A148" s="92">
        <v>5900</v>
      </c>
      <c r="B148">
        <v>5900</v>
      </c>
      <c r="C148">
        <v>0</v>
      </c>
      <c r="D148">
        <v>0</v>
      </c>
      <c r="E148">
        <v>0</v>
      </c>
      <c r="F148">
        <v>0</v>
      </c>
      <c r="G148">
        <v>0</v>
      </c>
      <c r="H148">
        <v>0</v>
      </c>
      <c r="I148">
        <v>0</v>
      </c>
      <c r="J148" s="92">
        <v>0</v>
      </c>
    </row>
    <row r="149" spans="1:10" x14ac:dyDescent="0.3">
      <c r="A149" s="92">
        <v>6000</v>
      </c>
      <c r="B149">
        <v>6000</v>
      </c>
      <c r="C149">
        <v>0</v>
      </c>
      <c r="D149">
        <v>0</v>
      </c>
      <c r="E149">
        <v>0</v>
      </c>
      <c r="F149">
        <v>0</v>
      </c>
      <c r="G149">
        <v>0</v>
      </c>
      <c r="H149">
        <v>0</v>
      </c>
      <c r="I149">
        <v>0</v>
      </c>
      <c r="J149" s="92">
        <v>0</v>
      </c>
    </row>
    <row r="150" spans="1:10" x14ac:dyDescent="0.3">
      <c r="A150" s="92">
        <v>7000</v>
      </c>
      <c r="B150">
        <v>7000</v>
      </c>
      <c r="C150">
        <v>0</v>
      </c>
      <c r="D150">
        <v>0</v>
      </c>
      <c r="E150">
        <v>1</v>
      </c>
      <c r="F150">
        <v>0</v>
      </c>
      <c r="G150">
        <v>0</v>
      </c>
      <c r="H150">
        <v>0</v>
      </c>
      <c r="I150">
        <v>0</v>
      </c>
      <c r="J150" s="92">
        <v>1</v>
      </c>
    </row>
    <row r="151" spans="1:10" x14ac:dyDescent="0.3">
      <c r="A151" s="92">
        <v>8000</v>
      </c>
      <c r="B151">
        <v>8000</v>
      </c>
      <c r="C151">
        <v>0</v>
      </c>
      <c r="D151">
        <v>0</v>
      </c>
      <c r="E151">
        <v>0</v>
      </c>
      <c r="F151">
        <v>0</v>
      </c>
      <c r="G151">
        <v>0</v>
      </c>
      <c r="H151">
        <v>0</v>
      </c>
      <c r="I151">
        <v>0</v>
      </c>
      <c r="J151" s="92">
        <v>0</v>
      </c>
    </row>
    <row r="152" spans="1:10" x14ac:dyDescent="0.3">
      <c r="A152" s="92">
        <v>9000</v>
      </c>
      <c r="B152">
        <v>9000</v>
      </c>
      <c r="C152">
        <v>0</v>
      </c>
      <c r="D152">
        <v>0</v>
      </c>
      <c r="E152">
        <v>0</v>
      </c>
      <c r="F152">
        <v>0</v>
      </c>
      <c r="G152">
        <v>0</v>
      </c>
      <c r="H152">
        <v>0</v>
      </c>
      <c r="I152">
        <v>0</v>
      </c>
      <c r="J152" s="92">
        <v>0</v>
      </c>
    </row>
    <row r="153" spans="1:10" x14ac:dyDescent="0.3">
      <c r="A153" t="s">
        <v>277</v>
      </c>
      <c r="B153">
        <v>10000</v>
      </c>
      <c r="C153">
        <v>0</v>
      </c>
      <c r="D153">
        <v>0</v>
      </c>
      <c r="E153">
        <v>0</v>
      </c>
      <c r="F153">
        <v>0</v>
      </c>
      <c r="G153">
        <v>0</v>
      </c>
      <c r="H153">
        <v>0</v>
      </c>
      <c r="I153">
        <v>0</v>
      </c>
      <c r="J153">
        <v>5846.1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F34D6-92AF-40E9-B4A2-89A5EF220356}">
  <sheetPr codeName="Tabelle6"/>
  <dimension ref="A1:J153"/>
  <sheetViews>
    <sheetView workbookViewId="0"/>
  </sheetViews>
  <sheetFormatPr baseColWidth="10" defaultColWidth="8.88671875" defaultRowHeight="14.4" x14ac:dyDescent="0.3"/>
  <sheetData>
    <row r="1" spans="1:10" x14ac:dyDescent="0.3">
      <c r="A1" s="138" t="s">
        <v>276</v>
      </c>
      <c r="B1" s="138" t="s">
        <v>275</v>
      </c>
      <c r="C1" s="138" t="s">
        <v>274</v>
      </c>
      <c r="D1" s="138" t="s">
        <v>273</v>
      </c>
      <c r="E1" s="138" t="s">
        <v>272</v>
      </c>
      <c r="F1" s="138" t="s">
        <v>271</v>
      </c>
      <c r="G1" s="138" t="s">
        <v>270</v>
      </c>
      <c r="H1" s="138" t="s">
        <v>269</v>
      </c>
      <c r="I1" s="138" t="s">
        <v>268</v>
      </c>
      <c r="J1" s="138" t="s">
        <v>267</v>
      </c>
    </row>
    <row r="2" spans="1:10" x14ac:dyDescent="0.3">
      <c r="A2" s="92">
        <v>1000</v>
      </c>
      <c r="B2">
        <v>1000</v>
      </c>
      <c r="C2">
        <v>0</v>
      </c>
      <c r="D2">
        <v>1</v>
      </c>
      <c r="E2">
        <v>1</v>
      </c>
      <c r="F2">
        <v>0</v>
      </c>
      <c r="G2">
        <v>0</v>
      </c>
      <c r="H2">
        <v>0</v>
      </c>
      <c r="I2">
        <v>0</v>
      </c>
      <c r="J2" s="92">
        <v>1</v>
      </c>
    </row>
    <row r="3" spans="1:10" x14ac:dyDescent="0.3">
      <c r="A3" s="92">
        <v>1100</v>
      </c>
      <c r="B3">
        <v>1100</v>
      </c>
      <c r="C3">
        <v>0</v>
      </c>
      <c r="D3">
        <v>0</v>
      </c>
      <c r="E3">
        <v>0</v>
      </c>
      <c r="F3">
        <v>0</v>
      </c>
      <c r="G3">
        <v>0</v>
      </c>
      <c r="H3">
        <v>0</v>
      </c>
      <c r="I3">
        <v>0</v>
      </c>
      <c r="J3" s="92">
        <v>0</v>
      </c>
    </row>
    <row r="4" spans="1:10" x14ac:dyDescent="0.3">
      <c r="A4" s="92">
        <v>1150</v>
      </c>
      <c r="B4">
        <v>1150</v>
      </c>
      <c r="C4">
        <v>0</v>
      </c>
      <c r="D4">
        <v>0</v>
      </c>
      <c r="E4">
        <v>0</v>
      </c>
      <c r="F4">
        <v>0</v>
      </c>
      <c r="G4">
        <v>0</v>
      </c>
      <c r="H4">
        <v>0</v>
      </c>
      <c r="I4">
        <v>0</v>
      </c>
      <c r="J4" s="92">
        <v>0</v>
      </c>
    </row>
    <row r="5" spans="1:10" x14ac:dyDescent="0.3">
      <c r="A5" s="92">
        <v>1200</v>
      </c>
      <c r="B5">
        <v>1200</v>
      </c>
      <c r="C5">
        <v>0</v>
      </c>
      <c r="D5">
        <v>0</v>
      </c>
      <c r="E5">
        <v>0</v>
      </c>
      <c r="F5">
        <v>0</v>
      </c>
      <c r="G5">
        <v>0</v>
      </c>
      <c r="H5">
        <v>0</v>
      </c>
      <c r="I5">
        <v>0</v>
      </c>
      <c r="J5" s="92">
        <v>0</v>
      </c>
    </row>
    <row r="6" spans="1:10" x14ac:dyDescent="0.3">
      <c r="A6" s="92">
        <v>1250</v>
      </c>
      <c r="B6">
        <v>1250</v>
      </c>
      <c r="C6">
        <v>0</v>
      </c>
      <c r="D6">
        <v>0</v>
      </c>
      <c r="E6">
        <v>0</v>
      </c>
      <c r="F6">
        <v>0</v>
      </c>
      <c r="G6">
        <v>0</v>
      </c>
      <c r="H6">
        <v>0</v>
      </c>
      <c r="I6">
        <v>0</v>
      </c>
      <c r="J6" s="92">
        <v>0</v>
      </c>
    </row>
    <row r="7" spans="1:10" x14ac:dyDescent="0.3">
      <c r="A7" s="92">
        <v>1300</v>
      </c>
      <c r="B7">
        <v>1300</v>
      </c>
      <c r="C7">
        <v>0</v>
      </c>
      <c r="D7">
        <v>0</v>
      </c>
      <c r="E7">
        <v>2</v>
      </c>
      <c r="F7">
        <v>0</v>
      </c>
      <c r="G7">
        <v>0</v>
      </c>
      <c r="H7">
        <v>0</v>
      </c>
      <c r="I7">
        <v>0</v>
      </c>
      <c r="J7" s="92">
        <v>2</v>
      </c>
    </row>
    <row r="8" spans="1:10" x14ac:dyDescent="0.3">
      <c r="A8" s="92">
        <v>1400</v>
      </c>
      <c r="B8">
        <v>1400</v>
      </c>
      <c r="C8">
        <v>0</v>
      </c>
      <c r="D8">
        <v>0</v>
      </c>
      <c r="E8">
        <v>1</v>
      </c>
      <c r="F8">
        <v>0</v>
      </c>
      <c r="G8">
        <v>0</v>
      </c>
      <c r="H8">
        <v>0</v>
      </c>
      <c r="I8">
        <v>0</v>
      </c>
      <c r="J8" s="92">
        <v>1</v>
      </c>
    </row>
    <row r="9" spans="1:10" x14ac:dyDescent="0.3">
      <c r="A9" s="92">
        <v>1450</v>
      </c>
      <c r="B9">
        <v>1450</v>
      </c>
      <c r="C9">
        <v>0</v>
      </c>
      <c r="D9">
        <v>0</v>
      </c>
      <c r="E9">
        <v>2</v>
      </c>
      <c r="F9">
        <v>0</v>
      </c>
      <c r="G9">
        <v>0</v>
      </c>
      <c r="H9">
        <v>0</v>
      </c>
      <c r="I9">
        <v>0</v>
      </c>
      <c r="J9" s="92">
        <v>2</v>
      </c>
    </row>
    <row r="10" spans="1:10" x14ac:dyDescent="0.3">
      <c r="A10" s="92">
        <v>1500</v>
      </c>
      <c r="B10">
        <v>1500</v>
      </c>
      <c r="C10">
        <v>0</v>
      </c>
      <c r="D10">
        <v>0</v>
      </c>
      <c r="E10">
        <v>0</v>
      </c>
      <c r="F10">
        <v>0</v>
      </c>
      <c r="G10">
        <v>0</v>
      </c>
      <c r="H10">
        <v>0</v>
      </c>
      <c r="I10">
        <v>0</v>
      </c>
      <c r="J10" s="92">
        <v>0</v>
      </c>
    </row>
    <row r="11" spans="1:10" x14ac:dyDescent="0.3">
      <c r="A11" s="92">
        <v>1600</v>
      </c>
      <c r="B11">
        <v>1600</v>
      </c>
      <c r="C11">
        <v>0</v>
      </c>
      <c r="D11">
        <v>0</v>
      </c>
      <c r="E11">
        <v>0</v>
      </c>
      <c r="F11">
        <v>0</v>
      </c>
      <c r="G11">
        <v>0</v>
      </c>
      <c r="H11">
        <v>0</v>
      </c>
      <c r="I11">
        <v>0</v>
      </c>
      <c r="J11" s="92">
        <v>0</v>
      </c>
    </row>
    <row r="12" spans="1:10" x14ac:dyDescent="0.3">
      <c r="A12" s="92">
        <v>1650</v>
      </c>
      <c r="B12">
        <v>1650</v>
      </c>
      <c r="C12">
        <v>0</v>
      </c>
      <c r="D12">
        <v>0</v>
      </c>
      <c r="E12">
        <v>0</v>
      </c>
      <c r="F12">
        <v>0</v>
      </c>
      <c r="G12">
        <v>0</v>
      </c>
      <c r="H12">
        <v>0</v>
      </c>
      <c r="I12">
        <v>0</v>
      </c>
      <c r="J12" s="92">
        <v>0</v>
      </c>
    </row>
    <row r="13" spans="1:10" x14ac:dyDescent="0.3">
      <c r="A13" s="92">
        <v>1700</v>
      </c>
      <c r="B13">
        <v>1700</v>
      </c>
      <c r="C13">
        <v>0</v>
      </c>
      <c r="D13">
        <v>0</v>
      </c>
      <c r="E13">
        <v>0</v>
      </c>
      <c r="F13">
        <v>0</v>
      </c>
      <c r="G13">
        <v>0</v>
      </c>
      <c r="H13">
        <v>0</v>
      </c>
      <c r="I13">
        <v>0</v>
      </c>
      <c r="J13" s="92">
        <v>0</v>
      </c>
    </row>
    <row r="14" spans="1:10" x14ac:dyDescent="0.3">
      <c r="A14" s="92">
        <v>1750</v>
      </c>
      <c r="B14">
        <v>1750</v>
      </c>
      <c r="C14">
        <v>0</v>
      </c>
      <c r="D14">
        <v>0</v>
      </c>
      <c r="E14">
        <v>0</v>
      </c>
      <c r="F14">
        <v>0</v>
      </c>
      <c r="G14">
        <v>0</v>
      </c>
      <c r="H14">
        <v>0</v>
      </c>
      <c r="I14">
        <v>0</v>
      </c>
      <c r="J14" s="92">
        <v>0</v>
      </c>
    </row>
    <row r="15" spans="1:10" x14ac:dyDescent="0.3">
      <c r="A15" s="92">
        <v>1800</v>
      </c>
      <c r="B15">
        <v>1800</v>
      </c>
      <c r="C15">
        <v>0</v>
      </c>
      <c r="D15">
        <v>0</v>
      </c>
      <c r="E15">
        <v>0</v>
      </c>
      <c r="F15">
        <v>0</v>
      </c>
      <c r="G15">
        <v>0</v>
      </c>
      <c r="H15">
        <v>0</v>
      </c>
      <c r="I15">
        <v>0</v>
      </c>
      <c r="J15" s="92">
        <v>0</v>
      </c>
    </row>
    <row r="16" spans="1:10" x14ac:dyDescent="0.3">
      <c r="A16" s="92">
        <v>1900</v>
      </c>
      <c r="B16">
        <v>1900</v>
      </c>
      <c r="C16">
        <v>0</v>
      </c>
      <c r="D16">
        <v>0</v>
      </c>
      <c r="E16">
        <v>0</v>
      </c>
      <c r="F16">
        <v>0</v>
      </c>
      <c r="G16">
        <v>0</v>
      </c>
      <c r="H16">
        <v>0</v>
      </c>
      <c r="I16">
        <v>0</v>
      </c>
      <c r="J16" s="92">
        <v>0</v>
      </c>
    </row>
    <row r="17" spans="1:10" x14ac:dyDescent="0.3">
      <c r="A17" s="92">
        <v>1950</v>
      </c>
      <c r="B17">
        <v>1950</v>
      </c>
      <c r="C17">
        <v>0</v>
      </c>
      <c r="D17">
        <v>0</v>
      </c>
      <c r="E17">
        <v>0</v>
      </c>
      <c r="F17">
        <v>0</v>
      </c>
      <c r="G17">
        <v>0</v>
      </c>
      <c r="H17">
        <v>0</v>
      </c>
      <c r="I17">
        <v>0</v>
      </c>
      <c r="J17" s="92">
        <v>0</v>
      </c>
    </row>
    <row r="18" spans="1:10" x14ac:dyDescent="0.3">
      <c r="A18" s="92">
        <v>2000</v>
      </c>
      <c r="B18">
        <v>2000</v>
      </c>
      <c r="C18">
        <v>0</v>
      </c>
      <c r="D18">
        <v>7</v>
      </c>
      <c r="E18">
        <v>111</v>
      </c>
      <c r="F18">
        <v>2176</v>
      </c>
      <c r="G18">
        <v>2177</v>
      </c>
      <c r="H18">
        <v>2176</v>
      </c>
      <c r="I18">
        <v>2177</v>
      </c>
      <c r="J18" s="92">
        <v>111</v>
      </c>
    </row>
    <row r="19" spans="1:10" x14ac:dyDescent="0.3">
      <c r="A19" s="92">
        <v>2050</v>
      </c>
      <c r="B19">
        <v>2050</v>
      </c>
      <c r="C19">
        <v>0</v>
      </c>
      <c r="D19">
        <v>0</v>
      </c>
      <c r="E19">
        <v>0</v>
      </c>
      <c r="F19">
        <v>0</v>
      </c>
      <c r="G19">
        <v>0</v>
      </c>
      <c r="H19">
        <v>0</v>
      </c>
      <c r="I19">
        <v>0</v>
      </c>
      <c r="J19" s="92">
        <v>0</v>
      </c>
    </row>
    <row r="20" spans="1:10" x14ac:dyDescent="0.3">
      <c r="A20" s="92">
        <v>2100</v>
      </c>
      <c r="B20">
        <v>2100</v>
      </c>
      <c r="C20">
        <v>0</v>
      </c>
      <c r="D20">
        <v>0</v>
      </c>
      <c r="E20">
        <v>0</v>
      </c>
      <c r="F20">
        <v>0</v>
      </c>
      <c r="G20">
        <v>0</v>
      </c>
      <c r="H20">
        <v>0</v>
      </c>
      <c r="I20">
        <v>0</v>
      </c>
      <c r="J20" s="92">
        <v>0</v>
      </c>
    </row>
    <row r="21" spans="1:10" x14ac:dyDescent="0.3">
      <c r="A21" s="92">
        <v>2150</v>
      </c>
      <c r="B21">
        <v>2150</v>
      </c>
      <c r="C21">
        <v>0</v>
      </c>
      <c r="D21">
        <v>0</v>
      </c>
      <c r="E21">
        <v>0</v>
      </c>
      <c r="F21">
        <v>0</v>
      </c>
      <c r="G21">
        <v>0</v>
      </c>
      <c r="H21">
        <v>0</v>
      </c>
      <c r="I21">
        <v>0</v>
      </c>
      <c r="J21" s="92">
        <v>0</v>
      </c>
    </row>
    <row r="22" spans="1:10" x14ac:dyDescent="0.3">
      <c r="A22" s="92">
        <v>2200</v>
      </c>
      <c r="B22">
        <v>2200</v>
      </c>
      <c r="C22">
        <v>0</v>
      </c>
      <c r="D22">
        <v>0</v>
      </c>
      <c r="E22">
        <v>800</v>
      </c>
      <c r="F22">
        <v>0</v>
      </c>
      <c r="G22">
        <v>0</v>
      </c>
      <c r="H22">
        <v>0</v>
      </c>
      <c r="I22">
        <v>0</v>
      </c>
      <c r="J22" s="92">
        <v>800</v>
      </c>
    </row>
    <row r="23" spans="1:10" x14ac:dyDescent="0.3">
      <c r="A23" s="92">
        <v>2250</v>
      </c>
      <c r="B23">
        <v>2250</v>
      </c>
      <c r="C23">
        <v>0</v>
      </c>
      <c r="D23">
        <v>0</v>
      </c>
      <c r="E23">
        <v>0</v>
      </c>
      <c r="F23">
        <v>0</v>
      </c>
      <c r="G23">
        <v>0</v>
      </c>
      <c r="H23">
        <v>0</v>
      </c>
      <c r="I23">
        <v>0</v>
      </c>
      <c r="J23" s="92">
        <v>0</v>
      </c>
    </row>
    <row r="24" spans="1:10" x14ac:dyDescent="0.3">
      <c r="A24" s="92">
        <v>2300</v>
      </c>
      <c r="B24">
        <v>2300</v>
      </c>
      <c r="C24">
        <v>0</v>
      </c>
      <c r="D24">
        <v>0</v>
      </c>
      <c r="E24">
        <v>0</v>
      </c>
      <c r="F24">
        <v>0</v>
      </c>
      <c r="G24">
        <v>0</v>
      </c>
      <c r="H24">
        <v>0</v>
      </c>
      <c r="I24">
        <v>0</v>
      </c>
      <c r="J24" s="92">
        <v>0</v>
      </c>
    </row>
    <row r="25" spans="1:10" x14ac:dyDescent="0.3">
      <c r="A25" s="92">
        <v>2325</v>
      </c>
      <c r="B25">
        <v>2325</v>
      </c>
      <c r="C25">
        <v>0</v>
      </c>
      <c r="D25">
        <v>0</v>
      </c>
      <c r="E25">
        <v>0</v>
      </c>
      <c r="F25">
        <v>0</v>
      </c>
      <c r="G25">
        <v>0</v>
      </c>
      <c r="H25">
        <v>0</v>
      </c>
      <c r="I25">
        <v>0</v>
      </c>
      <c r="J25" s="92">
        <v>0</v>
      </c>
    </row>
    <row r="26" spans="1:10" x14ac:dyDescent="0.3">
      <c r="A26" s="92">
        <v>2350</v>
      </c>
      <c r="B26">
        <v>2350</v>
      </c>
      <c r="C26">
        <v>0</v>
      </c>
      <c r="D26">
        <v>0</v>
      </c>
      <c r="E26">
        <v>0</v>
      </c>
      <c r="F26">
        <v>0</v>
      </c>
      <c r="G26">
        <v>0</v>
      </c>
      <c r="H26">
        <v>0</v>
      </c>
      <c r="I26">
        <v>0</v>
      </c>
      <c r="J26" s="92">
        <v>0</v>
      </c>
    </row>
    <row r="27" spans="1:10" x14ac:dyDescent="0.3">
      <c r="A27" s="92">
        <v>2375</v>
      </c>
      <c r="B27">
        <v>2375</v>
      </c>
      <c r="C27">
        <v>0</v>
      </c>
      <c r="D27">
        <v>0</v>
      </c>
      <c r="E27">
        <v>0</v>
      </c>
      <c r="F27">
        <v>0</v>
      </c>
      <c r="G27">
        <v>0</v>
      </c>
      <c r="H27">
        <v>0</v>
      </c>
      <c r="I27">
        <v>0</v>
      </c>
      <c r="J27" s="92">
        <v>0</v>
      </c>
    </row>
    <row r="28" spans="1:10" x14ac:dyDescent="0.3">
      <c r="A28" s="92">
        <v>2400</v>
      </c>
      <c r="B28">
        <v>2400</v>
      </c>
      <c r="C28">
        <v>0</v>
      </c>
      <c r="D28">
        <v>0</v>
      </c>
      <c r="E28">
        <v>0</v>
      </c>
      <c r="F28">
        <v>0</v>
      </c>
      <c r="G28">
        <v>0</v>
      </c>
      <c r="H28">
        <v>0</v>
      </c>
      <c r="I28">
        <v>0</v>
      </c>
      <c r="J28" s="92">
        <v>0</v>
      </c>
    </row>
    <row r="29" spans="1:10" x14ac:dyDescent="0.3">
      <c r="A29" s="92">
        <v>2425</v>
      </c>
      <c r="B29">
        <v>2425</v>
      </c>
      <c r="C29">
        <v>0</v>
      </c>
      <c r="D29">
        <v>0</v>
      </c>
      <c r="E29">
        <v>0</v>
      </c>
      <c r="F29">
        <v>0</v>
      </c>
      <c r="G29">
        <v>0</v>
      </c>
      <c r="H29">
        <v>0</v>
      </c>
      <c r="I29">
        <v>0</v>
      </c>
      <c r="J29" s="92">
        <v>0</v>
      </c>
    </row>
    <row r="30" spans="1:10" x14ac:dyDescent="0.3">
      <c r="A30" s="92">
        <v>2450</v>
      </c>
      <c r="B30">
        <v>2450</v>
      </c>
      <c r="C30">
        <v>0</v>
      </c>
      <c r="D30">
        <v>0</v>
      </c>
      <c r="E30">
        <v>0</v>
      </c>
      <c r="F30">
        <v>0</v>
      </c>
      <c r="G30">
        <v>0</v>
      </c>
      <c r="H30">
        <v>0</v>
      </c>
      <c r="I30">
        <v>0</v>
      </c>
      <c r="J30" s="92">
        <v>0</v>
      </c>
    </row>
    <row r="31" spans="1:10" x14ac:dyDescent="0.3">
      <c r="A31" s="92">
        <v>2475</v>
      </c>
      <c r="B31">
        <v>2475</v>
      </c>
      <c r="C31">
        <v>0</v>
      </c>
      <c r="D31">
        <v>0</v>
      </c>
      <c r="E31">
        <v>0</v>
      </c>
      <c r="F31">
        <v>0</v>
      </c>
      <c r="G31">
        <v>0</v>
      </c>
      <c r="H31">
        <v>0</v>
      </c>
      <c r="I31">
        <v>0</v>
      </c>
      <c r="J31" s="92">
        <v>0</v>
      </c>
    </row>
    <row r="32" spans="1:10" x14ac:dyDescent="0.3">
      <c r="A32" s="92">
        <v>2500</v>
      </c>
      <c r="B32">
        <v>2500</v>
      </c>
      <c r="C32">
        <v>0</v>
      </c>
      <c r="D32">
        <v>0</v>
      </c>
      <c r="E32">
        <v>0</v>
      </c>
      <c r="F32">
        <v>0</v>
      </c>
      <c r="G32">
        <v>0</v>
      </c>
      <c r="H32">
        <v>0</v>
      </c>
      <c r="I32">
        <v>0</v>
      </c>
      <c r="J32" s="92">
        <v>0</v>
      </c>
    </row>
    <row r="33" spans="1:10" x14ac:dyDescent="0.3">
      <c r="A33" s="92">
        <v>2525</v>
      </c>
      <c r="B33">
        <v>2525</v>
      </c>
      <c r="C33">
        <v>0</v>
      </c>
      <c r="D33">
        <v>0</v>
      </c>
      <c r="E33">
        <v>0</v>
      </c>
      <c r="F33">
        <v>0</v>
      </c>
      <c r="G33">
        <v>0</v>
      </c>
      <c r="H33">
        <v>0</v>
      </c>
      <c r="I33">
        <v>0</v>
      </c>
      <c r="J33" s="92">
        <v>0</v>
      </c>
    </row>
    <row r="34" spans="1:10" x14ac:dyDescent="0.3">
      <c r="A34" s="92">
        <v>2550</v>
      </c>
      <c r="B34">
        <v>2550</v>
      </c>
      <c r="C34">
        <v>0</v>
      </c>
      <c r="D34">
        <v>0</v>
      </c>
      <c r="E34">
        <v>0</v>
      </c>
      <c r="F34">
        <v>0</v>
      </c>
      <c r="G34">
        <v>0</v>
      </c>
      <c r="H34">
        <v>0</v>
      </c>
      <c r="I34">
        <v>0</v>
      </c>
      <c r="J34" s="92">
        <v>0</v>
      </c>
    </row>
    <row r="35" spans="1:10" x14ac:dyDescent="0.3">
      <c r="A35" s="92">
        <v>2575</v>
      </c>
      <c r="B35">
        <v>2575</v>
      </c>
      <c r="C35">
        <v>0</v>
      </c>
      <c r="D35">
        <v>0</v>
      </c>
      <c r="E35">
        <v>0</v>
      </c>
      <c r="F35">
        <v>0</v>
      </c>
      <c r="G35">
        <v>0</v>
      </c>
      <c r="H35">
        <v>0</v>
      </c>
      <c r="I35">
        <v>0</v>
      </c>
      <c r="J35" s="92">
        <v>0</v>
      </c>
    </row>
    <row r="36" spans="1:10" x14ac:dyDescent="0.3">
      <c r="A36" s="92">
        <v>2600</v>
      </c>
      <c r="B36">
        <v>2600</v>
      </c>
      <c r="C36">
        <v>0</v>
      </c>
      <c r="D36">
        <v>0</v>
      </c>
      <c r="E36">
        <v>0</v>
      </c>
      <c r="F36">
        <v>0</v>
      </c>
      <c r="G36">
        <v>0</v>
      </c>
      <c r="H36">
        <v>0</v>
      </c>
      <c r="I36">
        <v>0</v>
      </c>
      <c r="J36" s="92">
        <v>0</v>
      </c>
    </row>
    <row r="37" spans="1:10" x14ac:dyDescent="0.3">
      <c r="A37" s="92">
        <v>2625</v>
      </c>
      <c r="B37">
        <v>2625</v>
      </c>
      <c r="C37">
        <v>0</v>
      </c>
      <c r="D37">
        <v>0</v>
      </c>
      <c r="E37">
        <v>0</v>
      </c>
      <c r="F37">
        <v>0</v>
      </c>
      <c r="G37">
        <v>0</v>
      </c>
      <c r="H37">
        <v>0</v>
      </c>
      <c r="I37">
        <v>0</v>
      </c>
      <c r="J37" s="92">
        <v>0</v>
      </c>
    </row>
    <row r="38" spans="1:10" x14ac:dyDescent="0.3">
      <c r="A38" s="92">
        <v>2650</v>
      </c>
      <c r="B38">
        <v>2650</v>
      </c>
      <c r="C38">
        <v>0</v>
      </c>
      <c r="D38">
        <v>0</v>
      </c>
      <c r="E38">
        <v>0</v>
      </c>
      <c r="F38">
        <v>0</v>
      </c>
      <c r="G38">
        <v>0</v>
      </c>
      <c r="H38">
        <v>0</v>
      </c>
      <c r="I38">
        <v>0</v>
      </c>
      <c r="J38" s="92">
        <v>0</v>
      </c>
    </row>
    <row r="39" spans="1:10" x14ac:dyDescent="0.3">
      <c r="A39" s="92">
        <v>2675</v>
      </c>
      <c r="B39">
        <v>2675</v>
      </c>
      <c r="C39">
        <v>0</v>
      </c>
      <c r="D39">
        <v>0</v>
      </c>
      <c r="E39">
        <v>0</v>
      </c>
      <c r="F39">
        <v>0</v>
      </c>
      <c r="G39">
        <v>0</v>
      </c>
      <c r="H39">
        <v>0</v>
      </c>
      <c r="I39">
        <v>0</v>
      </c>
      <c r="J39" s="92">
        <v>0</v>
      </c>
    </row>
    <row r="40" spans="1:10" x14ac:dyDescent="0.3">
      <c r="A40" s="92">
        <v>2700</v>
      </c>
      <c r="B40">
        <v>2700</v>
      </c>
      <c r="C40">
        <v>0</v>
      </c>
      <c r="D40">
        <v>1</v>
      </c>
      <c r="E40">
        <v>1</v>
      </c>
      <c r="F40">
        <v>1492.7</v>
      </c>
      <c r="G40">
        <v>1492.7</v>
      </c>
      <c r="H40">
        <v>1492.7</v>
      </c>
      <c r="I40">
        <v>1492.7</v>
      </c>
      <c r="J40" s="92">
        <v>1</v>
      </c>
    </row>
    <row r="41" spans="1:10" x14ac:dyDescent="0.3">
      <c r="A41" s="92">
        <v>2725</v>
      </c>
      <c r="B41">
        <v>2725</v>
      </c>
      <c r="C41">
        <v>0</v>
      </c>
      <c r="D41">
        <v>0</v>
      </c>
      <c r="E41">
        <v>100</v>
      </c>
      <c r="F41">
        <v>0</v>
      </c>
      <c r="G41">
        <v>0</v>
      </c>
      <c r="H41">
        <v>0</v>
      </c>
      <c r="I41">
        <v>0</v>
      </c>
      <c r="J41" s="92">
        <v>100</v>
      </c>
    </row>
    <row r="42" spans="1:10" x14ac:dyDescent="0.3">
      <c r="A42" s="92">
        <v>2750</v>
      </c>
      <c r="B42">
        <v>2750</v>
      </c>
      <c r="C42">
        <v>0</v>
      </c>
      <c r="D42">
        <v>0</v>
      </c>
      <c r="E42">
        <v>0</v>
      </c>
      <c r="F42">
        <v>0</v>
      </c>
      <c r="G42">
        <v>0</v>
      </c>
      <c r="H42">
        <v>0</v>
      </c>
      <c r="I42">
        <v>0</v>
      </c>
      <c r="J42" s="92">
        <v>0</v>
      </c>
    </row>
    <row r="43" spans="1:10" x14ac:dyDescent="0.3">
      <c r="A43" s="92">
        <v>2775</v>
      </c>
      <c r="B43">
        <v>2775</v>
      </c>
      <c r="C43">
        <v>0</v>
      </c>
      <c r="D43">
        <v>0</v>
      </c>
      <c r="E43">
        <v>0</v>
      </c>
      <c r="F43">
        <v>0</v>
      </c>
      <c r="G43">
        <v>0</v>
      </c>
      <c r="H43">
        <v>0</v>
      </c>
      <c r="I43">
        <v>0</v>
      </c>
      <c r="J43" s="92">
        <v>0</v>
      </c>
    </row>
    <row r="44" spans="1:10" x14ac:dyDescent="0.3">
      <c r="A44" s="92">
        <v>2800</v>
      </c>
      <c r="B44">
        <v>2800</v>
      </c>
      <c r="C44">
        <v>0</v>
      </c>
      <c r="D44">
        <v>0</v>
      </c>
      <c r="E44">
        <v>30</v>
      </c>
      <c r="F44">
        <v>0</v>
      </c>
      <c r="G44">
        <v>0</v>
      </c>
      <c r="H44">
        <v>0</v>
      </c>
      <c r="I44">
        <v>0</v>
      </c>
      <c r="J44" s="92">
        <v>30</v>
      </c>
    </row>
    <row r="45" spans="1:10" x14ac:dyDescent="0.3">
      <c r="A45" s="92">
        <v>2825</v>
      </c>
      <c r="B45">
        <v>2825</v>
      </c>
      <c r="C45">
        <v>0</v>
      </c>
      <c r="D45">
        <v>0</v>
      </c>
      <c r="E45">
        <v>30</v>
      </c>
      <c r="F45">
        <v>0</v>
      </c>
      <c r="G45">
        <v>0</v>
      </c>
      <c r="H45">
        <v>0</v>
      </c>
      <c r="I45">
        <v>0</v>
      </c>
      <c r="J45" s="92">
        <v>30</v>
      </c>
    </row>
    <row r="46" spans="1:10" x14ac:dyDescent="0.3">
      <c r="A46" s="92">
        <v>2850</v>
      </c>
      <c r="B46">
        <v>2850</v>
      </c>
      <c r="C46">
        <v>0</v>
      </c>
      <c r="D46">
        <v>0</v>
      </c>
      <c r="E46">
        <v>160</v>
      </c>
      <c r="F46">
        <v>0</v>
      </c>
      <c r="G46">
        <v>0</v>
      </c>
      <c r="H46">
        <v>0</v>
      </c>
      <c r="I46">
        <v>0</v>
      </c>
      <c r="J46" s="92">
        <v>160</v>
      </c>
    </row>
    <row r="47" spans="1:10" x14ac:dyDescent="0.3">
      <c r="A47" s="92">
        <v>2875</v>
      </c>
      <c r="B47">
        <v>2875</v>
      </c>
      <c r="C47">
        <v>0</v>
      </c>
      <c r="D47">
        <v>0</v>
      </c>
      <c r="E47">
        <v>130</v>
      </c>
      <c r="F47">
        <v>0</v>
      </c>
      <c r="G47">
        <v>0</v>
      </c>
      <c r="H47">
        <v>0</v>
      </c>
      <c r="I47">
        <v>0</v>
      </c>
      <c r="J47" s="92">
        <v>130</v>
      </c>
    </row>
    <row r="48" spans="1:10" x14ac:dyDescent="0.3">
      <c r="A48" s="92">
        <v>2900</v>
      </c>
      <c r="B48">
        <v>2900</v>
      </c>
      <c r="C48">
        <v>0</v>
      </c>
      <c r="D48">
        <v>0</v>
      </c>
      <c r="E48">
        <v>0</v>
      </c>
      <c r="F48">
        <v>0</v>
      </c>
      <c r="G48">
        <v>0</v>
      </c>
      <c r="H48">
        <v>0</v>
      </c>
      <c r="I48">
        <v>0</v>
      </c>
      <c r="J48" s="92">
        <v>0</v>
      </c>
    </row>
    <row r="49" spans="1:10" x14ac:dyDescent="0.3">
      <c r="A49" s="92">
        <v>2925</v>
      </c>
      <c r="B49">
        <v>2925</v>
      </c>
      <c r="C49">
        <v>0</v>
      </c>
      <c r="D49">
        <v>0</v>
      </c>
      <c r="E49">
        <v>0</v>
      </c>
      <c r="F49">
        <v>0</v>
      </c>
      <c r="G49">
        <v>0</v>
      </c>
      <c r="H49">
        <v>0</v>
      </c>
      <c r="I49">
        <v>0</v>
      </c>
      <c r="J49" s="92">
        <v>0</v>
      </c>
    </row>
    <row r="50" spans="1:10" x14ac:dyDescent="0.3">
      <c r="A50" s="92">
        <v>2950</v>
      </c>
      <c r="B50">
        <v>2950</v>
      </c>
      <c r="C50">
        <v>0</v>
      </c>
      <c r="D50">
        <v>0</v>
      </c>
      <c r="E50">
        <v>30</v>
      </c>
      <c r="F50">
        <v>0</v>
      </c>
      <c r="G50">
        <v>0</v>
      </c>
      <c r="H50">
        <v>0</v>
      </c>
      <c r="I50">
        <v>0</v>
      </c>
      <c r="J50" s="92">
        <v>30</v>
      </c>
    </row>
    <row r="51" spans="1:10" x14ac:dyDescent="0.3">
      <c r="A51" s="92">
        <v>2975</v>
      </c>
      <c r="B51">
        <v>2975</v>
      </c>
      <c r="C51">
        <v>0</v>
      </c>
      <c r="D51">
        <v>0</v>
      </c>
      <c r="E51">
        <v>0</v>
      </c>
      <c r="F51">
        <v>0</v>
      </c>
      <c r="G51">
        <v>0</v>
      </c>
      <c r="H51">
        <v>0</v>
      </c>
      <c r="I51">
        <v>0</v>
      </c>
      <c r="J51" s="92">
        <v>0</v>
      </c>
    </row>
    <row r="52" spans="1:10" x14ac:dyDescent="0.3">
      <c r="A52" s="92">
        <v>3000</v>
      </c>
      <c r="B52">
        <v>3000</v>
      </c>
      <c r="C52">
        <v>0</v>
      </c>
      <c r="D52">
        <v>0</v>
      </c>
      <c r="E52">
        <v>8</v>
      </c>
      <c r="F52">
        <v>0</v>
      </c>
      <c r="G52">
        <v>0</v>
      </c>
      <c r="H52">
        <v>0</v>
      </c>
      <c r="I52">
        <v>0</v>
      </c>
      <c r="J52" s="92">
        <v>8</v>
      </c>
    </row>
    <row r="53" spans="1:10" x14ac:dyDescent="0.3">
      <c r="A53" s="92">
        <v>3025</v>
      </c>
      <c r="B53">
        <v>3025</v>
      </c>
      <c r="C53">
        <v>0</v>
      </c>
      <c r="D53">
        <v>0</v>
      </c>
      <c r="E53">
        <v>0</v>
      </c>
      <c r="F53">
        <v>0</v>
      </c>
      <c r="G53">
        <v>0</v>
      </c>
      <c r="H53">
        <v>0</v>
      </c>
      <c r="I53">
        <v>0</v>
      </c>
      <c r="J53" s="92">
        <v>0</v>
      </c>
    </row>
    <row r="54" spans="1:10" x14ac:dyDescent="0.3">
      <c r="A54" s="92">
        <v>3050</v>
      </c>
      <c r="B54">
        <v>3050</v>
      </c>
      <c r="C54">
        <v>0</v>
      </c>
      <c r="D54">
        <v>0</v>
      </c>
      <c r="E54">
        <v>0</v>
      </c>
      <c r="F54">
        <v>0</v>
      </c>
      <c r="G54">
        <v>0</v>
      </c>
      <c r="H54">
        <v>0</v>
      </c>
      <c r="I54">
        <v>0</v>
      </c>
      <c r="J54" s="92">
        <v>0</v>
      </c>
    </row>
    <row r="55" spans="1:10" x14ac:dyDescent="0.3">
      <c r="A55" s="92">
        <v>3075</v>
      </c>
      <c r="B55">
        <v>3075</v>
      </c>
      <c r="C55">
        <v>0</v>
      </c>
      <c r="D55">
        <v>0</v>
      </c>
      <c r="E55">
        <v>0</v>
      </c>
      <c r="F55">
        <v>0</v>
      </c>
      <c r="G55">
        <v>0</v>
      </c>
      <c r="H55">
        <v>0</v>
      </c>
      <c r="I55">
        <v>0</v>
      </c>
      <c r="J55" s="92">
        <v>0</v>
      </c>
    </row>
    <row r="56" spans="1:10" x14ac:dyDescent="0.3">
      <c r="A56" s="92">
        <v>3100</v>
      </c>
      <c r="B56">
        <v>3100</v>
      </c>
      <c r="C56">
        <v>0</v>
      </c>
      <c r="D56">
        <v>37</v>
      </c>
      <c r="E56">
        <v>137</v>
      </c>
      <c r="F56">
        <v>0</v>
      </c>
      <c r="G56">
        <v>0</v>
      </c>
      <c r="H56">
        <v>0</v>
      </c>
      <c r="I56">
        <v>0</v>
      </c>
      <c r="J56" s="92">
        <v>137</v>
      </c>
    </row>
    <row r="57" spans="1:10" x14ac:dyDescent="0.3">
      <c r="A57" s="92">
        <v>3125</v>
      </c>
      <c r="B57">
        <v>3125</v>
      </c>
      <c r="C57">
        <v>0</v>
      </c>
      <c r="D57">
        <v>0</v>
      </c>
      <c r="E57">
        <v>30</v>
      </c>
      <c r="F57">
        <v>0</v>
      </c>
      <c r="G57">
        <v>0</v>
      </c>
      <c r="H57">
        <v>0</v>
      </c>
      <c r="I57">
        <v>0</v>
      </c>
      <c r="J57" s="92">
        <v>30</v>
      </c>
    </row>
    <row r="58" spans="1:10" x14ac:dyDescent="0.3">
      <c r="A58" s="92">
        <v>3150</v>
      </c>
      <c r="B58">
        <v>3150</v>
      </c>
      <c r="C58">
        <v>0</v>
      </c>
      <c r="D58">
        <v>0</v>
      </c>
      <c r="E58">
        <v>650</v>
      </c>
      <c r="F58">
        <v>0</v>
      </c>
      <c r="G58">
        <v>0</v>
      </c>
      <c r="H58">
        <v>0</v>
      </c>
      <c r="I58">
        <v>0</v>
      </c>
      <c r="J58" s="92">
        <v>650</v>
      </c>
    </row>
    <row r="59" spans="1:10" x14ac:dyDescent="0.3">
      <c r="A59" s="92">
        <v>3175</v>
      </c>
      <c r="B59">
        <v>3175</v>
      </c>
      <c r="C59">
        <v>0</v>
      </c>
      <c r="D59">
        <v>0</v>
      </c>
      <c r="E59">
        <v>0</v>
      </c>
      <c r="F59">
        <v>0</v>
      </c>
      <c r="G59">
        <v>0</v>
      </c>
      <c r="H59">
        <v>0</v>
      </c>
      <c r="I59">
        <v>0</v>
      </c>
      <c r="J59" s="92">
        <v>0</v>
      </c>
    </row>
    <row r="60" spans="1:10" x14ac:dyDescent="0.3">
      <c r="A60" s="92">
        <v>3200</v>
      </c>
      <c r="B60">
        <v>3200</v>
      </c>
      <c r="C60">
        <v>0</v>
      </c>
      <c r="D60">
        <v>0</v>
      </c>
      <c r="E60">
        <v>3</v>
      </c>
      <c r="F60">
        <v>0</v>
      </c>
      <c r="G60">
        <v>0</v>
      </c>
      <c r="H60">
        <v>0</v>
      </c>
      <c r="I60">
        <v>0</v>
      </c>
      <c r="J60" s="92">
        <v>3</v>
      </c>
    </row>
    <row r="61" spans="1:10" x14ac:dyDescent="0.3">
      <c r="A61" s="92">
        <v>3225</v>
      </c>
      <c r="B61">
        <v>3225</v>
      </c>
      <c r="C61">
        <v>0</v>
      </c>
      <c r="D61">
        <v>0</v>
      </c>
      <c r="E61">
        <v>0</v>
      </c>
      <c r="F61">
        <v>0</v>
      </c>
      <c r="G61">
        <v>0</v>
      </c>
      <c r="H61">
        <v>0</v>
      </c>
      <c r="I61">
        <v>0</v>
      </c>
      <c r="J61" s="92">
        <v>0</v>
      </c>
    </row>
    <row r="62" spans="1:10" x14ac:dyDescent="0.3">
      <c r="A62" s="92">
        <v>3250</v>
      </c>
      <c r="B62">
        <v>3250</v>
      </c>
      <c r="C62">
        <v>0</v>
      </c>
      <c r="D62">
        <v>0</v>
      </c>
      <c r="E62">
        <v>0</v>
      </c>
      <c r="F62">
        <v>0</v>
      </c>
      <c r="G62">
        <v>0</v>
      </c>
      <c r="H62">
        <v>0</v>
      </c>
      <c r="I62">
        <v>0</v>
      </c>
      <c r="J62" s="92">
        <v>0</v>
      </c>
    </row>
    <row r="63" spans="1:10" x14ac:dyDescent="0.3">
      <c r="A63" s="92">
        <v>3275</v>
      </c>
      <c r="B63">
        <v>3275</v>
      </c>
      <c r="C63">
        <v>0</v>
      </c>
      <c r="D63">
        <v>0</v>
      </c>
      <c r="E63">
        <v>0</v>
      </c>
      <c r="F63">
        <v>0</v>
      </c>
      <c r="G63">
        <v>0</v>
      </c>
      <c r="H63">
        <v>0</v>
      </c>
      <c r="I63">
        <v>0</v>
      </c>
      <c r="J63" s="92">
        <v>0</v>
      </c>
    </row>
    <row r="64" spans="1:10" x14ac:dyDescent="0.3">
      <c r="A64" s="92">
        <v>3300</v>
      </c>
      <c r="B64">
        <v>3300</v>
      </c>
      <c r="C64">
        <v>0</v>
      </c>
      <c r="D64">
        <v>0</v>
      </c>
      <c r="E64">
        <v>1</v>
      </c>
      <c r="F64">
        <v>0</v>
      </c>
      <c r="G64">
        <v>0</v>
      </c>
      <c r="H64">
        <v>0</v>
      </c>
      <c r="I64">
        <v>0</v>
      </c>
      <c r="J64" s="92">
        <v>1</v>
      </c>
    </row>
    <row r="65" spans="1:10" x14ac:dyDescent="0.3">
      <c r="A65" s="92">
        <v>3325</v>
      </c>
      <c r="B65">
        <v>3325</v>
      </c>
      <c r="C65">
        <v>0</v>
      </c>
      <c r="D65">
        <v>0</v>
      </c>
      <c r="E65">
        <v>0</v>
      </c>
      <c r="F65">
        <v>0</v>
      </c>
      <c r="G65">
        <v>0</v>
      </c>
      <c r="H65">
        <v>0</v>
      </c>
      <c r="I65">
        <v>0</v>
      </c>
      <c r="J65" s="92">
        <v>0</v>
      </c>
    </row>
    <row r="66" spans="1:10" x14ac:dyDescent="0.3">
      <c r="A66" s="92">
        <v>3350</v>
      </c>
      <c r="B66">
        <v>3350</v>
      </c>
      <c r="C66">
        <v>0</v>
      </c>
      <c r="D66">
        <v>2</v>
      </c>
      <c r="E66">
        <v>17</v>
      </c>
      <c r="F66">
        <v>810.4</v>
      </c>
      <c r="G66">
        <v>810.4</v>
      </c>
      <c r="H66">
        <v>810.4</v>
      </c>
      <c r="I66">
        <v>810.4</v>
      </c>
      <c r="J66" s="92">
        <v>17</v>
      </c>
    </row>
    <row r="67" spans="1:10" x14ac:dyDescent="0.3">
      <c r="A67" s="92">
        <v>3375</v>
      </c>
      <c r="B67">
        <v>3375</v>
      </c>
      <c r="C67">
        <v>0</v>
      </c>
      <c r="D67">
        <v>0</v>
      </c>
      <c r="E67">
        <v>0</v>
      </c>
      <c r="F67">
        <v>0</v>
      </c>
      <c r="G67">
        <v>0</v>
      </c>
      <c r="H67">
        <v>0</v>
      </c>
      <c r="I67">
        <v>0</v>
      </c>
      <c r="J67" s="92">
        <v>0</v>
      </c>
    </row>
    <row r="68" spans="1:10" x14ac:dyDescent="0.3">
      <c r="A68" s="92">
        <v>3400</v>
      </c>
      <c r="B68">
        <v>3400</v>
      </c>
      <c r="C68">
        <v>0</v>
      </c>
      <c r="D68">
        <v>0</v>
      </c>
      <c r="E68">
        <v>1</v>
      </c>
      <c r="F68">
        <v>0</v>
      </c>
      <c r="G68">
        <v>0</v>
      </c>
      <c r="H68">
        <v>0</v>
      </c>
      <c r="I68">
        <v>0</v>
      </c>
      <c r="J68" s="92">
        <v>1</v>
      </c>
    </row>
    <row r="69" spans="1:10" x14ac:dyDescent="0.3">
      <c r="A69" s="92">
        <v>3425</v>
      </c>
      <c r="B69">
        <v>3425</v>
      </c>
      <c r="C69">
        <v>0</v>
      </c>
      <c r="D69">
        <v>0</v>
      </c>
      <c r="E69">
        <v>0</v>
      </c>
      <c r="F69">
        <v>0</v>
      </c>
      <c r="G69">
        <v>0</v>
      </c>
      <c r="H69">
        <v>0</v>
      </c>
      <c r="I69">
        <v>0</v>
      </c>
      <c r="J69" s="92">
        <v>0</v>
      </c>
    </row>
    <row r="70" spans="1:10" x14ac:dyDescent="0.3">
      <c r="A70" s="92">
        <v>3450</v>
      </c>
      <c r="B70">
        <v>3450</v>
      </c>
      <c r="C70">
        <v>0</v>
      </c>
      <c r="D70">
        <v>0</v>
      </c>
      <c r="E70">
        <v>1</v>
      </c>
      <c r="F70">
        <v>0</v>
      </c>
      <c r="G70">
        <v>0</v>
      </c>
      <c r="H70">
        <v>0</v>
      </c>
      <c r="I70">
        <v>0</v>
      </c>
      <c r="J70" s="92">
        <v>1</v>
      </c>
    </row>
    <row r="71" spans="1:10" x14ac:dyDescent="0.3">
      <c r="A71" s="92">
        <v>3475</v>
      </c>
      <c r="B71">
        <v>3475</v>
      </c>
      <c r="C71">
        <v>0</v>
      </c>
      <c r="D71">
        <v>0</v>
      </c>
      <c r="E71">
        <v>0</v>
      </c>
      <c r="F71">
        <v>0</v>
      </c>
      <c r="G71">
        <v>0</v>
      </c>
      <c r="H71">
        <v>0</v>
      </c>
      <c r="I71">
        <v>0</v>
      </c>
      <c r="J71" s="92">
        <v>0</v>
      </c>
    </row>
    <row r="72" spans="1:10" x14ac:dyDescent="0.3">
      <c r="A72" s="92">
        <v>3500</v>
      </c>
      <c r="B72">
        <v>3500</v>
      </c>
      <c r="C72">
        <v>0</v>
      </c>
      <c r="D72">
        <v>0</v>
      </c>
      <c r="E72">
        <v>4</v>
      </c>
      <c r="F72">
        <v>0</v>
      </c>
      <c r="G72">
        <v>0</v>
      </c>
      <c r="H72">
        <v>0</v>
      </c>
      <c r="I72">
        <v>0</v>
      </c>
      <c r="J72" s="92">
        <v>4</v>
      </c>
    </row>
    <row r="73" spans="1:10" x14ac:dyDescent="0.3">
      <c r="A73" s="92">
        <v>3525</v>
      </c>
      <c r="B73">
        <v>3525</v>
      </c>
      <c r="C73">
        <v>0</v>
      </c>
      <c r="D73">
        <v>0</v>
      </c>
      <c r="E73">
        <v>0</v>
      </c>
      <c r="F73">
        <v>0</v>
      </c>
      <c r="G73">
        <v>0</v>
      </c>
      <c r="H73">
        <v>0</v>
      </c>
      <c r="I73">
        <v>0</v>
      </c>
      <c r="J73" s="92">
        <v>0</v>
      </c>
    </row>
    <row r="74" spans="1:10" x14ac:dyDescent="0.3">
      <c r="A74" s="92">
        <v>3550</v>
      </c>
      <c r="B74">
        <v>3550</v>
      </c>
      <c r="C74">
        <v>0</v>
      </c>
      <c r="D74">
        <v>0</v>
      </c>
      <c r="E74">
        <v>2</v>
      </c>
      <c r="F74">
        <v>0</v>
      </c>
      <c r="G74">
        <v>0</v>
      </c>
      <c r="H74">
        <v>0</v>
      </c>
      <c r="I74">
        <v>0</v>
      </c>
      <c r="J74" s="92">
        <v>2</v>
      </c>
    </row>
    <row r="75" spans="1:10" x14ac:dyDescent="0.3">
      <c r="A75" s="92">
        <v>3575</v>
      </c>
      <c r="B75">
        <v>3575</v>
      </c>
      <c r="C75">
        <v>0</v>
      </c>
      <c r="D75">
        <v>0</v>
      </c>
      <c r="E75">
        <v>2</v>
      </c>
      <c r="F75">
        <v>0</v>
      </c>
      <c r="G75">
        <v>0</v>
      </c>
      <c r="H75">
        <v>0</v>
      </c>
      <c r="I75">
        <v>0</v>
      </c>
      <c r="J75" s="92">
        <v>2</v>
      </c>
    </row>
    <row r="76" spans="1:10" x14ac:dyDescent="0.3">
      <c r="A76" s="92">
        <v>3600</v>
      </c>
      <c r="B76">
        <v>3600</v>
      </c>
      <c r="C76">
        <v>0</v>
      </c>
      <c r="D76">
        <v>0</v>
      </c>
      <c r="E76">
        <v>6</v>
      </c>
      <c r="F76">
        <v>0</v>
      </c>
      <c r="G76">
        <v>0</v>
      </c>
      <c r="H76">
        <v>0</v>
      </c>
      <c r="I76">
        <v>0</v>
      </c>
      <c r="J76" s="92">
        <v>6</v>
      </c>
    </row>
    <row r="77" spans="1:10" x14ac:dyDescent="0.3">
      <c r="A77" s="92">
        <v>3625</v>
      </c>
      <c r="B77">
        <v>3625</v>
      </c>
      <c r="C77">
        <v>0</v>
      </c>
      <c r="D77">
        <v>0</v>
      </c>
      <c r="E77">
        <v>4</v>
      </c>
      <c r="F77">
        <v>0</v>
      </c>
      <c r="G77">
        <v>0</v>
      </c>
      <c r="H77">
        <v>0</v>
      </c>
      <c r="I77">
        <v>0</v>
      </c>
      <c r="J77" s="92">
        <v>4</v>
      </c>
    </row>
    <row r="78" spans="1:10" x14ac:dyDescent="0.3">
      <c r="A78" s="92">
        <v>3650</v>
      </c>
      <c r="B78">
        <v>3650</v>
      </c>
      <c r="C78">
        <v>0</v>
      </c>
      <c r="D78">
        <v>0</v>
      </c>
      <c r="E78">
        <v>0</v>
      </c>
      <c r="F78">
        <v>0</v>
      </c>
      <c r="G78">
        <v>0</v>
      </c>
      <c r="H78">
        <v>0</v>
      </c>
      <c r="I78">
        <v>0</v>
      </c>
      <c r="J78" s="92">
        <v>0</v>
      </c>
    </row>
    <row r="79" spans="1:10" x14ac:dyDescent="0.3">
      <c r="A79" s="92">
        <v>3675</v>
      </c>
      <c r="B79">
        <v>3675</v>
      </c>
      <c r="C79">
        <v>0</v>
      </c>
      <c r="D79">
        <v>0</v>
      </c>
      <c r="E79">
        <v>1</v>
      </c>
      <c r="F79">
        <v>0</v>
      </c>
      <c r="G79">
        <v>0</v>
      </c>
      <c r="H79">
        <v>0</v>
      </c>
      <c r="I79">
        <v>0</v>
      </c>
      <c r="J79" s="92">
        <v>1</v>
      </c>
    </row>
    <row r="80" spans="1:10" x14ac:dyDescent="0.3">
      <c r="A80" s="92">
        <v>3700</v>
      </c>
      <c r="B80">
        <v>3700</v>
      </c>
      <c r="C80">
        <v>0</v>
      </c>
      <c r="D80">
        <v>0</v>
      </c>
      <c r="E80">
        <v>565</v>
      </c>
      <c r="F80">
        <v>0</v>
      </c>
      <c r="G80">
        <v>0</v>
      </c>
      <c r="H80">
        <v>0</v>
      </c>
      <c r="I80">
        <v>0</v>
      </c>
      <c r="J80" s="92">
        <v>565</v>
      </c>
    </row>
    <row r="81" spans="1:10" x14ac:dyDescent="0.3">
      <c r="A81" s="92">
        <v>3725</v>
      </c>
      <c r="B81">
        <v>3725</v>
      </c>
      <c r="C81">
        <v>0</v>
      </c>
      <c r="D81">
        <v>0</v>
      </c>
      <c r="E81">
        <v>4</v>
      </c>
      <c r="F81">
        <v>0</v>
      </c>
      <c r="G81">
        <v>0</v>
      </c>
      <c r="H81">
        <v>0</v>
      </c>
      <c r="I81">
        <v>0</v>
      </c>
      <c r="J81" s="92">
        <v>4</v>
      </c>
    </row>
    <row r="82" spans="1:10" x14ac:dyDescent="0.3">
      <c r="A82" s="92">
        <v>3750</v>
      </c>
      <c r="B82">
        <v>3750</v>
      </c>
      <c r="C82">
        <v>0</v>
      </c>
      <c r="D82">
        <v>0</v>
      </c>
      <c r="E82">
        <v>25</v>
      </c>
      <c r="F82">
        <v>0</v>
      </c>
      <c r="G82">
        <v>0</v>
      </c>
      <c r="H82">
        <v>0</v>
      </c>
      <c r="I82">
        <v>0</v>
      </c>
      <c r="J82" s="92">
        <v>25</v>
      </c>
    </row>
    <row r="83" spans="1:10" x14ac:dyDescent="0.3">
      <c r="A83" s="92">
        <v>3775</v>
      </c>
      <c r="B83">
        <v>3775</v>
      </c>
      <c r="C83">
        <v>0</v>
      </c>
      <c r="D83">
        <v>0</v>
      </c>
      <c r="E83">
        <v>50</v>
      </c>
      <c r="F83">
        <v>0</v>
      </c>
      <c r="G83">
        <v>0</v>
      </c>
      <c r="H83">
        <v>0</v>
      </c>
      <c r="I83">
        <v>0</v>
      </c>
      <c r="J83" s="92">
        <v>50</v>
      </c>
    </row>
    <row r="84" spans="1:10" x14ac:dyDescent="0.3">
      <c r="A84" s="92">
        <v>3800</v>
      </c>
      <c r="B84">
        <v>3800</v>
      </c>
      <c r="C84">
        <v>0</v>
      </c>
      <c r="D84">
        <v>1</v>
      </c>
      <c r="E84">
        <v>1233</v>
      </c>
      <c r="F84">
        <v>0</v>
      </c>
      <c r="G84">
        <v>0</v>
      </c>
      <c r="H84">
        <v>0</v>
      </c>
      <c r="I84">
        <v>0</v>
      </c>
      <c r="J84" s="92">
        <v>1233</v>
      </c>
    </row>
    <row r="85" spans="1:10" x14ac:dyDescent="0.3">
      <c r="A85" s="92">
        <v>3825</v>
      </c>
      <c r="B85">
        <v>3825</v>
      </c>
      <c r="C85">
        <v>0</v>
      </c>
      <c r="D85">
        <v>0</v>
      </c>
      <c r="E85">
        <v>50</v>
      </c>
      <c r="F85">
        <v>0</v>
      </c>
      <c r="G85">
        <v>0</v>
      </c>
      <c r="H85">
        <v>0</v>
      </c>
      <c r="I85">
        <v>0</v>
      </c>
      <c r="J85" s="92">
        <v>50</v>
      </c>
    </row>
    <row r="86" spans="1:10" x14ac:dyDescent="0.3">
      <c r="A86" s="92">
        <v>3850</v>
      </c>
      <c r="B86">
        <v>3850</v>
      </c>
      <c r="C86">
        <v>0</v>
      </c>
      <c r="D86">
        <v>5</v>
      </c>
      <c r="E86">
        <v>17</v>
      </c>
      <c r="F86">
        <v>324.5</v>
      </c>
      <c r="G86">
        <v>324.5</v>
      </c>
      <c r="H86">
        <v>324.5</v>
      </c>
      <c r="I86">
        <v>324.5</v>
      </c>
      <c r="J86" s="92">
        <v>17</v>
      </c>
    </row>
    <row r="87" spans="1:10" x14ac:dyDescent="0.3">
      <c r="A87" s="92">
        <v>3875</v>
      </c>
      <c r="B87">
        <v>3875</v>
      </c>
      <c r="C87">
        <v>0</v>
      </c>
      <c r="D87">
        <v>0</v>
      </c>
      <c r="E87">
        <v>1</v>
      </c>
      <c r="F87">
        <v>0</v>
      </c>
      <c r="G87">
        <v>0</v>
      </c>
      <c r="H87">
        <v>0</v>
      </c>
      <c r="I87">
        <v>0</v>
      </c>
      <c r="J87" s="92">
        <v>1</v>
      </c>
    </row>
    <row r="88" spans="1:10" x14ac:dyDescent="0.3">
      <c r="A88" s="92">
        <v>3900</v>
      </c>
      <c r="B88">
        <v>3900</v>
      </c>
      <c r="C88">
        <v>0</v>
      </c>
      <c r="D88">
        <v>21</v>
      </c>
      <c r="E88">
        <v>5076</v>
      </c>
      <c r="F88">
        <v>286.5</v>
      </c>
      <c r="G88">
        <v>286.5</v>
      </c>
      <c r="H88">
        <v>268</v>
      </c>
      <c r="I88">
        <v>273.2</v>
      </c>
      <c r="J88" s="92">
        <v>5076</v>
      </c>
    </row>
    <row r="89" spans="1:10" x14ac:dyDescent="0.3">
      <c r="A89" s="92">
        <v>3925</v>
      </c>
      <c r="B89">
        <v>3925</v>
      </c>
      <c r="C89">
        <v>0</v>
      </c>
      <c r="D89">
        <v>0</v>
      </c>
      <c r="E89">
        <v>139</v>
      </c>
      <c r="F89">
        <v>0</v>
      </c>
      <c r="G89">
        <v>0</v>
      </c>
      <c r="H89">
        <v>0</v>
      </c>
      <c r="I89">
        <v>0</v>
      </c>
      <c r="J89" s="92">
        <v>139</v>
      </c>
    </row>
    <row r="90" spans="1:10" x14ac:dyDescent="0.3">
      <c r="A90" s="92">
        <v>3950</v>
      </c>
      <c r="B90">
        <v>3950</v>
      </c>
      <c r="C90">
        <v>0</v>
      </c>
      <c r="D90">
        <v>8</v>
      </c>
      <c r="E90">
        <v>13</v>
      </c>
      <c r="F90">
        <v>212.1</v>
      </c>
      <c r="G90">
        <v>212.1</v>
      </c>
      <c r="H90">
        <v>212.1</v>
      </c>
      <c r="I90">
        <v>212.1</v>
      </c>
      <c r="J90" s="92">
        <v>13</v>
      </c>
    </row>
    <row r="91" spans="1:10" x14ac:dyDescent="0.3">
      <c r="A91" s="92">
        <v>3975</v>
      </c>
      <c r="B91">
        <v>3975</v>
      </c>
      <c r="C91">
        <v>0</v>
      </c>
      <c r="D91">
        <v>0</v>
      </c>
      <c r="E91">
        <v>13</v>
      </c>
      <c r="F91">
        <v>0</v>
      </c>
      <c r="G91">
        <v>0</v>
      </c>
      <c r="H91">
        <v>0</v>
      </c>
      <c r="I91">
        <v>0</v>
      </c>
      <c r="J91" s="92">
        <v>13</v>
      </c>
    </row>
    <row r="92" spans="1:10" x14ac:dyDescent="0.3">
      <c r="A92" s="92">
        <v>4000</v>
      </c>
      <c r="B92">
        <v>4000</v>
      </c>
      <c r="C92">
        <v>0</v>
      </c>
      <c r="D92">
        <v>9</v>
      </c>
      <c r="E92">
        <v>6166</v>
      </c>
      <c r="F92">
        <v>165.7</v>
      </c>
      <c r="G92">
        <v>165.7</v>
      </c>
      <c r="H92">
        <v>164.9</v>
      </c>
      <c r="I92">
        <v>164.9</v>
      </c>
      <c r="J92" s="92">
        <v>6166</v>
      </c>
    </row>
    <row r="93" spans="1:10" x14ac:dyDescent="0.3">
      <c r="A93" s="92">
        <v>4025</v>
      </c>
      <c r="B93">
        <v>4025</v>
      </c>
      <c r="C93">
        <v>0</v>
      </c>
      <c r="D93">
        <v>10</v>
      </c>
      <c r="E93">
        <v>1475</v>
      </c>
      <c r="F93">
        <v>151.4</v>
      </c>
      <c r="G93">
        <v>151.4</v>
      </c>
      <c r="H93">
        <v>151.4</v>
      </c>
      <c r="I93">
        <v>151.4</v>
      </c>
      <c r="J93" s="92">
        <v>1475</v>
      </c>
    </row>
    <row r="94" spans="1:10" x14ac:dyDescent="0.3">
      <c r="A94" s="92">
        <v>4050</v>
      </c>
      <c r="B94">
        <v>4050</v>
      </c>
      <c r="C94">
        <v>0</v>
      </c>
      <c r="D94">
        <v>6</v>
      </c>
      <c r="E94">
        <v>1891</v>
      </c>
      <c r="F94">
        <v>151.30000000000001</v>
      </c>
      <c r="G94">
        <v>151.30000000000001</v>
      </c>
      <c r="H94">
        <v>127.1</v>
      </c>
      <c r="I94">
        <v>127.1</v>
      </c>
      <c r="J94" s="92">
        <v>1891</v>
      </c>
    </row>
    <row r="95" spans="1:10" x14ac:dyDescent="0.3">
      <c r="A95" s="92">
        <v>4075</v>
      </c>
      <c r="B95">
        <v>4075</v>
      </c>
      <c r="C95">
        <v>0</v>
      </c>
      <c r="D95">
        <v>103</v>
      </c>
      <c r="E95">
        <v>2054</v>
      </c>
      <c r="F95">
        <v>115.7</v>
      </c>
      <c r="G95">
        <v>115.7</v>
      </c>
      <c r="H95">
        <v>115.7</v>
      </c>
      <c r="I95">
        <v>115.7</v>
      </c>
      <c r="J95" s="92">
        <v>2054</v>
      </c>
    </row>
    <row r="96" spans="1:10" x14ac:dyDescent="0.3">
      <c r="A96" s="92">
        <v>4100</v>
      </c>
      <c r="B96">
        <v>4100</v>
      </c>
      <c r="C96">
        <v>0</v>
      </c>
      <c r="D96">
        <v>762</v>
      </c>
      <c r="E96">
        <v>26218</v>
      </c>
      <c r="F96">
        <v>96.4</v>
      </c>
      <c r="G96">
        <v>96.4</v>
      </c>
      <c r="H96">
        <v>65.900000000000006</v>
      </c>
      <c r="I96">
        <v>67.099999999999994</v>
      </c>
      <c r="J96" s="92">
        <v>26218</v>
      </c>
    </row>
    <row r="97" spans="1:10" x14ac:dyDescent="0.3">
      <c r="A97" s="92">
        <v>4125</v>
      </c>
      <c r="B97">
        <v>4125</v>
      </c>
      <c r="C97">
        <v>0</v>
      </c>
      <c r="D97">
        <v>913</v>
      </c>
      <c r="E97">
        <v>12850</v>
      </c>
      <c r="F97">
        <v>85.4</v>
      </c>
      <c r="G97">
        <v>85.4</v>
      </c>
      <c r="H97">
        <v>49.9</v>
      </c>
      <c r="I97">
        <v>49.9</v>
      </c>
      <c r="J97" s="92">
        <v>12850</v>
      </c>
    </row>
    <row r="98" spans="1:10" x14ac:dyDescent="0.3">
      <c r="A98" s="92">
        <v>4150</v>
      </c>
      <c r="B98">
        <v>4150</v>
      </c>
      <c r="C98">
        <v>0</v>
      </c>
      <c r="D98">
        <v>4099</v>
      </c>
      <c r="E98">
        <v>38315</v>
      </c>
      <c r="F98">
        <v>66</v>
      </c>
      <c r="G98">
        <v>66</v>
      </c>
      <c r="H98">
        <v>35.299999999999997</v>
      </c>
      <c r="I98">
        <v>36.4</v>
      </c>
      <c r="J98" s="92">
        <v>38315</v>
      </c>
    </row>
    <row r="99" spans="1:10" x14ac:dyDescent="0.3">
      <c r="A99" s="92">
        <v>4175</v>
      </c>
      <c r="B99">
        <v>4175</v>
      </c>
      <c r="C99">
        <v>0</v>
      </c>
      <c r="D99">
        <v>7019</v>
      </c>
      <c r="E99">
        <v>7337</v>
      </c>
      <c r="F99">
        <v>45.8</v>
      </c>
      <c r="G99">
        <v>49.8</v>
      </c>
      <c r="H99">
        <v>24.3</v>
      </c>
      <c r="I99">
        <v>25.6</v>
      </c>
      <c r="J99" s="92">
        <v>7337</v>
      </c>
    </row>
    <row r="100" spans="1:10" x14ac:dyDescent="0.3">
      <c r="A100" s="92">
        <v>4200</v>
      </c>
      <c r="B100">
        <v>4200</v>
      </c>
      <c r="C100">
        <v>0</v>
      </c>
      <c r="D100">
        <v>21229</v>
      </c>
      <c r="E100">
        <v>66603</v>
      </c>
      <c r="F100">
        <v>33.4</v>
      </c>
      <c r="G100">
        <v>36</v>
      </c>
      <c r="H100">
        <v>15.9</v>
      </c>
      <c r="I100">
        <v>16.7</v>
      </c>
      <c r="J100" s="92">
        <v>66603</v>
      </c>
    </row>
    <row r="101" spans="1:10" x14ac:dyDescent="0.3">
      <c r="A101" s="92">
        <v>4225</v>
      </c>
      <c r="B101">
        <v>4225</v>
      </c>
      <c r="C101">
        <v>0</v>
      </c>
      <c r="D101">
        <v>12388</v>
      </c>
      <c r="E101">
        <v>19838</v>
      </c>
      <c r="F101">
        <v>22</v>
      </c>
      <c r="G101">
        <v>24</v>
      </c>
      <c r="H101">
        <v>9.6999999999999993</v>
      </c>
      <c r="I101">
        <v>10.5</v>
      </c>
      <c r="J101" s="92">
        <v>19838</v>
      </c>
    </row>
    <row r="102" spans="1:10" x14ac:dyDescent="0.3">
      <c r="A102" s="92">
        <v>4250</v>
      </c>
      <c r="B102">
        <v>4250</v>
      </c>
      <c r="C102">
        <v>0</v>
      </c>
      <c r="D102">
        <v>19060</v>
      </c>
      <c r="E102">
        <v>67793</v>
      </c>
      <c r="F102">
        <v>14.2</v>
      </c>
      <c r="G102">
        <v>15.4</v>
      </c>
      <c r="H102">
        <v>5.7</v>
      </c>
      <c r="I102">
        <v>6.2</v>
      </c>
      <c r="J102" s="92">
        <v>67793</v>
      </c>
    </row>
    <row r="103" spans="1:10" x14ac:dyDescent="0.3">
      <c r="A103" s="92">
        <v>4275</v>
      </c>
      <c r="B103">
        <v>4275</v>
      </c>
      <c r="C103">
        <v>0</v>
      </c>
      <c r="D103">
        <v>9684</v>
      </c>
      <c r="E103">
        <v>24565</v>
      </c>
      <c r="F103">
        <v>9.1</v>
      </c>
      <c r="G103">
        <v>9.1</v>
      </c>
      <c r="H103">
        <v>3.3</v>
      </c>
      <c r="I103">
        <v>3.5</v>
      </c>
      <c r="J103" s="92">
        <v>24565</v>
      </c>
    </row>
    <row r="104" spans="1:10" x14ac:dyDescent="0.3">
      <c r="A104" s="92">
        <v>4300</v>
      </c>
      <c r="B104">
        <v>4300</v>
      </c>
      <c r="C104">
        <v>0</v>
      </c>
      <c r="D104">
        <v>14128</v>
      </c>
      <c r="E104">
        <v>61635</v>
      </c>
      <c r="F104">
        <v>4.5999999999999996</v>
      </c>
      <c r="G104">
        <v>5.2</v>
      </c>
      <c r="H104">
        <v>2</v>
      </c>
      <c r="I104">
        <v>2.1</v>
      </c>
      <c r="J104" s="92">
        <v>61635</v>
      </c>
    </row>
    <row r="105" spans="1:10" x14ac:dyDescent="0.3">
      <c r="A105" s="92">
        <v>4325</v>
      </c>
      <c r="B105">
        <v>4325</v>
      </c>
      <c r="C105">
        <v>0</v>
      </c>
      <c r="D105">
        <v>7143</v>
      </c>
      <c r="E105">
        <v>24095</v>
      </c>
      <c r="F105">
        <v>2.2999999999999998</v>
      </c>
      <c r="G105">
        <v>2.5</v>
      </c>
      <c r="H105">
        <v>1.2</v>
      </c>
      <c r="I105">
        <v>1.2</v>
      </c>
      <c r="J105" s="92">
        <v>24095</v>
      </c>
    </row>
    <row r="106" spans="1:10" x14ac:dyDescent="0.3">
      <c r="A106" s="92">
        <v>4350</v>
      </c>
      <c r="B106">
        <v>4350</v>
      </c>
      <c r="C106">
        <v>0</v>
      </c>
      <c r="D106">
        <v>14596</v>
      </c>
      <c r="E106">
        <v>71163</v>
      </c>
      <c r="F106">
        <v>1.3</v>
      </c>
      <c r="G106">
        <v>1.6</v>
      </c>
      <c r="H106">
        <v>0.9</v>
      </c>
      <c r="I106">
        <v>0.9</v>
      </c>
      <c r="J106" s="92">
        <v>71163</v>
      </c>
    </row>
    <row r="107" spans="1:10" x14ac:dyDescent="0.3">
      <c r="A107" s="92">
        <v>4375</v>
      </c>
      <c r="B107">
        <v>4375</v>
      </c>
      <c r="C107">
        <v>0</v>
      </c>
      <c r="D107">
        <v>2767</v>
      </c>
      <c r="E107">
        <v>38769</v>
      </c>
      <c r="F107">
        <v>1.1000000000000001</v>
      </c>
      <c r="G107">
        <v>1.1000000000000001</v>
      </c>
      <c r="H107">
        <v>0.6</v>
      </c>
      <c r="I107">
        <v>0.6</v>
      </c>
      <c r="J107" s="92">
        <v>38769</v>
      </c>
    </row>
    <row r="108" spans="1:10" x14ac:dyDescent="0.3">
      <c r="A108" s="92">
        <v>4400</v>
      </c>
      <c r="B108">
        <v>4400</v>
      </c>
      <c r="C108">
        <v>0</v>
      </c>
      <c r="D108">
        <v>5796</v>
      </c>
      <c r="E108">
        <v>61487</v>
      </c>
      <c r="F108">
        <v>0.7</v>
      </c>
      <c r="G108">
        <v>0.8</v>
      </c>
      <c r="H108">
        <v>0.5</v>
      </c>
      <c r="I108">
        <v>0.6</v>
      </c>
      <c r="J108" s="92">
        <v>61487</v>
      </c>
    </row>
    <row r="109" spans="1:10" x14ac:dyDescent="0.3">
      <c r="A109" s="92">
        <v>4425</v>
      </c>
      <c r="B109">
        <v>4425</v>
      </c>
      <c r="C109">
        <v>0</v>
      </c>
      <c r="D109">
        <v>1553</v>
      </c>
      <c r="E109">
        <v>35772</v>
      </c>
      <c r="F109">
        <v>0.5</v>
      </c>
      <c r="G109">
        <v>0.7</v>
      </c>
      <c r="H109">
        <v>0.4</v>
      </c>
      <c r="I109">
        <v>0.6</v>
      </c>
      <c r="J109" s="92">
        <v>35772</v>
      </c>
    </row>
    <row r="110" spans="1:10" x14ac:dyDescent="0.3">
      <c r="A110" s="92">
        <v>4450</v>
      </c>
      <c r="B110">
        <v>4450</v>
      </c>
      <c r="C110">
        <v>0</v>
      </c>
      <c r="D110">
        <v>4135</v>
      </c>
      <c r="E110">
        <v>61885</v>
      </c>
      <c r="F110">
        <v>0.5</v>
      </c>
      <c r="G110">
        <v>0.5</v>
      </c>
      <c r="H110">
        <v>0.4</v>
      </c>
      <c r="I110">
        <v>0.4</v>
      </c>
      <c r="J110" s="92">
        <v>61885</v>
      </c>
    </row>
    <row r="111" spans="1:10" x14ac:dyDescent="0.3">
      <c r="A111" s="92">
        <v>4475</v>
      </c>
      <c r="B111">
        <v>4475</v>
      </c>
      <c r="C111">
        <v>0</v>
      </c>
      <c r="D111">
        <v>418</v>
      </c>
      <c r="E111">
        <v>20673</v>
      </c>
      <c r="F111">
        <v>0.3</v>
      </c>
      <c r="G111">
        <v>0.3</v>
      </c>
      <c r="H111">
        <v>0.3</v>
      </c>
      <c r="I111">
        <v>0.3</v>
      </c>
      <c r="J111" s="92">
        <v>20673</v>
      </c>
    </row>
    <row r="112" spans="1:10" x14ac:dyDescent="0.3">
      <c r="A112" s="92">
        <v>4500</v>
      </c>
      <c r="B112">
        <v>4500</v>
      </c>
      <c r="C112">
        <v>0</v>
      </c>
      <c r="D112">
        <v>4946</v>
      </c>
      <c r="E112">
        <v>74416</v>
      </c>
      <c r="F112">
        <v>0.2</v>
      </c>
      <c r="G112">
        <v>0.4</v>
      </c>
      <c r="H112">
        <v>0.2</v>
      </c>
      <c r="I112">
        <v>0.4</v>
      </c>
      <c r="J112" s="92">
        <v>74416</v>
      </c>
    </row>
    <row r="113" spans="1:10" x14ac:dyDescent="0.3">
      <c r="A113" s="92">
        <v>4525</v>
      </c>
      <c r="B113">
        <v>4525</v>
      </c>
      <c r="C113">
        <v>0</v>
      </c>
      <c r="D113">
        <v>1000</v>
      </c>
      <c r="E113">
        <v>42571</v>
      </c>
      <c r="F113">
        <v>0.3</v>
      </c>
      <c r="G113">
        <v>0.3</v>
      </c>
      <c r="H113">
        <v>0.3</v>
      </c>
      <c r="I113">
        <v>0.3</v>
      </c>
      <c r="J113" s="92">
        <v>42571</v>
      </c>
    </row>
    <row r="114" spans="1:10" x14ac:dyDescent="0.3">
      <c r="A114" s="92">
        <v>4550</v>
      </c>
      <c r="B114">
        <v>4550</v>
      </c>
      <c r="C114">
        <v>0</v>
      </c>
      <c r="D114">
        <v>0</v>
      </c>
      <c r="E114">
        <v>33748</v>
      </c>
      <c r="F114">
        <v>0</v>
      </c>
      <c r="G114">
        <v>0</v>
      </c>
      <c r="H114">
        <v>0</v>
      </c>
      <c r="I114">
        <v>0</v>
      </c>
      <c r="J114" s="92">
        <v>33748</v>
      </c>
    </row>
    <row r="115" spans="1:10" x14ac:dyDescent="0.3">
      <c r="A115" s="92">
        <v>4575</v>
      </c>
      <c r="B115">
        <v>4575</v>
      </c>
      <c r="C115">
        <v>0</v>
      </c>
      <c r="D115">
        <v>0</v>
      </c>
      <c r="E115">
        <v>17395</v>
      </c>
      <c r="F115">
        <v>0</v>
      </c>
      <c r="G115">
        <v>0</v>
      </c>
      <c r="H115">
        <v>0</v>
      </c>
      <c r="I115">
        <v>0</v>
      </c>
      <c r="J115" s="92">
        <v>17395</v>
      </c>
    </row>
    <row r="116" spans="1:10" x14ac:dyDescent="0.3">
      <c r="A116" s="92">
        <v>4600</v>
      </c>
      <c r="B116">
        <v>4600</v>
      </c>
      <c r="C116">
        <v>0</v>
      </c>
      <c r="D116">
        <v>3500</v>
      </c>
      <c r="E116">
        <v>62180</v>
      </c>
      <c r="F116">
        <v>0</v>
      </c>
      <c r="G116">
        <v>0</v>
      </c>
      <c r="H116">
        <v>0</v>
      </c>
      <c r="I116">
        <v>0</v>
      </c>
      <c r="J116" s="92">
        <v>62180</v>
      </c>
    </row>
    <row r="117" spans="1:10" x14ac:dyDescent="0.3">
      <c r="A117" s="92">
        <v>4625</v>
      </c>
      <c r="B117">
        <v>4625</v>
      </c>
      <c r="C117">
        <v>0</v>
      </c>
      <c r="D117">
        <v>0</v>
      </c>
      <c r="E117">
        <v>5214</v>
      </c>
      <c r="F117">
        <v>0</v>
      </c>
      <c r="G117">
        <v>0</v>
      </c>
      <c r="H117">
        <v>0</v>
      </c>
      <c r="I117">
        <v>0</v>
      </c>
      <c r="J117" s="92">
        <v>5214</v>
      </c>
    </row>
    <row r="118" spans="1:10" x14ac:dyDescent="0.3">
      <c r="A118" s="92">
        <v>4650</v>
      </c>
      <c r="B118">
        <v>4650</v>
      </c>
      <c r="C118">
        <v>0</v>
      </c>
      <c r="D118">
        <v>0</v>
      </c>
      <c r="E118">
        <v>24139</v>
      </c>
      <c r="F118">
        <v>0</v>
      </c>
      <c r="G118">
        <v>0</v>
      </c>
      <c r="H118">
        <v>0</v>
      </c>
      <c r="I118">
        <v>0</v>
      </c>
      <c r="J118" s="92">
        <v>24139</v>
      </c>
    </row>
    <row r="119" spans="1:10" x14ac:dyDescent="0.3">
      <c r="A119" s="92">
        <v>4675</v>
      </c>
      <c r="B119">
        <v>4675</v>
      </c>
      <c r="C119">
        <v>0</v>
      </c>
      <c r="D119">
        <v>0</v>
      </c>
      <c r="E119">
        <v>3877</v>
      </c>
      <c r="F119">
        <v>0</v>
      </c>
      <c r="G119">
        <v>0</v>
      </c>
      <c r="H119">
        <v>0</v>
      </c>
      <c r="I119">
        <v>0</v>
      </c>
      <c r="J119" s="92">
        <v>3877</v>
      </c>
    </row>
    <row r="120" spans="1:10" x14ac:dyDescent="0.3">
      <c r="A120" s="92">
        <v>4700</v>
      </c>
      <c r="B120">
        <v>4700</v>
      </c>
      <c r="C120">
        <v>0</v>
      </c>
      <c r="D120">
        <v>0</v>
      </c>
      <c r="E120">
        <v>32256</v>
      </c>
      <c r="F120">
        <v>0</v>
      </c>
      <c r="G120">
        <v>0</v>
      </c>
      <c r="H120">
        <v>0</v>
      </c>
      <c r="I120">
        <v>0</v>
      </c>
      <c r="J120" s="92">
        <v>32256</v>
      </c>
    </row>
    <row r="121" spans="1:10" x14ac:dyDescent="0.3">
      <c r="A121" s="92">
        <v>4725</v>
      </c>
      <c r="B121">
        <v>4725</v>
      </c>
      <c r="C121">
        <v>0</v>
      </c>
      <c r="D121">
        <v>0</v>
      </c>
      <c r="E121">
        <v>1703</v>
      </c>
      <c r="F121">
        <v>0</v>
      </c>
      <c r="G121">
        <v>0</v>
      </c>
      <c r="H121">
        <v>0</v>
      </c>
      <c r="I121">
        <v>0</v>
      </c>
      <c r="J121" s="92">
        <v>1703</v>
      </c>
    </row>
    <row r="122" spans="1:10" x14ac:dyDescent="0.3">
      <c r="A122" s="92">
        <v>4750</v>
      </c>
      <c r="B122">
        <v>4750</v>
      </c>
      <c r="C122">
        <v>0</v>
      </c>
      <c r="D122">
        <v>0</v>
      </c>
      <c r="E122">
        <v>7078</v>
      </c>
      <c r="F122">
        <v>0</v>
      </c>
      <c r="G122">
        <v>0</v>
      </c>
      <c r="H122">
        <v>0</v>
      </c>
      <c r="I122">
        <v>0</v>
      </c>
      <c r="J122" s="92">
        <v>7078</v>
      </c>
    </row>
    <row r="123" spans="1:10" x14ac:dyDescent="0.3">
      <c r="A123" s="92">
        <v>4775</v>
      </c>
      <c r="B123">
        <v>4775</v>
      </c>
      <c r="C123">
        <v>0</v>
      </c>
      <c r="D123">
        <v>0</v>
      </c>
      <c r="E123">
        <v>2659</v>
      </c>
      <c r="F123">
        <v>0</v>
      </c>
      <c r="G123">
        <v>0</v>
      </c>
      <c r="H123">
        <v>0</v>
      </c>
      <c r="I123">
        <v>0</v>
      </c>
      <c r="J123" s="92">
        <v>2659</v>
      </c>
    </row>
    <row r="124" spans="1:10" x14ac:dyDescent="0.3">
      <c r="A124" s="92">
        <v>4800</v>
      </c>
      <c r="B124">
        <v>4800</v>
      </c>
      <c r="C124">
        <v>0</v>
      </c>
      <c r="D124">
        <v>0</v>
      </c>
      <c r="E124">
        <v>19876</v>
      </c>
      <c r="F124">
        <v>0</v>
      </c>
      <c r="G124">
        <v>0</v>
      </c>
      <c r="H124">
        <v>0</v>
      </c>
      <c r="I124">
        <v>0</v>
      </c>
      <c r="J124" s="92">
        <v>19876</v>
      </c>
    </row>
    <row r="125" spans="1:10" x14ac:dyDescent="0.3">
      <c r="A125" s="92">
        <v>4825</v>
      </c>
      <c r="B125">
        <v>4825</v>
      </c>
      <c r="C125">
        <v>0</v>
      </c>
      <c r="D125">
        <v>0</v>
      </c>
      <c r="E125">
        <v>1554</v>
      </c>
      <c r="F125">
        <v>0</v>
      </c>
      <c r="G125">
        <v>0</v>
      </c>
      <c r="H125">
        <v>0</v>
      </c>
      <c r="I125">
        <v>0</v>
      </c>
      <c r="J125" s="92">
        <v>1554</v>
      </c>
    </row>
    <row r="126" spans="1:10" x14ac:dyDescent="0.3">
      <c r="A126" s="92">
        <v>4850</v>
      </c>
      <c r="B126">
        <v>4850</v>
      </c>
      <c r="C126">
        <v>0</v>
      </c>
      <c r="D126">
        <v>0</v>
      </c>
      <c r="E126">
        <v>6130</v>
      </c>
      <c r="F126">
        <v>0</v>
      </c>
      <c r="G126">
        <v>0</v>
      </c>
      <c r="H126">
        <v>0</v>
      </c>
      <c r="I126">
        <v>0</v>
      </c>
      <c r="J126" s="92">
        <v>6130</v>
      </c>
    </row>
    <row r="127" spans="1:10" x14ac:dyDescent="0.3">
      <c r="A127" s="92">
        <v>4875</v>
      </c>
      <c r="B127">
        <v>4875</v>
      </c>
      <c r="C127">
        <v>0</v>
      </c>
      <c r="D127">
        <v>0</v>
      </c>
      <c r="E127">
        <v>270</v>
      </c>
      <c r="F127">
        <v>0</v>
      </c>
      <c r="G127">
        <v>0</v>
      </c>
      <c r="H127">
        <v>0</v>
      </c>
      <c r="I127">
        <v>0</v>
      </c>
      <c r="J127" s="92">
        <v>270</v>
      </c>
    </row>
    <row r="128" spans="1:10" x14ac:dyDescent="0.3">
      <c r="A128" s="92">
        <v>4900</v>
      </c>
      <c r="B128">
        <v>4900</v>
      </c>
      <c r="C128">
        <v>0</v>
      </c>
      <c r="D128">
        <v>0</v>
      </c>
      <c r="E128">
        <v>634</v>
      </c>
      <c r="F128">
        <v>0</v>
      </c>
      <c r="G128">
        <v>0</v>
      </c>
      <c r="H128">
        <v>0</v>
      </c>
      <c r="I128">
        <v>0</v>
      </c>
      <c r="J128" s="92">
        <v>634</v>
      </c>
    </row>
    <row r="129" spans="1:10" x14ac:dyDescent="0.3">
      <c r="A129" s="92">
        <v>4925</v>
      </c>
      <c r="B129">
        <v>4925</v>
      </c>
      <c r="C129">
        <v>0</v>
      </c>
      <c r="D129">
        <v>0</v>
      </c>
      <c r="E129">
        <v>241</v>
      </c>
      <c r="F129">
        <v>0</v>
      </c>
      <c r="G129">
        <v>0</v>
      </c>
      <c r="H129">
        <v>0</v>
      </c>
      <c r="I129">
        <v>0</v>
      </c>
      <c r="J129" s="92">
        <v>241</v>
      </c>
    </row>
    <row r="130" spans="1:10" x14ac:dyDescent="0.3">
      <c r="A130" s="92">
        <v>4950</v>
      </c>
      <c r="B130">
        <v>4950</v>
      </c>
      <c r="C130">
        <v>0</v>
      </c>
      <c r="D130">
        <v>0</v>
      </c>
      <c r="E130">
        <v>152</v>
      </c>
      <c r="F130">
        <v>0</v>
      </c>
      <c r="G130">
        <v>0</v>
      </c>
      <c r="H130">
        <v>0</v>
      </c>
      <c r="I130">
        <v>0</v>
      </c>
      <c r="J130" s="92">
        <v>152</v>
      </c>
    </row>
    <row r="131" spans="1:10" x14ac:dyDescent="0.3">
      <c r="A131" s="92">
        <v>4975</v>
      </c>
      <c r="B131">
        <v>4975</v>
      </c>
      <c r="C131">
        <v>0</v>
      </c>
      <c r="D131">
        <v>0</v>
      </c>
      <c r="E131">
        <v>128</v>
      </c>
      <c r="F131">
        <v>0</v>
      </c>
      <c r="G131">
        <v>0</v>
      </c>
      <c r="H131">
        <v>0</v>
      </c>
      <c r="I131">
        <v>0</v>
      </c>
      <c r="J131" s="92">
        <v>128</v>
      </c>
    </row>
    <row r="132" spans="1:10" x14ac:dyDescent="0.3">
      <c r="A132" s="92">
        <v>5000</v>
      </c>
      <c r="B132">
        <v>5000</v>
      </c>
      <c r="C132">
        <v>0</v>
      </c>
      <c r="D132">
        <v>0</v>
      </c>
      <c r="E132">
        <v>1478</v>
      </c>
      <c r="F132">
        <v>0</v>
      </c>
      <c r="G132">
        <v>0</v>
      </c>
      <c r="H132">
        <v>0</v>
      </c>
      <c r="I132">
        <v>0</v>
      </c>
      <c r="J132" s="92">
        <v>1478</v>
      </c>
    </row>
    <row r="133" spans="1:10" x14ac:dyDescent="0.3">
      <c r="A133" s="92">
        <v>5025</v>
      </c>
      <c r="B133">
        <v>5025</v>
      </c>
      <c r="C133">
        <v>0</v>
      </c>
      <c r="D133">
        <v>0</v>
      </c>
      <c r="E133">
        <v>85</v>
      </c>
      <c r="F133">
        <v>0</v>
      </c>
      <c r="G133">
        <v>0</v>
      </c>
      <c r="H133">
        <v>0</v>
      </c>
      <c r="I133">
        <v>0</v>
      </c>
      <c r="J133" s="92">
        <v>85</v>
      </c>
    </row>
    <row r="134" spans="1:10" x14ac:dyDescent="0.3">
      <c r="A134" s="92">
        <v>5050</v>
      </c>
      <c r="B134">
        <v>5050</v>
      </c>
      <c r="C134">
        <v>0</v>
      </c>
      <c r="D134">
        <v>0</v>
      </c>
      <c r="E134">
        <v>4562</v>
      </c>
      <c r="F134">
        <v>0</v>
      </c>
      <c r="G134">
        <v>0</v>
      </c>
      <c r="H134">
        <v>0</v>
      </c>
      <c r="I134">
        <v>0</v>
      </c>
      <c r="J134" s="92">
        <v>4562</v>
      </c>
    </row>
    <row r="135" spans="1:10" x14ac:dyDescent="0.3">
      <c r="A135" s="92">
        <v>5075</v>
      </c>
      <c r="B135">
        <v>5075</v>
      </c>
      <c r="C135">
        <v>0</v>
      </c>
      <c r="D135">
        <v>0</v>
      </c>
      <c r="E135">
        <v>35</v>
      </c>
      <c r="F135">
        <v>0</v>
      </c>
      <c r="G135">
        <v>0</v>
      </c>
      <c r="H135">
        <v>0</v>
      </c>
      <c r="I135">
        <v>0</v>
      </c>
      <c r="J135" s="92">
        <v>35</v>
      </c>
    </row>
    <row r="136" spans="1:10" x14ac:dyDescent="0.3">
      <c r="A136" s="92">
        <v>5100</v>
      </c>
      <c r="B136">
        <v>5100</v>
      </c>
      <c r="C136">
        <v>0</v>
      </c>
      <c r="D136">
        <v>0</v>
      </c>
      <c r="E136">
        <v>28</v>
      </c>
      <c r="F136">
        <v>0</v>
      </c>
      <c r="G136">
        <v>0</v>
      </c>
      <c r="H136">
        <v>0</v>
      </c>
      <c r="I136">
        <v>0</v>
      </c>
      <c r="J136" s="92">
        <v>28</v>
      </c>
    </row>
    <row r="137" spans="1:10" x14ac:dyDescent="0.3">
      <c r="A137" s="92">
        <v>5125</v>
      </c>
      <c r="B137">
        <v>5125</v>
      </c>
      <c r="C137">
        <v>0</v>
      </c>
      <c r="D137">
        <v>0</v>
      </c>
      <c r="E137">
        <v>14</v>
      </c>
      <c r="F137">
        <v>0</v>
      </c>
      <c r="G137">
        <v>0</v>
      </c>
      <c r="H137">
        <v>0</v>
      </c>
      <c r="I137">
        <v>0</v>
      </c>
      <c r="J137" s="92">
        <v>14</v>
      </c>
    </row>
    <row r="138" spans="1:10" x14ac:dyDescent="0.3">
      <c r="A138" s="92">
        <v>5150</v>
      </c>
      <c r="B138">
        <v>5150</v>
      </c>
      <c r="C138">
        <v>0</v>
      </c>
      <c r="D138">
        <v>0</v>
      </c>
      <c r="E138">
        <v>57</v>
      </c>
      <c r="F138">
        <v>0</v>
      </c>
      <c r="G138">
        <v>0</v>
      </c>
      <c r="H138">
        <v>0</v>
      </c>
      <c r="I138">
        <v>0</v>
      </c>
      <c r="J138" s="92">
        <v>57</v>
      </c>
    </row>
    <row r="139" spans="1:10" x14ac:dyDescent="0.3">
      <c r="A139" s="92">
        <v>5175</v>
      </c>
      <c r="B139">
        <v>5175</v>
      </c>
      <c r="C139">
        <v>0</v>
      </c>
      <c r="D139">
        <v>0</v>
      </c>
      <c r="E139">
        <v>7</v>
      </c>
      <c r="F139">
        <v>0</v>
      </c>
      <c r="G139">
        <v>0</v>
      </c>
      <c r="H139">
        <v>0</v>
      </c>
      <c r="I139">
        <v>0</v>
      </c>
      <c r="J139" s="92">
        <v>7</v>
      </c>
    </row>
    <row r="140" spans="1:10" x14ac:dyDescent="0.3">
      <c r="A140" s="92">
        <v>5200</v>
      </c>
      <c r="B140">
        <v>5200</v>
      </c>
      <c r="C140">
        <v>0</v>
      </c>
      <c r="D140">
        <v>0</v>
      </c>
      <c r="E140">
        <v>15</v>
      </c>
      <c r="F140">
        <v>0</v>
      </c>
      <c r="G140">
        <v>0</v>
      </c>
      <c r="H140">
        <v>0</v>
      </c>
      <c r="I140">
        <v>0</v>
      </c>
      <c r="J140" s="92">
        <v>15</v>
      </c>
    </row>
    <row r="141" spans="1:10" x14ac:dyDescent="0.3">
      <c r="A141" s="92">
        <v>5250</v>
      </c>
      <c r="B141">
        <v>5250</v>
      </c>
      <c r="C141">
        <v>0</v>
      </c>
      <c r="D141">
        <v>0</v>
      </c>
      <c r="E141">
        <v>260</v>
      </c>
      <c r="F141">
        <v>0</v>
      </c>
      <c r="G141">
        <v>0</v>
      </c>
      <c r="H141">
        <v>0</v>
      </c>
      <c r="I141">
        <v>0</v>
      </c>
      <c r="J141" s="92">
        <v>260</v>
      </c>
    </row>
    <row r="142" spans="1:10" x14ac:dyDescent="0.3">
      <c r="A142" s="92">
        <v>5300</v>
      </c>
      <c r="B142">
        <v>5300</v>
      </c>
      <c r="C142">
        <v>0</v>
      </c>
      <c r="D142">
        <v>0</v>
      </c>
      <c r="E142">
        <v>13</v>
      </c>
      <c r="F142">
        <v>0</v>
      </c>
      <c r="G142">
        <v>0</v>
      </c>
      <c r="H142">
        <v>0</v>
      </c>
      <c r="I142">
        <v>0</v>
      </c>
      <c r="J142" s="92">
        <v>13</v>
      </c>
    </row>
    <row r="143" spans="1:10" x14ac:dyDescent="0.3">
      <c r="A143" s="92">
        <v>5400</v>
      </c>
      <c r="B143">
        <v>5400</v>
      </c>
      <c r="C143">
        <v>0</v>
      </c>
      <c r="D143">
        <v>0</v>
      </c>
      <c r="E143">
        <v>0</v>
      </c>
      <c r="F143">
        <v>0</v>
      </c>
      <c r="G143">
        <v>0</v>
      </c>
      <c r="H143">
        <v>0</v>
      </c>
      <c r="I143">
        <v>0</v>
      </c>
      <c r="J143" s="92">
        <v>0</v>
      </c>
    </row>
    <row r="144" spans="1:10" x14ac:dyDescent="0.3">
      <c r="A144" s="92">
        <v>5500</v>
      </c>
      <c r="B144">
        <v>5500</v>
      </c>
      <c r="C144">
        <v>0</v>
      </c>
      <c r="D144">
        <v>0</v>
      </c>
      <c r="E144">
        <v>0</v>
      </c>
      <c r="F144">
        <v>0</v>
      </c>
      <c r="G144">
        <v>0</v>
      </c>
      <c r="H144">
        <v>0</v>
      </c>
      <c r="I144">
        <v>0</v>
      </c>
      <c r="J144" s="92">
        <v>0</v>
      </c>
    </row>
    <row r="145" spans="1:10" x14ac:dyDescent="0.3">
      <c r="A145" s="92">
        <v>5600</v>
      </c>
      <c r="B145">
        <v>5600</v>
      </c>
      <c r="C145">
        <v>0</v>
      </c>
      <c r="D145">
        <v>0</v>
      </c>
      <c r="E145">
        <v>0</v>
      </c>
      <c r="F145">
        <v>0</v>
      </c>
      <c r="G145">
        <v>0</v>
      </c>
      <c r="H145">
        <v>0</v>
      </c>
      <c r="I145">
        <v>0</v>
      </c>
      <c r="J145" s="92">
        <v>0</v>
      </c>
    </row>
    <row r="146" spans="1:10" x14ac:dyDescent="0.3">
      <c r="A146" s="92">
        <v>5700</v>
      </c>
      <c r="B146">
        <v>5700</v>
      </c>
      <c r="C146">
        <v>0</v>
      </c>
      <c r="D146">
        <v>0</v>
      </c>
      <c r="E146">
        <v>3</v>
      </c>
      <c r="F146">
        <v>0</v>
      </c>
      <c r="G146">
        <v>0</v>
      </c>
      <c r="H146">
        <v>0</v>
      </c>
      <c r="I146">
        <v>0</v>
      </c>
      <c r="J146" s="92">
        <v>3</v>
      </c>
    </row>
    <row r="147" spans="1:10" x14ac:dyDescent="0.3">
      <c r="A147" s="92">
        <v>5800</v>
      </c>
      <c r="B147">
        <v>5800</v>
      </c>
      <c r="C147">
        <v>0</v>
      </c>
      <c r="D147">
        <v>0</v>
      </c>
      <c r="E147">
        <v>3</v>
      </c>
      <c r="F147">
        <v>0</v>
      </c>
      <c r="G147">
        <v>0</v>
      </c>
      <c r="H147">
        <v>0</v>
      </c>
      <c r="I147">
        <v>0</v>
      </c>
      <c r="J147" s="92">
        <v>3</v>
      </c>
    </row>
    <row r="148" spans="1:10" x14ac:dyDescent="0.3">
      <c r="A148" s="92">
        <v>5900</v>
      </c>
      <c r="B148">
        <v>5900</v>
      </c>
      <c r="C148">
        <v>0</v>
      </c>
      <c r="D148">
        <v>0</v>
      </c>
      <c r="E148">
        <v>0</v>
      </c>
      <c r="F148">
        <v>0</v>
      </c>
      <c r="G148">
        <v>0</v>
      </c>
      <c r="H148">
        <v>0</v>
      </c>
      <c r="I148">
        <v>0</v>
      </c>
      <c r="J148" s="92">
        <v>0</v>
      </c>
    </row>
    <row r="149" spans="1:10" x14ac:dyDescent="0.3">
      <c r="A149" s="92">
        <v>6000</v>
      </c>
      <c r="B149">
        <v>6000</v>
      </c>
      <c r="C149">
        <v>0</v>
      </c>
      <c r="D149">
        <v>0</v>
      </c>
      <c r="E149">
        <v>0</v>
      </c>
      <c r="F149">
        <v>0</v>
      </c>
      <c r="G149">
        <v>0</v>
      </c>
      <c r="H149">
        <v>0</v>
      </c>
      <c r="I149">
        <v>0</v>
      </c>
      <c r="J149" s="92">
        <v>0</v>
      </c>
    </row>
    <row r="150" spans="1:10" x14ac:dyDescent="0.3">
      <c r="A150" s="92">
        <v>7000</v>
      </c>
      <c r="B150">
        <v>7000</v>
      </c>
      <c r="C150">
        <v>0</v>
      </c>
      <c r="D150">
        <v>0</v>
      </c>
      <c r="E150">
        <v>0</v>
      </c>
      <c r="F150">
        <v>0</v>
      </c>
      <c r="G150">
        <v>0</v>
      </c>
      <c r="H150">
        <v>0</v>
      </c>
      <c r="I150">
        <v>0</v>
      </c>
      <c r="J150" s="92">
        <v>0</v>
      </c>
    </row>
    <row r="151" spans="1:10" x14ac:dyDescent="0.3">
      <c r="A151" s="92">
        <v>8000</v>
      </c>
      <c r="B151">
        <v>8000</v>
      </c>
      <c r="C151">
        <v>0</v>
      </c>
      <c r="D151">
        <v>0</v>
      </c>
      <c r="E151">
        <v>0</v>
      </c>
      <c r="F151">
        <v>0</v>
      </c>
      <c r="G151">
        <v>0</v>
      </c>
      <c r="H151">
        <v>0</v>
      </c>
      <c r="I151">
        <v>0</v>
      </c>
      <c r="J151" s="92">
        <v>0</v>
      </c>
    </row>
    <row r="152" spans="1:10" x14ac:dyDescent="0.3">
      <c r="A152" s="92">
        <v>9000</v>
      </c>
      <c r="B152">
        <v>9000</v>
      </c>
      <c r="C152">
        <v>0</v>
      </c>
      <c r="D152">
        <v>0</v>
      </c>
      <c r="E152">
        <v>0</v>
      </c>
      <c r="F152">
        <v>0</v>
      </c>
      <c r="G152">
        <v>0</v>
      </c>
      <c r="H152">
        <v>0</v>
      </c>
      <c r="I152">
        <v>0</v>
      </c>
      <c r="J152" s="92">
        <v>0</v>
      </c>
    </row>
    <row r="153" spans="1:10" x14ac:dyDescent="0.3">
      <c r="A153" t="s">
        <v>266</v>
      </c>
      <c r="B153">
        <v>10000</v>
      </c>
      <c r="C153">
        <v>0</v>
      </c>
      <c r="D153">
        <v>0</v>
      </c>
      <c r="E153">
        <v>0</v>
      </c>
      <c r="F153">
        <v>0</v>
      </c>
      <c r="G153">
        <v>0</v>
      </c>
      <c r="H153">
        <v>0</v>
      </c>
      <c r="I153">
        <v>0</v>
      </c>
      <c r="J153">
        <v>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904D7-844F-4FEA-8D66-9FEE9B16657D}">
  <sheetPr codeName="Tabelle9"/>
  <dimension ref="A1:J153"/>
  <sheetViews>
    <sheetView workbookViewId="0"/>
  </sheetViews>
  <sheetFormatPr baseColWidth="10" defaultColWidth="8.88671875" defaultRowHeight="14.4" x14ac:dyDescent="0.3"/>
  <sheetData>
    <row r="1" spans="1:10" x14ac:dyDescent="0.3">
      <c r="A1" s="138" t="s">
        <v>276</v>
      </c>
      <c r="B1" s="138" t="s">
        <v>275</v>
      </c>
      <c r="C1" s="138" t="s">
        <v>274</v>
      </c>
      <c r="D1" s="138" t="s">
        <v>273</v>
      </c>
      <c r="E1" s="138" t="s">
        <v>272</v>
      </c>
      <c r="F1" s="138" t="s">
        <v>271</v>
      </c>
      <c r="G1" s="138" t="s">
        <v>270</v>
      </c>
      <c r="H1" s="138" t="s">
        <v>269</v>
      </c>
      <c r="I1" s="138" t="s">
        <v>268</v>
      </c>
      <c r="J1" s="138" t="s">
        <v>267</v>
      </c>
    </row>
    <row r="2" spans="1:10" x14ac:dyDescent="0.3">
      <c r="A2" s="92">
        <v>1000</v>
      </c>
      <c r="B2">
        <v>1000</v>
      </c>
      <c r="C2">
        <v>0</v>
      </c>
      <c r="D2">
        <v>0</v>
      </c>
      <c r="E2">
        <v>1</v>
      </c>
      <c r="F2">
        <v>0</v>
      </c>
      <c r="G2">
        <v>0</v>
      </c>
      <c r="H2">
        <v>0</v>
      </c>
      <c r="I2">
        <v>0</v>
      </c>
      <c r="J2" s="92">
        <v>1</v>
      </c>
    </row>
    <row r="3" spans="1:10" x14ac:dyDescent="0.3">
      <c r="A3" s="92">
        <v>1100</v>
      </c>
      <c r="B3">
        <v>1100</v>
      </c>
      <c r="C3">
        <v>0</v>
      </c>
      <c r="D3">
        <v>0</v>
      </c>
      <c r="E3">
        <v>0</v>
      </c>
      <c r="F3">
        <v>0</v>
      </c>
      <c r="G3">
        <v>0</v>
      </c>
      <c r="H3">
        <v>0</v>
      </c>
      <c r="I3">
        <v>0</v>
      </c>
      <c r="J3" s="92">
        <v>0</v>
      </c>
    </row>
    <row r="4" spans="1:10" x14ac:dyDescent="0.3">
      <c r="A4" s="92">
        <v>1150</v>
      </c>
      <c r="B4">
        <v>1150</v>
      </c>
      <c r="C4">
        <v>0</v>
      </c>
      <c r="D4">
        <v>0</v>
      </c>
      <c r="E4">
        <v>774</v>
      </c>
      <c r="F4">
        <v>0</v>
      </c>
      <c r="G4">
        <v>0</v>
      </c>
      <c r="H4">
        <v>0</v>
      </c>
      <c r="I4">
        <v>0</v>
      </c>
      <c r="J4" s="92">
        <v>774</v>
      </c>
    </row>
    <row r="5" spans="1:10" x14ac:dyDescent="0.3">
      <c r="A5" s="92">
        <v>1200</v>
      </c>
      <c r="B5">
        <v>1200</v>
      </c>
      <c r="C5">
        <v>0</v>
      </c>
      <c r="D5">
        <v>0</v>
      </c>
      <c r="E5">
        <v>782</v>
      </c>
      <c r="F5">
        <v>0</v>
      </c>
      <c r="G5">
        <v>0</v>
      </c>
      <c r="H5">
        <v>0</v>
      </c>
      <c r="I5">
        <v>0</v>
      </c>
      <c r="J5" s="92">
        <v>782</v>
      </c>
    </row>
    <row r="6" spans="1:10" x14ac:dyDescent="0.3">
      <c r="A6" s="92">
        <v>1250</v>
      </c>
      <c r="B6">
        <v>1250</v>
      </c>
      <c r="C6">
        <v>0</v>
      </c>
      <c r="D6">
        <v>0</v>
      </c>
      <c r="E6">
        <v>41</v>
      </c>
      <c r="F6">
        <v>0</v>
      </c>
      <c r="G6">
        <v>0</v>
      </c>
      <c r="H6">
        <v>0</v>
      </c>
      <c r="I6">
        <v>0</v>
      </c>
      <c r="J6" s="92">
        <v>41</v>
      </c>
    </row>
    <row r="7" spans="1:10" x14ac:dyDescent="0.3">
      <c r="A7" s="92">
        <v>1300</v>
      </c>
      <c r="B7">
        <v>1300</v>
      </c>
      <c r="C7">
        <v>0</v>
      </c>
      <c r="D7">
        <v>0</v>
      </c>
      <c r="E7">
        <v>2</v>
      </c>
      <c r="F7">
        <v>0</v>
      </c>
      <c r="G7">
        <v>0</v>
      </c>
      <c r="H7">
        <v>0</v>
      </c>
      <c r="I7">
        <v>0</v>
      </c>
      <c r="J7" s="92">
        <v>2</v>
      </c>
    </row>
    <row r="8" spans="1:10" x14ac:dyDescent="0.3">
      <c r="A8" s="92">
        <v>1400</v>
      </c>
      <c r="B8">
        <v>1400</v>
      </c>
      <c r="C8">
        <v>0</v>
      </c>
      <c r="D8">
        <v>0</v>
      </c>
      <c r="E8">
        <v>1</v>
      </c>
      <c r="F8">
        <v>0</v>
      </c>
      <c r="G8">
        <v>0</v>
      </c>
      <c r="H8">
        <v>0</v>
      </c>
      <c r="I8">
        <v>0</v>
      </c>
      <c r="J8" s="92">
        <v>1</v>
      </c>
    </row>
    <row r="9" spans="1:10" x14ac:dyDescent="0.3">
      <c r="A9" s="92">
        <v>1450</v>
      </c>
      <c r="B9">
        <v>1450</v>
      </c>
      <c r="C9">
        <v>0</v>
      </c>
      <c r="D9">
        <v>0</v>
      </c>
      <c r="E9">
        <v>2</v>
      </c>
      <c r="F9">
        <v>0</v>
      </c>
      <c r="G9">
        <v>0</v>
      </c>
      <c r="H9">
        <v>0</v>
      </c>
      <c r="I9">
        <v>0</v>
      </c>
      <c r="J9" s="92">
        <v>2</v>
      </c>
    </row>
    <row r="10" spans="1:10" x14ac:dyDescent="0.3">
      <c r="A10" s="92">
        <v>1500</v>
      </c>
      <c r="B10">
        <v>1500</v>
      </c>
      <c r="C10">
        <v>0</v>
      </c>
      <c r="D10">
        <v>0</v>
      </c>
      <c r="E10">
        <v>2</v>
      </c>
      <c r="F10">
        <v>0</v>
      </c>
      <c r="G10">
        <v>0</v>
      </c>
      <c r="H10">
        <v>0</v>
      </c>
      <c r="I10">
        <v>0</v>
      </c>
      <c r="J10" s="92">
        <v>2</v>
      </c>
    </row>
    <row r="11" spans="1:10" x14ac:dyDescent="0.3">
      <c r="A11" s="92">
        <v>1600</v>
      </c>
      <c r="B11">
        <v>1600</v>
      </c>
      <c r="C11">
        <v>0</v>
      </c>
      <c r="D11">
        <v>0</v>
      </c>
      <c r="E11">
        <v>0</v>
      </c>
      <c r="F11">
        <v>0</v>
      </c>
      <c r="G11">
        <v>0</v>
      </c>
      <c r="H11">
        <v>0</v>
      </c>
      <c r="I11">
        <v>0</v>
      </c>
      <c r="J11" s="92">
        <v>0</v>
      </c>
    </row>
    <row r="12" spans="1:10" x14ac:dyDescent="0.3">
      <c r="A12" s="92">
        <v>1650</v>
      </c>
      <c r="B12">
        <v>1650</v>
      </c>
      <c r="C12">
        <v>0</v>
      </c>
      <c r="D12">
        <v>0</v>
      </c>
      <c r="E12">
        <v>275</v>
      </c>
      <c r="F12">
        <v>0</v>
      </c>
      <c r="G12">
        <v>0</v>
      </c>
      <c r="H12">
        <v>0</v>
      </c>
      <c r="I12">
        <v>0</v>
      </c>
      <c r="J12" s="92">
        <v>275</v>
      </c>
    </row>
    <row r="13" spans="1:10" x14ac:dyDescent="0.3">
      <c r="A13" s="92">
        <v>1700</v>
      </c>
      <c r="B13">
        <v>1700</v>
      </c>
      <c r="C13">
        <v>0</v>
      </c>
      <c r="D13">
        <v>0</v>
      </c>
      <c r="E13">
        <v>0</v>
      </c>
      <c r="F13">
        <v>0</v>
      </c>
      <c r="G13">
        <v>0</v>
      </c>
      <c r="H13">
        <v>0</v>
      </c>
      <c r="I13">
        <v>0</v>
      </c>
      <c r="J13" s="92">
        <v>0</v>
      </c>
    </row>
    <row r="14" spans="1:10" x14ac:dyDescent="0.3">
      <c r="A14" s="92">
        <v>1750</v>
      </c>
      <c r="B14">
        <v>1750</v>
      </c>
      <c r="C14">
        <v>0</v>
      </c>
      <c r="D14">
        <v>0</v>
      </c>
      <c r="E14">
        <v>400</v>
      </c>
      <c r="F14">
        <v>0</v>
      </c>
      <c r="G14">
        <v>0</v>
      </c>
      <c r="H14">
        <v>0</v>
      </c>
      <c r="I14">
        <v>0</v>
      </c>
      <c r="J14" s="92">
        <v>400</v>
      </c>
    </row>
    <row r="15" spans="1:10" x14ac:dyDescent="0.3">
      <c r="A15" s="92">
        <v>1800</v>
      </c>
      <c r="B15">
        <v>1800</v>
      </c>
      <c r="C15">
        <v>0</v>
      </c>
      <c r="D15">
        <v>0</v>
      </c>
      <c r="E15">
        <v>50</v>
      </c>
      <c r="F15">
        <v>0</v>
      </c>
      <c r="G15">
        <v>0</v>
      </c>
      <c r="H15">
        <v>0</v>
      </c>
      <c r="I15">
        <v>0</v>
      </c>
      <c r="J15" s="92">
        <v>50</v>
      </c>
    </row>
    <row r="16" spans="1:10" x14ac:dyDescent="0.3">
      <c r="A16" s="92">
        <v>1900</v>
      </c>
      <c r="B16">
        <v>1900</v>
      </c>
      <c r="C16">
        <v>0</v>
      </c>
      <c r="D16">
        <v>0</v>
      </c>
      <c r="E16">
        <v>4000</v>
      </c>
      <c r="F16">
        <v>0</v>
      </c>
      <c r="G16">
        <v>0</v>
      </c>
      <c r="H16">
        <v>0</v>
      </c>
      <c r="I16">
        <v>0</v>
      </c>
      <c r="J16" s="92">
        <v>4000</v>
      </c>
    </row>
    <row r="17" spans="1:10" x14ac:dyDescent="0.3">
      <c r="A17" s="92">
        <v>1950</v>
      </c>
      <c r="B17">
        <v>1950</v>
      </c>
      <c r="C17">
        <v>0</v>
      </c>
      <c r="D17">
        <v>0</v>
      </c>
      <c r="E17">
        <v>110</v>
      </c>
      <c r="F17">
        <v>0</v>
      </c>
      <c r="G17">
        <v>0</v>
      </c>
      <c r="H17">
        <v>0</v>
      </c>
      <c r="I17">
        <v>0</v>
      </c>
      <c r="J17" s="92">
        <v>110</v>
      </c>
    </row>
    <row r="18" spans="1:10" x14ac:dyDescent="0.3">
      <c r="A18" s="92">
        <v>2000</v>
      </c>
      <c r="B18">
        <v>2000</v>
      </c>
      <c r="C18">
        <v>0</v>
      </c>
      <c r="D18">
        <v>0</v>
      </c>
      <c r="E18">
        <v>10</v>
      </c>
      <c r="F18">
        <v>0</v>
      </c>
      <c r="G18">
        <v>0</v>
      </c>
      <c r="H18">
        <v>0</v>
      </c>
      <c r="I18">
        <v>0</v>
      </c>
      <c r="J18" s="92">
        <v>10</v>
      </c>
    </row>
    <row r="19" spans="1:10" x14ac:dyDescent="0.3">
      <c r="A19" s="92">
        <v>2050</v>
      </c>
      <c r="B19">
        <v>2050</v>
      </c>
      <c r="C19">
        <v>0</v>
      </c>
      <c r="D19">
        <v>0</v>
      </c>
      <c r="E19">
        <v>726</v>
      </c>
      <c r="F19">
        <v>0</v>
      </c>
      <c r="G19">
        <v>0</v>
      </c>
      <c r="H19">
        <v>0</v>
      </c>
      <c r="I19">
        <v>0</v>
      </c>
      <c r="J19" s="92">
        <v>726</v>
      </c>
    </row>
    <row r="20" spans="1:10" x14ac:dyDescent="0.3">
      <c r="A20" s="92">
        <v>2100</v>
      </c>
      <c r="B20">
        <v>2100</v>
      </c>
      <c r="C20">
        <v>0</v>
      </c>
      <c r="D20">
        <v>0</v>
      </c>
      <c r="E20">
        <v>530</v>
      </c>
      <c r="F20">
        <v>0</v>
      </c>
      <c r="G20">
        <v>0</v>
      </c>
      <c r="H20">
        <v>0</v>
      </c>
      <c r="I20">
        <v>0</v>
      </c>
      <c r="J20" s="92">
        <v>530</v>
      </c>
    </row>
    <row r="21" spans="1:10" x14ac:dyDescent="0.3">
      <c r="A21" s="92">
        <v>2150</v>
      </c>
      <c r="B21">
        <v>2150</v>
      </c>
      <c r="C21">
        <v>0</v>
      </c>
      <c r="D21">
        <v>0</v>
      </c>
      <c r="E21">
        <v>9</v>
      </c>
      <c r="F21">
        <v>0</v>
      </c>
      <c r="G21">
        <v>0</v>
      </c>
      <c r="H21">
        <v>0</v>
      </c>
      <c r="I21">
        <v>0</v>
      </c>
      <c r="J21" s="92">
        <v>9</v>
      </c>
    </row>
    <row r="22" spans="1:10" x14ac:dyDescent="0.3">
      <c r="A22" s="92">
        <v>2200</v>
      </c>
      <c r="B22">
        <v>2200</v>
      </c>
      <c r="C22">
        <v>0</v>
      </c>
      <c r="D22">
        <v>0</v>
      </c>
      <c r="E22">
        <v>146</v>
      </c>
      <c r="F22">
        <v>0</v>
      </c>
      <c r="G22">
        <v>0</v>
      </c>
      <c r="H22">
        <v>0</v>
      </c>
      <c r="I22">
        <v>0</v>
      </c>
      <c r="J22" s="92">
        <v>146</v>
      </c>
    </row>
    <row r="23" spans="1:10" x14ac:dyDescent="0.3">
      <c r="A23" s="92">
        <v>2250</v>
      </c>
      <c r="B23">
        <v>2250</v>
      </c>
      <c r="C23">
        <v>0</v>
      </c>
      <c r="D23">
        <v>0</v>
      </c>
      <c r="E23">
        <v>112</v>
      </c>
      <c r="F23">
        <v>0</v>
      </c>
      <c r="G23">
        <v>0</v>
      </c>
      <c r="H23">
        <v>0</v>
      </c>
      <c r="I23">
        <v>0</v>
      </c>
      <c r="J23" s="92">
        <v>112</v>
      </c>
    </row>
    <row r="24" spans="1:10" x14ac:dyDescent="0.3">
      <c r="A24" s="92">
        <v>2300</v>
      </c>
      <c r="B24">
        <v>2300</v>
      </c>
      <c r="C24">
        <v>0</v>
      </c>
      <c r="D24">
        <v>0</v>
      </c>
      <c r="E24">
        <v>217</v>
      </c>
      <c r="F24">
        <v>0</v>
      </c>
      <c r="G24">
        <v>0</v>
      </c>
      <c r="H24">
        <v>0</v>
      </c>
      <c r="I24">
        <v>0</v>
      </c>
      <c r="J24" s="92">
        <v>217</v>
      </c>
    </row>
    <row r="25" spans="1:10" x14ac:dyDescent="0.3">
      <c r="A25" s="92">
        <v>2325</v>
      </c>
      <c r="B25">
        <v>2325</v>
      </c>
      <c r="C25">
        <v>0</v>
      </c>
      <c r="D25">
        <v>0</v>
      </c>
      <c r="E25">
        <v>92</v>
      </c>
      <c r="F25">
        <v>0</v>
      </c>
      <c r="G25">
        <v>0</v>
      </c>
      <c r="H25">
        <v>0</v>
      </c>
      <c r="I25">
        <v>0</v>
      </c>
      <c r="J25" s="92">
        <v>92</v>
      </c>
    </row>
    <row r="26" spans="1:10" x14ac:dyDescent="0.3">
      <c r="A26" s="92">
        <v>2350</v>
      </c>
      <c r="B26">
        <v>2350</v>
      </c>
      <c r="C26">
        <v>0</v>
      </c>
      <c r="D26">
        <v>0</v>
      </c>
      <c r="E26">
        <v>61</v>
      </c>
      <c r="F26">
        <v>0</v>
      </c>
      <c r="G26">
        <v>0</v>
      </c>
      <c r="H26">
        <v>0</v>
      </c>
      <c r="I26">
        <v>0</v>
      </c>
      <c r="J26" s="92">
        <v>61</v>
      </c>
    </row>
    <row r="27" spans="1:10" x14ac:dyDescent="0.3">
      <c r="A27" s="92">
        <v>2375</v>
      </c>
      <c r="B27">
        <v>2375</v>
      </c>
      <c r="C27">
        <v>0</v>
      </c>
      <c r="D27">
        <v>0</v>
      </c>
      <c r="E27">
        <v>101</v>
      </c>
      <c r="F27">
        <v>0</v>
      </c>
      <c r="G27">
        <v>0</v>
      </c>
      <c r="H27">
        <v>0</v>
      </c>
      <c r="I27">
        <v>0</v>
      </c>
      <c r="J27" s="92">
        <v>101</v>
      </c>
    </row>
    <row r="28" spans="1:10" x14ac:dyDescent="0.3">
      <c r="A28" s="92">
        <v>2400</v>
      </c>
      <c r="B28">
        <v>2400</v>
      </c>
      <c r="C28">
        <v>0</v>
      </c>
      <c r="D28">
        <v>0</v>
      </c>
      <c r="E28">
        <v>249</v>
      </c>
      <c r="F28">
        <v>0</v>
      </c>
      <c r="G28">
        <v>0</v>
      </c>
      <c r="H28">
        <v>0</v>
      </c>
      <c r="I28">
        <v>0</v>
      </c>
      <c r="J28" s="92">
        <v>249</v>
      </c>
    </row>
    <row r="29" spans="1:10" x14ac:dyDescent="0.3">
      <c r="A29" s="92">
        <v>2425</v>
      </c>
      <c r="B29">
        <v>2425</v>
      </c>
      <c r="C29">
        <v>0</v>
      </c>
      <c r="D29">
        <v>0</v>
      </c>
      <c r="E29">
        <v>50</v>
      </c>
      <c r="F29">
        <v>0</v>
      </c>
      <c r="G29">
        <v>0</v>
      </c>
      <c r="H29">
        <v>0</v>
      </c>
      <c r="I29">
        <v>0</v>
      </c>
      <c r="J29" s="92">
        <v>50</v>
      </c>
    </row>
    <row r="30" spans="1:10" x14ac:dyDescent="0.3">
      <c r="A30" s="92">
        <v>2450</v>
      </c>
      <c r="B30">
        <v>2450</v>
      </c>
      <c r="C30">
        <v>0</v>
      </c>
      <c r="D30">
        <v>0</v>
      </c>
      <c r="E30">
        <v>1855</v>
      </c>
      <c r="F30">
        <v>0</v>
      </c>
      <c r="G30">
        <v>0</v>
      </c>
      <c r="H30">
        <v>0</v>
      </c>
      <c r="I30">
        <v>0</v>
      </c>
      <c r="J30" s="92">
        <v>1855</v>
      </c>
    </row>
    <row r="31" spans="1:10" x14ac:dyDescent="0.3">
      <c r="A31" s="92">
        <v>2475</v>
      </c>
      <c r="B31">
        <v>2475</v>
      </c>
      <c r="C31">
        <v>0</v>
      </c>
      <c r="D31">
        <v>0</v>
      </c>
      <c r="E31">
        <v>55</v>
      </c>
      <c r="F31">
        <v>0</v>
      </c>
      <c r="G31">
        <v>0</v>
      </c>
      <c r="H31">
        <v>0</v>
      </c>
      <c r="I31">
        <v>0</v>
      </c>
      <c r="J31" s="92">
        <v>55</v>
      </c>
    </row>
    <row r="32" spans="1:10" x14ac:dyDescent="0.3">
      <c r="A32" s="92">
        <v>2500</v>
      </c>
      <c r="B32">
        <v>2500</v>
      </c>
      <c r="C32">
        <v>0</v>
      </c>
      <c r="D32">
        <v>0</v>
      </c>
      <c r="E32">
        <v>1419</v>
      </c>
      <c r="F32">
        <v>0</v>
      </c>
      <c r="G32">
        <v>0</v>
      </c>
      <c r="H32">
        <v>0</v>
      </c>
      <c r="I32">
        <v>0</v>
      </c>
      <c r="J32" s="92">
        <v>1419</v>
      </c>
    </row>
    <row r="33" spans="1:10" x14ac:dyDescent="0.3">
      <c r="A33" s="92">
        <v>2525</v>
      </c>
      <c r="B33">
        <v>2525</v>
      </c>
      <c r="C33">
        <v>0</v>
      </c>
      <c r="D33">
        <v>0</v>
      </c>
      <c r="E33">
        <v>201</v>
      </c>
      <c r="F33">
        <v>0</v>
      </c>
      <c r="G33">
        <v>0</v>
      </c>
      <c r="H33">
        <v>0</v>
      </c>
      <c r="I33">
        <v>0</v>
      </c>
      <c r="J33" s="92">
        <v>201</v>
      </c>
    </row>
    <row r="34" spans="1:10" x14ac:dyDescent="0.3">
      <c r="A34" s="92">
        <v>2550</v>
      </c>
      <c r="B34">
        <v>2550</v>
      </c>
      <c r="C34">
        <v>0</v>
      </c>
      <c r="D34">
        <v>0</v>
      </c>
      <c r="E34">
        <v>116</v>
      </c>
      <c r="F34">
        <v>0</v>
      </c>
      <c r="G34">
        <v>0</v>
      </c>
      <c r="H34">
        <v>0</v>
      </c>
      <c r="I34">
        <v>0</v>
      </c>
      <c r="J34" s="92">
        <v>116</v>
      </c>
    </row>
    <row r="35" spans="1:10" x14ac:dyDescent="0.3">
      <c r="A35" s="92">
        <v>2575</v>
      </c>
      <c r="B35">
        <v>2575</v>
      </c>
      <c r="C35">
        <v>0</v>
      </c>
      <c r="D35">
        <v>0</v>
      </c>
      <c r="E35">
        <v>181</v>
      </c>
      <c r="F35">
        <v>0</v>
      </c>
      <c r="G35">
        <v>0</v>
      </c>
      <c r="H35">
        <v>0</v>
      </c>
      <c r="I35">
        <v>0</v>
      </c>
      <c r="J35" s="92">
        <v>181</v>
      </c>
    </row>
    <row r="36" spans="1:10" x14ac:dyDescent="0.3">
      <c r="A36" s="92">
        <v>2600</v>
      </c>
      <c r="B36">
        <v>2600</v>
      </c>
      <c r="C36">
        <v>0</v>
      </c>
      <c r="D36">
        <v>0</v>
      </c>
      <c r="E36">
        <v>9038</v>
      </c>
      <c r="F36">
        <v>0</v>
      </c>
      <c r="G36">
        <v>0</v>
      </c>
      <c r="H36">
        <v>0</v>
      </c>
      <c r="I36">
        <v>0</v>
      </c>
      <c r="J36" s="92">
        <v>9038</v>
      </c>
    </row>
    <row r="37" spans="1:10" x14ac:dyDescent="0.3">
      <c r="A37" s="92">
        <v>2625</v>
      </c>
      <c r="B37">
        <v>2625</v>
      </c>
      <c r="C37">
        <v>0</v>
      </c>
      <c r="D37">
        <v>0</v>
      </c>
      <c r="E37">
        <v>201</v>
      </c>
      <c r="F37">
        <v>0</v>
      </c>
      <c r="G37">
        <v>0</v>
      </c>
      <c r="H37">
        <v>0</v>
      </c>
      <c r="I37">
        <v>0</v>
      </c>
      <c r="J37" s="92">
        <v>201</v>
      </c>
    </row>
    <row r="38" spans="1:10" x14ac:dyDescent="0.3">
      <c r="A38" s="92">
        <v>2650</v>
      </c>
      <c r="B38">
        <v>2650</v>
      </c>
      <c r="C38">
        <v>0</v>
      </c>
      <c r="D38">
        <v>0</v>
      </c>
      <c r="E38">
        <v>317</v>
      </c>
      <c r="F38">
        <v>0</v>
      </c>
      <c r="G38">
        <v>0</v>
      </c>
      <c r="H38">
        <v>0</v>
      </c>
      <c r="I38">
        <v>0</v>
      </c>
      <c r="J38" s="92">
        <v>317</v>
      </c>
    </row>
    <row r="39" spans="1:10" x14ac:dyDescent="0.3">
      <c r="A39" s="92">
        <v>2675</v>
      </c>
      <c r="B39">
        <v>2675</v>
      </c>
      <c r="C39">
        <v>0</v>
      </c>
      <c r="D39">
        <v>0</v>
      </c>
      <c r="E39">
        <v>136</v>
      </c>
      <c r="F39">
        <v>0</v>
      </c>
      <c r="G39">
        <v>0</v>
      </c>
      <c r="H39">
        <v>0</v>
      </c>
      <c r="I39">
        <v>0</v>
      </c>
      <c r="J39" s="92">
        <v>136</v>
      </c>
    </row>
    <row r="40" spans="1:10" x14ac:dyDescent="0.3">
      <c r="A40" s="92">
        <v>2700</v>
      </c>
      <c r="B40">
        <v>2700</v>
      </c>
      <c r="C40">
        <v>0</v>
      </c>
      <c r="D40">
        <v>0</v>
      </c>
      <c r="E40">
        <v>4891</v>
      </c>
      <c r="F40">
        <v>0</v>
      </c>
      <c r="G40">
        <v>0</v>
      </c>
      <c r="H40">
        <v>0</v>
      </c>
      <c r="I40">
        <v>0</v>
      </c>
      <c r="J40" s="92">
        <v>4891</v>
      </c>
    </row>
    <row r="41" spans="1:10" x14ac:dyDescent="0.3">
      <c r="A41" s="92">
        <v>2725</v>
      </c>
      <c r="B41">
        <v>2725</v>
      </c>
      <c r="C41">
        <v>0</v>
      </c>
      <c r="D41">
        <v>0</v>
      </c>
      <c r="E41">
        <v>2950</v>
      </c>
      <c r="F41">
        <v>0</v>
      </c>
      <c r="G41">
        <v>0</v>
      </c>
      <c r="H41">
        <v>0</v>
      </c>
      <c r="I41">
        <v>0</v>
      </c>
      <c r="J41" s="92">
        <v>2950</v>
      </c>
    </row>
    <row r="42" spans="1:10" x14ac:dyDescent="0.3">
      <c r="A42" s="92">
        <v>2750</v>
      </c>
      <c r="B42">
        <v>2750</v>
      </c>
      <c r="C42">
        <v>0</v>
      </c>
      <c r="D42">
        <v>0</v>
      </c>
      <c r="E42">
        <v>5487</v>
      </c>
      <c r="F42">
        <v>0</v>
      </c>
      <c r="G42">
        <v>0</v>
      </c>
      <c r="H42">
        <v>0</v>
      </c>
      <c r="I42">
        <v>0</v>
      </c>
      <c r="J42" s="92">
        <v>5487</v>
      </c>
    </row>
    <row r="43" spans="1:10" x14ac:dyDescent="0.3">
      <c r="A43" s="92">
        <v>2775</v>
      </c>
      <c r="B43">
        <v>2775</v>
      </c>
      <c r="C43">
        <v>0</v>
      </c>
      <c r="D43">
        <v>0</v>
      </c>
      <c r="E43">
        <v>24033</v>
      </c>
      <c r="F43">
        <v>0</v>
      </c>
      <c r="G43">
        <v>0</v>
      </c>
      <c r="H43">
        <v>0</v>
      </c>
      <c r="I43">
        <v>0</v>
      </c>
      <c r="J43" s="92">
        <v>24033</v>
      </c>
    </row>
    <row r="44" spans="1:10" x14ac:dyDescent="0.3">
      <c r="A44" s="92">
        <v>2800</v>
      </c>
      <c r="B44">
        <v>2800</v>
      </c>
      <c r="C44">
        <v>0</v>
      </c>
      <c r="D44">
        <v>0</v>
      </c>
      <c r="E44">
        <v>5697</v>
      </c>
      <c r="F44">
        <v>0</v>
      </c>
      <c r="G44">
        <v>0</v>
      </c>
      <c r="H44">
        <v>0</v>
      </c>
      <c r="I44">
        <v>0</v>
      </c>
      <c r="J44" s="92">
        <v>5697</v>
      </c>
    </row>
    <row r="45" spans="1:10" x14ac:dyDescent="0.3">
      <c r="A45" s="92">
        <v>2825</v>
      </c>
      <c r="B45">
        <v>2825</v>
      </c>
      <c r="C45">
        <v>0</v>
      </c>
      <c r="D45">
        <v>0</v>
      </c>
      <c r="E45">
        <v>4192</v>
      </c>
      <c r="F45">
        <v>0</v>
      </c>
      <c r="G45">
        <v>0</v>
      </c>
      <c r="H45">
        <v>0</v>
      </c>
      <c r="I45">
        <v>0</v>
      </c>
      <c r="J45" s="92">
        <v>4192</v>
      </c>
    </row>
    <row r="46" spans="1:10" x14ac:dyDescent="0.3">
      <c r="A46" s="92">
        <v>2850</v>
      </c>
      <c r="B46">
        <v>2850</v>
      </c>
      <c r="C46">
        <v>0</v>
      </c>
      <c r="D46">
        <v>0</v>
      </c>
      <c r="E46">
        <v>2095</v>
      </c>
      <c r="F46">
        <v>0</v>
      </c>
      <c r="G46">
        <v>0</v>
      </c>
      <c r="H46">
        <v>0</v>
      </c>
      <c r="I46">
        <v>0</v>
      </c>
      <c r="J46" s="92">
        <v>2095</v>
      </c>
    </row>
    <row r="47" spans="1:10" x14ac:dyDescent="0.3">
      <c r="A47" s="92">
        <v>2875</v>
      </c>
      <c r="B47">
        <v>2875</v>
      </c>
      <c r="C47">
        <v>0</v>
      </c>
      <c r="D47">
        <v>0</v>
      </c>
      <c r="E47">
        <v>19102</v>
      </c>
      <c r="F47">
        <v>0</v>
      </c>
      <c r="G47">
        <v>0</v>
      </c>
      <c r="H47">
        <v>0</v>
      </c>
      <c r="I47">
        <v>0</v>
      </c>
      <c r="J47" s="92">
        <v>19102</v>
      </c>
    </row>
    <row r="48" spans="1:10" x14ac:dyDescent="0.3">
      <c r="A48" s="92">
        <v>2900</v>
      </c>
      <c r="B48">
        <v>2900</v>
      </c>
      <c r="C48">
        <v>0</v>
      </c>
      <c r="D48">
        <v>0</v>
      </c>
      <c r="E48">
        <v>5207</v>
      </c>
      <c r="F48">
        <v>0</v>
      </c>
      <c r="G48">
        <v>0</v>
      </c>
      <c r="H48">
        <v>0</v>
      </c>
      <c r="I48">
        <v>0</v>
      </c>
      <c r="J48" s="92">
        <v>5207</v>
      </c>
    </row>
    <row r="49" spans="1:10" x14ac:dyDescent="0.3">
      <c r="A49" s="92">
        <v>2925</v>
      </c>
      <c r="B49">
        <v>2925</v>
      </c>
      <c r="C49">
        <v>0</v>
      </c>
      <c r="D49">
        <v>0</v>
      </c>
      <c r="E49">
        <v>4421</v>
      </c>
      <c r="F49">
        <v>0</v>
      </c>
      <c r="G49">
        <v>0</v>
      </c>
      <c r="H49">
        <v>0</v>
      </c>
      <c r="I49">
        <v>0</v>
      </c>
      <c r="J49" s="92">
        <v>4421</v>
      </c>
    </row>
    <row r="50" spans="1:10" x14ac:dyDescent="0.3">
      <c r="A50" s="92">
        <v>2950</v>
      </c>
      <c r="B50">
        <v>2950</v>
      </c>
      <c r="C50">
        <v>0</v>
      </c>
      <c r="D50">
        <v>0</v>
      </c>
      <c r="E50">
        <v>5489</v>
      </c>
      <c r="F50">
        <v>0</v>
      </c>
      <c r="G50">
        <v>0</v>
      </c>
      <c r="H50">
        <v>0</v>
      </c>
      <c r="I50">
        <v>0</v>
      </c>
      <c r="J50" s="92">
        <v>5489</v>
      </c>
    </row>
    <row r="51" spans="1:10" x14ac:dyDescent="0.3">
      <c r="A51" s="92">
        <v>2975</v>
      </c>
      <c r="B51">
        <v>2975</v>
      </c>
      <c r="C51">
        <v>0</v>
      </c>
      <c r="D51">
        <v>300</v>
      </c>
      <c r="E51">
        <v>2425</v>
      </c>
      <c r="F51">
        <v>0.2</v>
      </c>
      <c r="G51">
        <v>0.2</v>
      </c>
      <c r="H51">
        <v>0.2</v>
      </c>
      <c r="I51">
        <v>0.2</v>
      </c>
      <c r="J51" s="92">
        <v>2425</v>
      </c>
    </row>
    <row r="52" spans="1:10" x14ac:dyDescent="0.3">
      <c r="A52" s="92">
        <v>3000</v>
      </c>
      <c r="B52">
        <v>3000</v>
      </c>
      <c r="C52">
        <v>0</v>
      </c>
      <c r="D52">
        <v>0</v>
      </c>
      <c r="E52">
        <v>11111</v>
      </c>
      <c r="F52">
        <v>0</v>
      </c>
      <c r="G52">
        <v>0</v>
      </c>
      <c r="H52">
        <v>0</v>
      </c>
      <c r="I52">
        <v>0</v>
      </c>
      <c r="J52" s="92">
        <v>11111</v>
      </c>
    </row>
    <row r="53" spans="1:10" x14ac:dyDescent="0.3">
      <c r="A53" s="92">
        <v>3025</v>
      </c>
      <c r="B53">
        <v>3025</v>
      </c>
      <c r="C53">
        <v>0</v>
      </c>
      <c r="D53">
        <v>0</v>
      </c>
      <c r="E53">
        <v>9818</v>
      </c>
      <c r="F53">
        <v>0</v>
      </c>
      <c r="G53">
        <v>0</v>
      </c>
      <c r="H53">
        <v>0</v>
      </c>
      <c r="I53">
        <v>0</v>
      </c>
      <c r="J53" s="92">
        <v>9818</v>
      </c>
    </row>
    <row r="54" spans="1:10" x14ac:dyDescent="0.3">
      <c r="A54" s="92">
        <v>3050</v>
      </c>
      <c r="B54">
        <v>3050</v>
      </c>
      <c r="C54">
        <v>0</v>
      </c>
      <c r="D54">
        <v>300</v>
      </c>
      <c r="E54">
        <v>7233</v>
      </c>
      <c r="F54">
        <v>0.2</v>
      </c>
      <c r="G54">
        <v>0.2</v>
      </c>
      <c r="H54">
        <v>0.2</v>
      </c>
      <c r="I54">
        <v>0.2</v>
      </c>
      <c r="J54" s="92">
        <v>7233</v>
      </c>
    </row>
    <row r="55" spans="1:10" x14ac:dyDescent="0.3">
      <c r="A55" s="92">
        <v>3075</v>
      </c>
      <c r="B55">
        <v>3075</v>
      </c>
      <c r="C55">
        <v>0</v>
      </c>
      <c r="D55">
        <v>400</v>
      </c>
      <c r="E55">
        <v>3875</v>
      </c>
      <c r="F55">
        <v>0.2</v>
      </c>
      <c r="G55">
        <v>0.2</v>
      </c>
      <c r="H55">
        <v>0.2</v>
      </c>
      <c r="I55">
        <v>0.2</v>
      </c>
      <c r="J55" s="92">
        <v>3875</v>
      </c>
    </row>
    <row r="56" spans="1:10" x14ac:dyDescent="0.3">
      <c r="A56" s="92">
        <v>3100</v>
      </c>
      <c r="B56">
        <v>3100</v>
      </c>
      <c r="C56">
        <v>0</v>
      </c>
      <c r="D56">
        <v>0</v>
      </c>
      <c r="E56">
        <v>20277</v>
      </c>
      <c r="F56">
        <v>0</v>
      </c>
      <c r="G56">
        <v>0</v>
      </c>
      <c r="H56">
        <v>0</v>
      </c>
      <c r="I56">
        <v>0</v>
      </c>
      <c r="J56" s="92">
        <v>20277</v>
      </c>
    </row>
    <row r="57" spans="1:10" x14ac:dyDescent="0.3">
      <c r="A57" s="92">
        <v>3125</v>
      </c>
      <c r="B57">
        <v>3125</v>
      </c>
      <c r="C57">
        <v>0</v>
      </c>
      <c r="D57">
        <v>10</v>
      </c>
      <c r="E57">
        <v>12340</v>
      </c>
      <c r="F57">
        <v>0.3</v>
      </c>
      <c r="G57">
        <v>0.3</v>
      </c>
      <c r="H57">
        <v>0.3</v>
      </c>
      <c r="I57">
        <v>0.3</v>
      </c>
      <c r="J57" s="92">
        <v>12340</v>
      </c>
    </row>
    <row r="58" spans="1:10" x14ac:dyDescent="0.3">
      <c r="A58" s="92">
        <v>3150</v>
      </c>
      <c r="B58">
        <v>3150</v>
      </c>
      <c r="C58">
        <v>0</v>
      </c>
      <c r="D58">
        <v>1100</v>
      </c>
      <c r="E58">
        <v>17859</v>
      </c>
      <c r="F58">
        <v>0.3</v>
      </c>
      <c r="G58">
        <v>0.3</v>
      </c>
      <c r="H58">
        <v>0.3</v>
      </c>
      <c r="I58">
        <v>0.3</v>
      </c>
      <c r="J58" s="92">
        <v>17859</v>
      </c>
    </row>
    <row r="59" spans="1:10" x14ac:dyDescent="0.3">
      <c r="A59" s="92">
        <v>3175</v>
      </c>
      <c r="B59">
        <v>3175</v>
      </c>
      <c r="C59">
        <v>0</v>
      </c>
      <c r="D59">
        <v>1600</v>
      </c>
      <c r="E59">
        <v>10040</v>
      </c>
      <c r="F59">
        <v>0.2</v>
      </c>
      <c r="G59">
        <v>0.3</v>
      </c>
      <c r="H59">
        <v>0.2</v>
      </c>
      <c r="I59">
        <v>0.3</v>
      </c>
      <c r="J59" s="92">
        <v>10040</v>
      </c>
    </row>
    <row r="60" spans="1:10" x14ac:dyDescent="0.3">
      <c r="A60" s="92">
        <v>3200</v>
      </c>
      <c r="B60">
        <v>3200</v>
      </c>
      <c r="C60">
        <v>0</v>
      </c>
      <c r="D60">
        <v>115</v>
      </c>
      <c r="E60">
        <v>22322</v>
      </c>
      <c r="F60">
        <v>0.2</v>
      </c>
      <c r="G60">
        <v>0.4</v>
      </c>
      <c r="H60">
        <v>0.2</v>
      </c>
      <c r="I60">
        <v>0.4</v>
      </c>
      <c r="J60" s="92">
        <v>22322</v>
      </c>
    </row>
    <row r="61" spans="1:10" x14ac:dyDescent="0.3">
      <c r="A61" s="92">
        <v>3225</v>
      </c>
      <c r="B61">
        <v>3225</v>
      </c>
      <c r="C61">
        <v>0</v>
      </c>
      <c r="D61">
        <v>1255</v>
      </c>
      <c r="E61">
        <v>5027</v>
      </c>
      <c r="F61">
        <v>0.4</v>
      </c>
      <c r="G61">
        <v>0.4</v>
      </c>
      <c r="H61">
        <v>0.3</v>
      </c>
      <c r="I61">
        <v>0.3</v>
      </c>
      <c r="J61" s="92">
        <v>5027</v>
      </c>
    </row>
    <row r="62" spans="1:10" x14ac:dyDescent="0.3">
      <c r="A62" s="92">
        <v>3250</v>
      </c>
      <c r="B62">
        <v>3250</v>
      </c>
      <c r="C62">
        <v>0</v>
      </c>
      <c r="D62">
        <v>3093</v>
      </c>
      <c r="E62">
        <v>16859</v>
      </c>
      <c r="F62">
        <v>0.2</v>
      </c>
      <c r="G62">
        <v>0.4</v>
      </c>
      <c r="H62">
        <v>0.2</v>
      </c>
      <c r="I62">
        <v>0.4</v>
      </c>
      <c r="J62" s="92">
        <v>16859</v>
      </c>
    </row>
    <row r="63" spans="1:10" x14ac:dyDescent="0.3">
      <c r="A63" s="92">
        <v>3275</v>
      </c>
      <c r="B63">
        <v>3275</v>
      </c>
      <c r="C63">
        <v>0</v>
      </c>
      <c r="D63">
        <v>1710</v>
      </c>
      <c r="E63">
        <v>10629</v>
      </c>
      <c r="F63">
        <v>0.3</v>
      </c>
      <c r="G63">
        <v>0.4</v>
      </c>
      <c r="H63">
        <v>0.3</v>
      </c>
      <c r="I63">
        <v>0.3</v>
      </c>
      <c r="J63" s="92">
        <v>10629</v>
      </c>
    </row>
    <row r="64" spans="1:10" x14ac:dyDescent="0.3">
      <c r="A64" s="92">
        <v>3300</v>
      </c>
      <c r="B64">
        <v>3300</v>
      </c>
      <c r="C64">
        <v>0</v>
      </c>
      <c r="D64">
        <v>1281</v>
      </c>
      <c r="E64">
        <v>20125</v>
      </c>
      <c r="F64">
        <v>0.4</v>
      </c>
      <c r="G64">
        <v>0.4</v>
      </c>
      <c r="H64">
        <v>0.3</v>
      </c>
      <c r="I64">
        <v>0.3</v>
      </c>
      <c r="J64" s="92">
        <v>20125</v>
      </c>
    </row>
    <row r="65" spans="1:10" x14ac:dyDescent="0.3">
      <c r="A65" s="92">
        <v>3325</v>
      </c>
      <c r="B65">
        <v>3325</v>
      </c>
      <c r="C65">
        <v>0</v>
      </c>
      <c r="D65">
        <v>2289</v>
      </c>
      <c r="E65">
        <v>4165</v>
      </c>
      <c r="F65">
        <v>0.5</v>
      </c>
      <c r="G65">
        <v>0.5</v>
      </c>
      <c r="H65">
        <v>0.4</v>
      </c>
      <c r="I65">
        <v>0.5</v>
      </c>
      <c r="J65" s="92">
        <v>4165</v>
      </c>
    </row>
    <row r="66" spans="1:10" x14ac:dyDescent="0.3">
      <c r="A66" s="92">
        <v>3350</v>
      </c>
      <c r="B66">
        <v>3350</v>
      </c>
      <c r="C66">
        <v>0</v>
      </c>
      <c r="D66">
        <v>1804</v>
      </c>
      <c r="E66">
        <v>3410</v>
      </c>
      <c r="F66">
        <v>0.3</v>
      </c>
      <c r="G66">
        <v>0.5</v>
      </c>
      <c r="H66">
        <v>0.3</v>
      </c>
      <c r="I66">
        <v>0.5</v>
      </c>
      <c r="J66" s="92">
        <v>3410</v>
      </c>
    </row>
    <row r="67" spans="1:10" x14ac:dyDescent="0.3">
      <c r="A67" s="92">
        <v>3375</v>
      </c>
      <c r="B67">
        <v>3375</v>
      </c>
      <c r="C67">
        <v>0</v>
      </c>
      <c r="D67">
        <v>634</v>
      </c>
      <c r="E67">
        <v>4257</v>
      </c>
      <c r="F67">
        <v>0.5</v>
      </c>
      <c r="G67">
        <v>0.6</v>
      </c>
      <c r="H67">
        <v>0.4</v>
      </c>
      <c r="I67">
        <v>0.6</v>
      </c>
      <c r="J67" s="92">
        <v>4257</v>
      </c>
    </row>
    <row r="68" spans="1:10" x14ac:dyDescent="0.3">
      <c r="A68" s="92">
        <v>3400</v>
      </c>
      <c r="B68">
        <v>3400</v>
      </c>
      <c r="C68">
        <v>0</v>
      </c>
      <c r="D68">
        <v>2592</v>
      </c>
      <c r="E68">
        <v>21031</v>
      </c>
      <c r="F68">
        <v>0.3</v>
      </c>
      <c r="G68">
        <v>0.6</v>
      </c>
      <c r="H68">
        <v>0.3</v>
      </c>
      <c r="I68">
        <v>0.6</v>
      </c>
      <c r="J68" s="92">
        <v>21031</v>
      </c>
    </row>
    <row r="69" spans="1:10" x14ac:dyDescent="0.3">
      <c r="A69" s="92">
        <v>3425</v>
      </c>
      <c r="B69">
        <v>3425</v>
      </c>
      <c r="C69">
        <v>0</v>
      </c>
      <c r="D69">
        <v>386</v>
      </c>
      <c r="E69">
        <v>6200</v>
      </c>
      <c r="F69">
        <v>0.5</v>
      </c>
      <c r="G69">
        <v>0.7</v>
      </c>
      <c r="H69">
        <v>0.5</v>
      </c>
      <c r="I69">
        <v>0.7</v>
      </c>
      <c r="J69" s="92">
        <v>6200</v>
      </c>
    </row>
    <row r="70" spans="1:10" x14ac:dyDescent="0.3">
      <c r="A70" s="92">
        <v>3450</v>
      </c>
      <c r="B70">
        <v>3450</v>
      </c>
      <c r="C70">
        <v>0</v>
      </c>
      <c r="D70">
        <v>1407</v>
      </c>
      <c r="E70">
        <v>13826</v>
      </c>
      <c r="F70">
        <v>0.4</v>
      </c>
      <c r="G70">
        <v>0.8</v>
      </c>
      <c r="H70">
        <v>0.4</v>
      </c>
      <c r="I70">
        <v>0.8</v>
      </c>
      <c r="J70" s="92">
        <v>13826</v>
      </c>
    </row>
    <row r="71" spans="1:10" x14ac:dyDescent="0.3">
      <c r="A71" s="92">
        <v>3475</v>
      </c>
      <c r="B71">
        <v>3475</v>
      </c>
      <c r="C71">
        <v>0</v>
      </c>
      <c r="D71">
        <v>7454</v>
      </c>
      <c r="E71">
        <v>8568</v>
      </c>
      <c r="F71">
        <v>0.4</v>
      </c>
      <c r="G71">
        <v>0.9</v>
      </c>
      <c r="H71">
        <v>0.4</v>
      </c>
      <c r="I71">
        <v>0.9</v>
      </c>
      <c r="J71" s="92">
        <v>8568</v>
      </c>
    </row>
    <row r="72" spans="1:10" x14ac:dyDescent="0.3">
      <c r="A72" s="92">
        <v>3500</v>
      </c>
      <c r="B72">
        <v>3500</v>
      </c>
      <c r="C72">
        <v>0</v>
      </c>
      <c r="D72">
        <v>11730</v>
      </c>
      <c r="E72">
        <v>30298</v>
      </c>
      <c r="F72">
        <v>0.4</v>
      </c>
      <c r="G72">
        <v>0.9</v>
      </c>
      <c r="H72">
        <v>0.4</v>
      </c>
      <c r="I72">
        <v>0.9</v>
      </c>
      <c r="J72" s="92">
        <v>30298</v>
      </c>
    </row>
    <row r="73" spans="1:10" x14ac:dyDescent="0.3">
      <c r="A73" s="92">
        <v>3525</v>
      </c>
      <c r="B73">
        <v>3525</v>
      </c>
      <c r="C73">
        <v>0</v>
      </c>
      <c r="D73">
        <v>4303</v>
      </c>
      <c r="E73">
        <v>7001</v>
      </c>
      <c r="F73">
        <v>0.6</v>
      </c>
      <c r="G73">
        <v>1</v>
      </c>
      <c r="H73">
        <v>0.6</v>
      </c>
      <c r="I73">
        <v>1</v>
      </c>
      <c r="J73" s="92">
        <v>7001</v>
      </c>
    </row>
    <row r="74" spans="1:10" x14ac:dyDescent="0.3">
      <c r="A74" s="92">
        <v>3550</v>
      </c>
      <c r="B74">
        <v>3550</v>
      </c>
      <c r="C74">
        <v>0</v>
      </c>
      <c r="D74">
        <v>1441</v>
      </c>
      <c r="E74">
        <v>47374</v>
      </c>
      <c r="F74">
        <v>0.5</v>
      </c>
      <c r="G74">
        <v>1.1000000000000001</v>
      </c>
      <c r="H74">
        <v>0.5</v>
      </c>
      <c r="I74">
        <v>1</v>
      </c>
      <c r="J74" s="92">
        <v>47374</v>
      </c>
    </row>
    <row r="75" spans="1:10" x14ac:dyDescent="0.3">
      <c r="A75" s="92">
        <v>3575</v>
      </c>
      <c r="B75">
        <v>3575</v>
      </c>
      <c r="C75">
        <v>0</v>
      </c>
      <c r="D75">
        <v>1261</v>
      </c>
      <c r="E75">
        <v>5129</v>
      </c>
      <c r="F75">
        <v>0.9</v>
      </c>
      <c r="G75">
        <v>1.2</v>
      </c>
      <c r="H75">
        <v>0.8</v>
      </c>
      <c r="I75">
        <v>1.1000000000000001</v>
      </c>
      <c r="J75" s="92">
        <v>5129</v>
      </c>
    </row>
    <row r="76" spans="1:10" x14ac:dyDescent="0.3">
      <c r="A76" s="92">
        <v>3600</v>
      </c>
      <c r="B76">
        <v>3600</v>
      </c>
      <c r="C76">
        <v>0</v>
      </c>
      <c r="D76">
        <v>5038</v>
      </c>
      <c r="E76">
        <v>44987</v>
      </c>
      <c r="F76">
        <v>0.7</v>
      </c>
      <c r="G76">
        <v>1.3</v>
      </c>
      <c r="H76">
        <v>0.7</v>
      </c>
      <c r="I76">
        <v>1.3</v>
      </c>
      <c r="J76" s="92">
        <v>44987</v>
      </c>
    </row>
    <row r="77" spans="1:10" x14ac:dyDescent="0.3">
      <c r="A77" s="92">
        <v>3625</v>
      </c>
      <c r="B77">
        <v>3625</v>
      </c>
      <c r="C77">
        <v>0</v>
      </c>
      <c r="D77">
        <v>824</v>
      </c>
      <c r="E77">
        <v>5151</v>
      </c>
      <c r="F77">
        <v>0.7</v>
      </c>
      <c r="G77">
        <v>1.4</v>
      </c>
      <c r="H77">
        <v>0.7</v>
      </c>
      <c r="I77">
        <v>1.4</v>
      </c>
      <c r="J77" s="92">
        <v>5151</v>
      </c>
    </row>
    <row r="78" spans="1:10" x14ac:dyDescent="0.3">
      <c r="A78" s="92">
        <v>3650</v>
      </c>
      <c r="B78">
        <v>3650</v>
      </c>
      <c r="C78">
        <v>0</v>
      </c>
      <c r="D78">
        <v>1412</v>
      </c>
      <c r="E78">
        <v>14271</v>
      </c>
      <c r="F78">
        <v>0.7</v>
      </c>
      <c r="G78">
        <v>1.6</v>
      </c>
      <c r="H78">
        <v>0.7</v>
      </c>
      <c r="I78">
        <v>1.6</v>
      </c>
      <c r="J78" s="92">
        <v>14271</v>
      </c>
    </row>
    <row r="79" spans="1:10" x14ac:dyDescent="0.3">
      <c r="A79" s="92">
        <v>3675</v>
      </c>
      <c r="B79">
        <v>3675</v>
      </c>
      <c r="C79">
        <v>0</v>
      </c>
      <c r="D79">
        <v>772</v>
      </c>
      <c r="E79">
        <v>15481</v>
      </c>
      <c r="F79">
        <v>1.6</v>
      </c>
      <c r="G79">
        <v>1.7</v>
      </c>
      <c r="H79">
        <v>1.4</v>
      </c>
      <c r="I79">
        <v>1.5</v>
      </c>
      <c r="J79" s="92">
        <v>15481</v>
      </c>
    </row>
    <row r="80" spans="1:10" x14ac:dyDescent="0.3">
      <c r="A80" s="92">
        <v>3700</v>
      </c>
      <c r="B80">
        <v>3700</v>
      </c>
      <c r="C80">
        <v>0</v>
      </c>
      <c r="D80">
        <v>4177</v>
      </c>
      <c r="E80">
        <v>40729</v>
      </c>
      <c r="F80">
        <v>0.7</v>
      </c>
      <c r="G80">
        <v>1.9</v>
      </c>
      <c r="H80">
        <v>0.7</v>
      </c>
      <c r="I80">
        <v>1.8</v>
      </c>
      <c r="J80" s="92">
        <v>40729</v>
      </c>
    </row>
    <row r="81" spans="1:10" x14ac:dyDescent="0.3">
      <c r="A81" s="92">
        <v>3725</v>
      </c>
      <c r="B81">
        <v>3725</v>
      </c>
      <c r="C81">
        <v>0</v>
      </c>
      <c r="D81">
        <v>6453</v>
      </c>
      <c r="E81">
        <v>11697</v>
      </c>
      <c r="F81">
        <v>1.5</v>
      </c>
      <c r="G81">
        <v>2.1</v>
      </c>
      <c r="H81">
        <v>1.4</v>
      </c>
      <c r="I81">
        <v>1.9</v>
      </c>
      <c r="J81" s="92">
        <v>11697</v>
      </c>
    </row>
    <row r="82" spans="1:10" x14ac:dyDescent="0.3">
      <c r="A82" s="92">
        <v>3750</v>
      </c>
      <c r="B82">
        <v>3750</v>
      </c>
      <c r="C82">
        <v>0</v>
      </c>
      <c r="D82">
        <v>7225</v>
      </c>
      <c r="E82">
        <v>34232</v>
      </c>
      <c r="F82">
        <v>1.6</v>
      </c>
      <c r="G82">
        <v>2.2999999999999998</v>
      </c>
      <c r="H82">
        <v>1.5</v>
      </c>
      <c r="I82">
        <v>2.2000000000000002</v>
      </c>
      <c r="J82" s="92">
        <v>34232</v>
      </c>
    </row>
    <row r="83" spans="1:10" x14ac:dyDescent="0.3">
      <c r="A83" s="92">
        <v>3775</v>
      </c>
      <c r="B83">
        <v>3775</v>
      </c>
      <c r="C83">
        <v>0</v>
      </c>
      <c r="D83">
        <v>7800</v>
      </c>
      <c r="E83">
        <v>9452</v>
      </c>
      <c r="F83">
        <v>2</v>
      </c>
      <c r="G83">
        <v>2.6</v>
      </c>
      <c r="H83">
        <v>1.6</v>
      </c>
      <c r="I83">
        <v>2.2999999999999998</v>
      </c>
      <c r="J83" s="92">
        <v>9452</v>
      </c>
    </row>
    <row r="84" spans="1:10" x14ac:dyDescent="0.3">
      <c r="A84" s="92">
        <v>3800</v>
      </c>
      <c r="B84">
        <v>3800</v>
      </c>
      <c r="C84">
        <v>0</v>
      </c>
      <c r="D84">
        <v>8971</v>
      </c>
      <c r="E84">
        <v>87216</v>
      </c>
      <c r="F84">
        <v>1.3</v>
      </c>
      <c r="G84">
        <v>2.8</v>
      </c>
      <c r="H84">
        <v>1.3</v>
      </c>
      <c r="I84">
        <v>2.6</v>
      </c>
      <c r="J84" s="92">
        <v>87216</v>
      </c>
    </row>
    <row r="85" spans="1:10" x14ac:dyDescent="0.3">
      <c r="A85" s="92">
        <v>3825</v>
      </c>
      <c r="B85">
        <v>3825</v>
      </c>
      <c r="C85">
        <v>0</v>
      </c>
      <c r="D85">
        <v>5736</v>
      </c>
      <c r="E85">
        <v>9827</v>
      </c>
      <c r="F85">
        <v>1.2</v>
      </c>
      <c r="G85">
        <v>3.2</v>
      </c>
      <c r="H85">
        <v>1.2</v>
      </c>
      <c r="I85">
        <v>3</v>
      </c>
      <c r="J85" s="92">
        <v>9827</v>
      </c>
    </row>
    <row r="86" spans="1:10" x14ac:dyDescent="0.3">
      <c r="A86" s="92">
        <v>3850</v>
      </c>
      <c r="B86">
        <v>3850</v>
      </c>
      <c r="C86">
        <v>0</v>
      </c>
      <c r="D86">
        <v>6734</v>
      </c>
      <c r="E86">
        <v>26233</v>
      </c>
      <c r="F86">
        <v>1.3</v>
      </c>
      <c r="G86">
        <v>3.6</v>
      </c>
      <c r="H86">
        <v>1.3</v>
      </c>
      <c r="I86">
        <v>3.5</v>
      </c>
      <c r="J86" s="92">
        <v>26233</v>
      </c>
    </row>
    <row r="87" spans="1:10" x14ac:dyDescent="0.3">
      <c r="A87" s="92">
        <v>3875</v>
      </c>
      <c r="B87">
        <v>3875</v>
      </c>
      <c r="C87">
        <v>0</v>
      </c>
      <c r="D87">
        <v>13017</v>
      </c>
      <c r="E87">
        <v>30799</v>
      </c>
      <c r="F87">
        <v>1.5</v>
      </c>
      <c r="G87">
        <v>4.2</v>
      </c>
      <c r="H87">
        <v>1.5</v>
      </c>
      <c r="I87">
        <v>4.0999999999999996</v>
      </c>
      <c r="J87" s="92">
        <v>30799</v>
      </c>
    </row>
    <row r="88" spans="1:10" x14ac:dyDescent="0.3">
      <c r="A88" s="92">
        <v>3900</v>
      </c>
      <c r="B88">
        <v>3900</v>
      </c>
      <c r="C88">
        <v>0</v>
      </c>
      <c r="D88">
        <v>36188</v>
      </c>
      <c r="E88">
        <v>124673</v>
      </c>
      <c r="F88">
        <v>1.7</v>
      </c>
      <c r="G88">
        <v>4.9000000000000004</v>
      </c>
      <c r="H88">
        <v>1.7</v>
      </c>
      <c r="I88">
        <v>4.7</v>
      </c>
      <c r="J88" s="92">
        <v>124673</v>
      </c>
    </row>
    <row r="89" spans="1:10" x14ac:dyDescent="0.3">
      <c r="A89" s="92">
        <v>3925</v>
      </c>
      <c r="B89">
        <v>3925</v>
      </c>
      <c r="C89">
        <v>0</v>
      </c>
      <c r="D89">
        <v>5608</v>
      </c>
      <c r="E89">
        <v>12295</v>
      </c>
      <c r="F89">
        <v>2</v>
      </c>
      <c r="G89">
        <v>5.8</v>
      </c>
      <c r="H89">
        <v>2</v>
      </c>
      <c r="I89">
        <v>5.6</v>
      </c>
      <c r="J89" s="92">
        <v>12295</v>
      </c>
    </row>
    <row r="90" spans="1:10" x14ac:dyDescent="0.3">
      <c r="A90" s="92">
        <v>3950</v>
      </c>
      <c r="B90">
        <v>3950</v>
      </c>
      <c r="C90">
        <v>0</v>
      </c>
      <c r="D90">
        <v>19475</v>
      </c>
      <c r="E90">
        <v>52366</v>
      </c>
      <c r="F90">
        <v>2.2999999999999998</v>
      </c>
      <c r="G90">
        <v>7.1</v>
      </c>
      <c r="H90">
        <v>2.2999999999999998</v>
      </c>
      <c r="I90">
        <v>6.7</v>
      </c>
      <c r="J90" s="92">
        <v>52366</v>
      </c>
    </row>
    <row r="91" spans="1:10" x14ac:dyDescent="0.3">
      <c r="A91" s="92">
        <v>3975</v>
      </c>
      <c r="B91">
        <v>3975</v>
      </c>
      <c r="C91">
        <v>0</v>
      </c>
      <c r="D91">
        <v>4754</v>
      </c>
      <c r="E91">
        <v>26416</v>
      </c>
      <c r="F91">
        <v>2.9</v>
      </c>
      <c r="G91">
        <v>8.9</v>
      </c>
      <c r="H91">
        <v>2.9</v>
      </c>
      <c r="I91">
        <v>8.1999999999999993</v>
      </c>
      <c r="J91" s="92">
        <v>26416</v>
      </c>
    </row>
    <row r="92" spans="1:10" x14ac:dyDescent="0.3">
      <c r="A92" s="92">
        <v>4000</v>
      </c>
      <c r="B92">
        <v>4000</v>
      </c>
      <c r="C92">
        <v>0</v>
      </c>
      <c r="D92">
        <v>45164</v>
      </c>
      <c r="E92">
        <v>104407</v>
      </c>
      <c r="F92">
        <v>3.4</v>
      </c>
      <c r="G92">
        <v>11.5</v>
      </c>
      <c r="H92">
        <v>3.4</v>
      </c>
      <c r="I92">
        <v>10.3</v>
      </c>
      <c r="J92" s="92">
        <v>104407</v>
      </c>
    </row>
    <row r="93" spans="1:10" x14ac:dyDescent="0.3">
      <c r="A93" s="92">
        <v>4025</v>
      </c>
      <c r="B93">
        <v>4025</v>
      </c>
      <c r="C93">
        <v>0</v>
      </c>
      <c r="D93">
        <v>9913</v>
      </c>
      <c r="E93">
        <v>19799</v>
      </c>
      <c r="F93">
        <v>4.0999999999999996</v>
      </c>
      <c r="G93">
        <v>14.4</v>
      </c>
      <c r="H93">
        <v>4.0999999999999996</v>
      </c>
      <c r="I93">
        <v>13.2</v>
      </c>
      <c r="J93" s="92">
        <v>19799</v>
      </c>
    </row>
    <row r="94" spans="1:10" x14ac:dyDescent="0.3">
      <c r="A94" s="92">
        <v>4050</v>
      </c>
      <c r="B94">
        <v>4050</v>
      </c>
      <c r="C94">
        <v>0</v>
      </c>
      <c r="D94">
        <v>29120</v>
      </c>
      <c r="E94">
        <v>58857</v>
      </c>
      <c r="F94">
        <v>6</v>
      </c>
      <c r="G94">
        <v>18.600000000000001</v>
      </c>
      <c r="H94">
        <v>5.8</v>
      </c>
      <c r="I94">
        <v>17.3</v>
      </c>
      <c r="J94" s="92">
        <v>58857</v>
      </c>
    </row>
    <row r="95" spans="1:10" x14ac:dyDescent="0.3">
      <c r="A95" s="92">
        <v>4075</v>
      </c>
      <c r="B95">
        <v>4075</v>
      </c>
      <c r="C95">
        <v>0</v>
      </c>
      <c r="D95">
        <v>11336</v>
      </c>
      <c r="E95">
        <v>26442</v>
      </c>
      <c r="F95">
        <v>7.4</v>
      </c>
      <c r="G95">
        <v>23.8</v>
      </c>
      <c r="H95">
        <v>7.4</v>
      </c>
      <c r="I95">
        <v>22.3</v>
      </c>
      <c r="J95" s="92">
        <v>26442</v>
      </c>
    </row>
    <row r="96" spans="1:10" x14ac:dyDescent="0.3">
      <c r="A96" s="92">
        <v>4100</v>
      </c>
      <c r="B96">
        <v>4100</v>
      </c>
      <c r="C96">
        <v>0</v>
      </c>
      <c r="D96">
        <v>35408</v>
      </c>
      <c r="E96">
        <v>131417</v>
      </c>
      <c r="F96">
        <v>11.1</v>
      </c>
      <c r="G96">
        <v>30.7</v>
      </c>
      <c r="H96">
        <v>10.6</v>
      </c>
      <c r="I96">
        <v>29.3</v>
      </c>
      <c r="J96" s="92">
        <v>131417</v>
      </c>
    </row>
    <row r="97" spans="1:10" x14ac:dyDescent="0.3">
      <c r="A97" s="92">
        <v>4125</v>
      </c>
      <c r="B97">
        <v>4125</v>
      </c>
      <c r="C97">
        <v>0</v>
      </c>
      <c r="D97">
        <v>11174</v>
      </c>
      <c r="E97">
        <v>41475</v>
      </c>
      <c r="F97">
        <v>15.4</v>
      </c>
      <c r="G97">
        <v>39.299999999999997</v>
      </c>
      <c r="H97">
        <v>14.5</v>
      </c>
      <c r="I97">
        <v>37.9</v>
      </c>
      <c r="J97" s="92">
        <v>41475</v>
      </c>
    </row>
    <row r="98" spans="1:10" x14ac:dyDescent="0.3">
      <c r="A98" s="92">
        <v>4150</v>
      </c>
      <c r="B98">
        <v>4150</v>
      </c>
      <c r="C98">
        <v>0</v>
      </c>
      <c r="D98">
        <v>20370</v>
      </c>
      <c r="E98">
        <v>85854</v>
      </c>
      <c r="F98">
        <v>22.1</v>
      </c>
      <c r="G98">
        <v>50.4</v>
      </c>
      <c r="H98">
        <v>18.600000000000001</v>
      </c>
      <c r="I98">
        <v>50</v>
      </c>
      <c r="J98" s="92">
        <v>85854</v>
      </c>
    </row>
    <row r="99" spans="1:10" x14ac:dyDescent="0.3">
      <c r="A99" s="92">
        <v>4175</v>
      </c>
      <c r="B99">
        <v>4175</v>
      </c>
      <c r="C99">
        <v>0</v>
      </c>
      <c r="D99">
        <v>8693</v>
      </c>
      <c r="E99">
        <v>30403</v>
      </c>
      <c r="F99">
        <v>29.3</v>
      </c>
      <c r="G99">
        <v>63.9</v>
      </c>
      <c r="H99">
        <v>27</v>
      </c>
      <c r="I99">
        <v>63.9</v>
      </c>
      <c r="J99" s="92">
        <v>30403</v>
      </c>
    </row>
    <row r="100" spans="1:10" x14ac:dyDescent="0.3">
      <c r="A100" s="92">
        <v>4200</v>
      </c>
      <c r="B100">
        <v>4200</v>
      </c>
      <c r="C100">
        <v>0</v>
      </c>
      <c r="D100">
        <v>12897</v>
      </c>
      <c r="E100">
        <v>97233</v>
      </c>
      <c r="F100">
        <v>41.1</v>
      </c>
      <c r="G100">
        <v>79.7</v>
      </c>
      <c r="H100">
        <v>37</v>
      </c>
      <c r="I100">
        <v>78.8</v>
      </c>
      <c r="J100" s="92">
        <v>97233</v>
      </c>
    </row>
    <row r="101" spans="1:10" x14ac:dyDescent="0.3">
      <c r="A101" s="92">
        <v>4225</v>
      </c>
      <c r="B101">
        <v>4225</v>
      </c>
      <c r="C101">
        <v>0</v>
      </c>
      <c r="D101">
        <v>501</v>
      </c>
      <c r="E101">
        <v>17172</v>
      </c>
      <c r="F101">
        <v>57.9</v>
      </c>
      <c r="G101">
        <v>81.3</v>
      </c>
      <c r="H101">
        <v>57.9</v>
      </c>
      <c r="I101">
        <v>81</v>
      </c>
      <c r="J101" s="92">
        <v>17172</v>
      </c>
    </row>
    <row r="102" spans="1:10" x14ac:dyDescent="0.3">
      <c r="A102" s="92">
        <v>4250</v>
      </c>
      <c r="B102">
        <v>4250</v>
      </c>
      <c r="C102">
        <v>0</v>
      </c>
      <c r="D102">
        <v>1273</v>
      </c>
      <c r="E102">
        <v>64920</v>
      </c>
      <c r="F102">
        <v>67.3</v>
      </c>
      <c r="G102">
        <v>118.7</v>
      </c>
      <c r="H102">
        <v>67.3</v>
      </c>
      <c r="I102">
        <v>118.7</v>
      </c>
      <c r="J102" s="92">
        <v>64920</v>
      </c>
    </row>
    <row r="103" spans="1:10" x14ac:dyDescent="0.3">
      <c r="A103" s="92">
        <v>4275</v>
      </c>
      <c r="B103">
        <v>4275</v>
      </c>
      <c r="C103">
        <v>0</v>
      </c>
      <c r="D103">
        <v>1203</v>
      </c>
      <c r="E103">
        <v>13527</v>
      </c>
      <c r="F103">
        <v>109.8</v>
      </c>
      <c r="G103">
        <v>109.8</v>
      </c>
      <c r="H103">
        <v>107.8</v>
      </c>
      <c r="I103">
        <v>107.8</v>
      </c>
      <c r="J103" s="92">
        <v>13527</v>
      </c>
    </row>
    <row r="104" spans="1:10" x14ac:dyDescent="0.3">
      <c r="A104" s="92">
        <v>4300</v>
      </c>
      <c r="B104">
        <v>4300</v>
      </c>
      <c r="C104">
        <v>0</v>
      </c>
      <c r="D104">
        <v>38</v>
      </c>
      <c r="E104">
        <v>44407</v>
      </c>
      <c r="F104">
        <v>110.5</v>
      </c>
      <c r="G104">
        <v>145.1</v>
      </c>
      <c r="H104">
        <v>110.5</v>
      </c>
      <c r="I104">
        <v>125.2</v>
      </c>
      <c r="J104" s="92">
        <v>44407</v>
      </c>
    </row>
    <row r="105" spans="1:10" x14ac:dyDescent="0.3">
      <c r="A105" s="92">
        <v>4325</v>
      </c>
      <c r="B105">
        <v>4325</v>
      </c>
      <c r="C105">
        <v>0</v>
      </c>
      <c r="D105">
        <v>9</v>
      </c>
      <c r="E105">
        <v>8925</v>
      </c>
      <c r="F105">
        <v>161</v>
      </c>
      <c r="G105">
        <v>161</v>
      </c>
      <c r="H105">
        <v>161</v>
      </c>
      <c r="I105">
        <v>161</v>
      </c>
      <c r="J105" s="92">
        <v>8925</v>
      </c>
    </row>
    <row r="106" spans="1:10" x14ac:dyDescent="0.3">
      <c r="A106" s="92">
        <v>4350</v>
      </c>
      <c r="B106">
        <v>4350</v>
      </c>
      <c r="C106">
        <v>0</v>
      </c>
      <c r="D106">
        <v>24</v>
      </c>
      <c r="E106">
        <v>41164</v>
      </c>
      <c r="F106">
        <v>185</v>
      </c>
      <c r="G106">
        <v>193.8</v>
      </c>
      <c r="H106">
        <v>185</v>
      </c>
      <c r="I106">
        <v>193.8</v>
      </c>
      <c r="J106" s="92">
        <v>41164</v>
      </c>
    </row>
    <row r="107" spans="1:10" x14ac:dyDescent="0.3">
      <c r="A107" s="92">
        <v>4375</v>
      </c>
      <c r="B107">
        <v>4375</v>
      </c>
      <c r="C107">
        <v>0</v>
      </c>
      <c r="D107">
        <v>0</v>
      </c>
      <c r="E107">
        <v>9802</v>
      </c>
      <c r="F107">
        <v>0</v>
      </c>
      <c r="G107">
        <v>0</v>
      </c>
      <c r="H107">
        <v>0</v>
      </c>
      <c r="I107">
        <v>0</v>
      </c>
      <c r="J107" s="92">
        <v>9802</v>
      </c>
    </row>
    <row r="108" spans="1:10" x14ac:dyDescent="0.3">
      <c r="A108" s="92">
        <v>4400</v>
      </c>
      <c r="B108">
        <v>4400</v>
      </c>
      <c r="C108">
        <v>0</v>
      </c>
      <c r="D108">
        <v>8</v>
      </c>
      <c r="E108">
        <v>11903</v>
      </c>
      <c r="F108">
        <v>243.2</v>
      </c>
      <c r="G108">
        <v>243.2</v>
      </c>
      <c r="H108">
        <v>243.2</v>
      </c>
      <c r="I108">
        <v>243.2</v>
      </c>
      <c r="J108" s="92">
        <v>11903</v>
      </c>
    </row>
    <row r="109" spans="1:10" x14ac:dyDescent="0.3">
      <c r="A109" s="92">
        <v>4425</v>
      </c>
      <c r="B109">
        <v>4425</v>
      </c>
      <c r="C109">
        <v>0</v>
      </c>
      <c r="D109">
        <v>500</v>
      </c>
      <c r="E109">
        <v>2874</v>
      </c>
      <c r="F109">
        <v>0</v>
      </c>
      <c r="G109">
        <v>0</v>
      </c>
      <c r="H109">
        <v>0</v>
      </c>
      <c r="I109">
        <v>0</v>
      </c>
      <c r="J109" s="92">
        <v>2874</v>
      </c>
    </row>
    <row r="110" spans="1:10" x14ac:dyDescent="0.3">
      <c r="A110" s="92">
        <v>4450</v>
      </c>
      <c r="B110">
        <v>4450</v>
      </c>
      <c r="C110">
        <v>0</v>
      </c>
      <c r="D110">
        <v>1</v>
      </c>
      <c r="E110">
        <v>1288</v>
      </c>
      <c r="F110">
        <v>257.5</v>
      </c>
      <c r="G110">
        <v>257.5</v>
      </c>
      <c r="H110">
        <v>257.5</v>
      </c>
      <c r="I110">
        <v>257.5</v>
      </c>
      <c r="J110" s="92">
        <v>1288</v>
      </c>
    </row>
    <row r="111" spans="1:10" x14ac:dyDescent="0.3">
      <c r="A111" s="92">
        <v>4475</v>
      </c>
      <c r="B111">
        <v>4475</v>
      </c>
      <c r="C111">
        <v>0</v>
      </c>
      <c r="D111">
        <v>0</v>
      </c>
      <c r="E111">
        <v>115</v>
      </c>
      <c r="F111">
        <v>0</v>
      </c>
      <c r="G111">
        <v>0</v>
      </c>
      <c r="H111">
        <v>0</v>
      </c>
      <c r="I111">
        <v>0</v>
      </c>
      <c r="J111" s="92">
        <v>115</v>
      </c>
    </row>
    <row r="112" spans="1:10" x14ac:dyDescent="0.3">
      <c r="A112" s="92">
        <v>4500</v>
      </c>
      <c r="B112">
        <v>4500</v>
      </c>
      <c r="C112">
        <v>0</v>
      </c>
      <c r="D112">
        <v>0</v>
      </c>
      <c r="E112">
        <v>546</v>
      </c>
      <c r="F112">
        <v>0</v>
      </c>
      <c r="G112">
        <v>0</v>
      </c>
      <c r="H112">
        <v>0</v>
      </c>
      <c r="I112">
        <v>0</v>
      </c>
      <c r="J112" s="92">
        <v>546</v>
      </c>
    </row>
    <row r="113" spans="1:10" x14ac:dyDescent="0.3">
      <c r="A113" s="92">
        <v>4525</v>
      </c>
      <c r="B113">
        <v>4525</v>
      </c>
      <c r="C113">
        <v>0</v>
      </c>
      <c r="D113">
        <v>0</v>
      </c>
      <c r="E113">
        <v>790</v>
      </c>
      <c r="F113">
        <v>0</v>
      </c>
      <c r="G113">
        <v>0</v>
      </c>
      <c r="H113">
        <v>0</v>
      </c>
      <c r="I113">
        <v>0</v>
      </c>
      <c r="J113" s="92">
        <v>790</v>
      </c>
    </row>
    <row r="114" spans="1:10" x14ac:dyDescent="0.3">
      <c r="A114" s="92">
        <v>4550</v>
      </c>
      <c r="B114">
        <v>4550</v>
      </c>
      <c r="C114">
        <v>0</v>
      </c>
      <c r="D114">
        <v>0</v>
      </c>
      <c r="E114">
        <v>56</v>
      </c>
      <c r="F114">
        <v>0</v>
      </c>
      <c r="G114">
        <v>0</v>
      </c>
      <c r="H114">
        <v>0</v>
      </c>
      <c r="I114">
        <v>0</v>
      </c>
      <c r="J114" s="92">
        <v>56</v>
      </c>
    </row>
    <row r="115" spans="1:10" x14ac:dyDescent="0.3">
      <c r="A115" s="92">
        <v>4575</v>
      </c>
      <c r="B115">
        <v>4575</v>
      </c>
      <c r="C115">
        <v>0</v>
      </c>
      <c r="D115">
        <v>0</v>
      </c>
      <c r="E115">
        <v>260</v>
      </c>
      <c r="F115">
        <v>0</v>
      </c>
      <c r="G115">
        <v>0</v>
      </c>
      <c r="H115">
        <v>0</v>
      </c>
      <c r="I115">
        <v>0</v>
      </c>
      <c r="J115" s="92">
        <v>260</v>
      </c>
    </row>
    <row r="116" spans="1:10" x14ac:dyDescent="0.3">
      <c r="A116" s="92">
        <v>4600</v>
      </c>
      <c r="B116">
        <v>4600</v>
      </c>
      <c r="C116">
        <v>0</v>
      </c>
      <c r="D116">
        <v>0</v>
      </c>
      <c r="E116">
        <v>52</v>
      </c>
      <c r="F116">
        <v>0</v>
      </c>
      <c r="G116">
        <v>0</v>
      </c>
      <c r="H116">
        <v>0</v>
      </c>
      <c r="I116">
        <v>0</v>
      </c>
      <c r="J116" s="92">
        <v>52</v>
      </c>
    </row>
    <row r="117" spans="1:10" x14ac:dyDescent="0.3">
      <c r="A117" s="92">
        <v>4625</v>
      </c>
      <c r="B117">
        <v>4625</v>
      </c>
      <c r="C117">
        <v>0</v>
      </c>
      <c r="D117">
        <v>0</v>
      </c>
      <c r="E117">
        <v>0</v>
      </c>
      <c r="F117">
        <v>0</v>
      </c>
      <c r="G117">
        <v>0</v>
      </c>
      <c r="H117">
        <v>0</v>
      </c>
      <c r="I117">
        <v>0</v>
      </c>
      <c r="J117" s="92">
        <v>0</v>
      </c>
    </row>
    <row r="118" spans="1:10" x14ac:dyDescent="0.3">
      <c r="A118" s="92">
        <v>4650</v>
      </c>
      <c r="B118">
        <v>4650</v>
      </c>
      <c r="C118">
        <v>0</v>
      </c>
      <c r="D118">
        <v>0</v>
      </c>
      <c r="E118">
        <v>11</v>
      </c>
      <c r="F118">
        <v>0</v>
      </c>
      <c r="G118">
        <v>0</v>
      </c>
      <c r="H118">
        <v>0</v>
      </c>
      <c r="I118">
        <v>0</v>
      </c>
      <c r="J118" s="92">
        <v>11</v>
      </c>
    </row>
    <row r="119" spans="1:10" x14ac:dyDescent="0.3">
      <c r="A119" s="92">
        <v>4675</v>
      </c>
      <c r="B119">
        <v>4675</v>
      </c>
      <c r="C119">
        <v>0</v>
      </c>
      <c r="D119">
        <v>0</v>
      </c>
      <c r="E119">
        <v>0</v>
      </c>
      <c r="F119">
        <v>0</v>
      </c>
      <c r="G119">
        <v>0</v>
      </c>
      <c r="H119">
        <v>0</v>
      </c>
      <c r="I119">
        <v>0</v>
      </c>
      <c r="J119" s="92">
        <v>0</v>
      </c>
    </row>
    <row r="120" spans="1:10" x14ac:dyDescent="0.3">
      <c r="A120" s="92">
        <v>4700</v>
      </c>
      <c r="B120">
        <v>4700</v>
      </c>
      <c r="C120">
        <v>0</v>
      </c>
      <c r="D120">
        <v>0</v>
      </c>
      <c r="E120">
        <v>1</v>
      </c>
      <c r="F120">
        <v>0</v>
      </c>
      <c r="G120">
        <v>0</v>
      </c>
      <c r="H120">
        <v>0</v>
      </c>
      <c r="I120">
        <v>0</v>
      </c>
      <c r="J120" s="92">
        <v>1</v>
      </c>
    </row>
    <row r="121" spans="1:10" x14ac:dyDescent="0.3">
      <c r="A121" s="92">
        <v>4725</v>
      </c>
      <c r="B121">
        <v>4725</v>
      </c>
      <c r="C121">
        <v>0</v>
      </c>
      <c r="D121">
        <v>0</v>
      </c>
      <c r="E121">
        <v>0</v>
      </c>
      <c r="F121">
        <v>0</v>
      </c>
      <c r="G121">
        <v>0</v>
      </c>
      <c r="H121">
        <v>0</v>
      </c>
      <c r="I121">
        <v>0</v>
      </c>
      <c r="J121" s="92">
        <v>0</v>
      </c>
    </row>
    <row r="122" spans="1:10" x14ac:dyDescent="0.3">
      <c r="A122" s="92">
        <v>4750</v>
      </c>
      <c r="B122">
        <v>4750</v>
      </c>
      <c r="C122">
        <v>0</v>
      </c>
      <c r="D122">
        <v>0</v>
      </c>
      <c r="E122">
        <v>0</v>
      </c>
      <c r="F122">
        <v>0</v>
      </c>
      <c r="G122">
        <v>0</v>
      </c>
      <c r="H122">
        <v>0</v>
      </c>
      <c r="I122">
        <v>0</v>
      </c>
      <c r="J122" s="92">
        <v>0</v>
      </c>
    </row>
    <row r="123" spans="1:10" x14ac:dyDescent="0.3">
      <c r="A123" s="92">
        <v>4775</v>
      </c>
      <c r="B123">
        <v>4775</v>
      </c>
      <c r="C123">
        <v>0</v>
      </c>
      <c r="D123">
        <v>0</v>
      </c>
      <c r="E123">
        <v>0</v>
      </c>
      <c r="F123">
        <v>0</v>
      </c>
      <c r="G123">
        <v>0</v>
      </c>
      <c r="H123">
        <v>0</v>
      </c>
      <c r="I123">
        <v>0</v>
      </c>
      <c r="J123" s="92">
        <v>0</v>
      </c>
    </row>
    <row r="124" spans="1:10" x14ac:dyDescent="0.3">
      <c r="A124" s="92">
        <v>4800</v>
      </c>
      <c r="B124">
        <v>4800</v>
      </c>
      <c r="C124">
        <v>0</v>
      </c>
      <c r="D124">
        <v>0</v>
      </c>
      <c r="E124">
        <v>1</v>
      </c>
      <c r="F124">
        <v>0</v>
      </c>
      <c r="G124">
        <v>0</v>
      </c>
      <c r="H124">
        <v>0</v>
      </c>
      <c r="I124">
        <v>0</v>
      </c>
      <c r="J124" s="92">
        <v>1</v>
      </c>
    </row>
    <row r="125" spans="1:10" x14ac:dyDescent="0.3">
      <c r="A125" s="92">
        <v>4825</v>
      </c>
      <c r="B125">
        <v>4825</v>
      </c>
      <c r="C125">
        <v>0</v>
      </c>
      <c r="D125">
        <v>0</v>
      </c>
      <c r="E125">
        <v>0</v>
      </c>
      <c r="F125">
        <v>0</v>
      </c>
      <c r="G125">
        <v>0</v>
      </c>
      <c r="H125">
        <v>0</v>
      </c>
      <c r="I125">
        <v>0</v>
      </c>
      <c r="J125" s="92">
        <v>0</v>
      </c>
    </row>
    <row r="126" spans="1:10" x14ac:dyDescent="0.3">
      <c r="A126" s="92">
        <v>4850</v>
      </c>
      <c r="B126">
        <v>4850</v>
      </c>
      <c r="C126">
        <v>0</v>
      </c>
      <c r="D126">
        <v>0</v>
      </c>
      <c r="E126">
        <v>0</v>
      </c>
      <c r="F126">
        <v>0</v>
      </c>
      <c r="G126">
        <v>0</v>
      </c>
      <c r="H126">
        <v>0</v>
      </c>
      <c r="I126">
        <v>0</v>
      </c>
      <c r="J126" s="92">
        <v>0</v>
      </c>
    </row>
    <row r="127" spans="1:10" x14ac:dyDescent="0.3">
      <c r="A127" s="92">
        <v>4875</v>
      </c>
      <c r="B127">
        <v>4875</v>
      </c>
      <c r="C127">
        <v>0</v>
      </c>
      <c r="D127">
        <v>0</v>
      </c>
      <c r="E127">
        <v>0</v>
      </c>
      <c r="F127">
        <v>0</v>
      </c>
      <c r="G127">
        <v>0</v>
      </c>
      <c r="H127">
        <v>0</v>
      </c>
      <c r="I127">
        <v>0</v>
      </c>
      <c r="J127" s="92">
        <v>0</v>
      </c>
    </row>
    <row r="128" spans="1:10" x14ac:dyDescent="0.3">
      <c r="A128" s="92">
        <v>4900</v>
      </c>
      <c r="B128">
        <v>4900</v>
      </c>
      <c r="C128">
        <v>0</v>
      </c>
      <c r="D128">
        <v>0</v>
      </c>
      <c r="E128">
        <v>0</v>
      </c>
      <c r="F128">
        <v>0</v>
      </c>
      <c r="G128">
        <v>0</v>
      </c>
      <c r="H128">
        <v>0</v>
      </c>
      <c r="I128">
        <v>0</v>
      </c>
      <c r="J128" s="92">
        <v>0</v>
      </c>
    </row>
    <row r="129" spans="1:10" x14ac:dyDescent="0.3">
      <c r="A129" s="92">
        <v>4925</v>
      </c>
      <c r="B129">
        <v>4925</v>
      </c>
      <c r="C129">
        <v>0</v>
      </c>
      <c r="D129">
        <v>0</v>
      </c>
      <c r="E129">
        <v>0</v>
      </c>
      <c r="F129">
        <v>0</v>
      </c>
      <c r="G129">
        <v>0</v>
      </c>
      <c r="H129">
        <v>0</v>
      </c>
      <c r="I129">
        <v>0</v>
      </c>
      <c r="J129" s="92">
        <v>0</v>
      </c>
    </row>
    <row r="130" spans="1:10" x14ac:dyDescent="0.3">
      <c r="A130" s="92">
        <v>4950</v>
      </c>
      <c r="B130">
        <v>4950</v>
      </c>
      <c r="C130">
        <v>0</v>
      </c>
      <c r="D130">
        <v>0</v>
      </c>
      <c r="E130">
        <v>0</v>
      </c>
      <c r="F130">
        <v>0</v>
      </c>
      <c r="G130">
        <v>0</v>
      </c>
      <c r="H130">
        <v>0</v>
      </c>
      <c r="I130">
        <v>0</v>
      </c>
      <c r="J130" s="92">
        <v>0</v>
      </c>
    </row>
    <row r="131" spans="1:10" x14ac:dyDescent="0.3">
      <c r="A131" s="92">
        <v>4975</v>
      </c>
      <c r="B131">
        <v>4975</v>
      </c>
      <c r="C131">
        <v>0</v>
      </c>
      <c r="D131">
        <v>0</v>
      </c>
      <c r="E131">
        <v>0</v>
      </c>
      <c r="F131">
        <v>0</v>
      </c>
      <c r="G131">
        <v>0</v>
      </c>
      <c r="H131">
        <v>0</v>
      </c>
      <c r="I131">
        <v>0</v>
      </c>
      <c r="J131" s="92">
        <v>0</v>
      </c>
    </row>
    <row r="132" spans="1:10" x14ac:dyDescent="0.3">
      <c r="A132" s="92">
        <v>5000</v>
      </c>
      <c r="B132">
        <v>5000</v>
      </c>
      <c r="C132">
        <v>0</v>
      </c>
      <c r="D132">
        <v>0</v>
      </c>
      <c r="E132">
        <v>2</v>
      </c>
      <c r="F132">
        <v>0</v>
      </c>
      <c r="G132">
        <v>0</v>
      </c>
      <c r="H132">
        <v>0</v>
      </c>
      <c r="I132">
        <v>0</v>
      </c>
      <c r="J132" s="92">
        <v>2</v>
      </c>
    </row>
    <row r="133" spans="1:10" x14ac:dyDescent="0.3">
      <c r="A133" s="92">
        <v>5025</v>
      </c>
      <c r="B133">
        <v>5025</v>
      </c>
      <c r="C133">
        <v>0</v>
      </c>
      <c r="D133">
        <v>0</v>
      </c>
      <c r="E133">
        <v>0</v>
      </c>
      <c r="F133">
        <v>0</v>
      </c>
      <c r="G133">
        <v>0</v>
      </c>
      <c r="H133">
        <v>0</v>
      </c>
      <c r="I133">
        <v>0</v>
      </c>
      <c r="J133" s="92">
        <v>0</v>
      </c>
    </row>
    <row r="134" spans="1:10" x14ac:dyDescent="0.3">
      <c r="A134" s="92">
        <v>5050</v>
      </c>
      <c r="B134">
        <v>5050</v>
      </c>
      <c r="C134">
        <v>0</v>
      </c>
      <c r="D134">
        <v>0</v>
      </c>
      <c r="E134">
        <v>0</v>
      </c>
      <c r="F134">
        <v>0</v>
      </c>
      <c r="G134">
        <v>0</v>
      </c>
      <c r="H134">
        <v>0</v>
      </c>
      <c r="I134">
        <v>0</v>
      </c>
      <c r="J134" s="92">
        <v>0</v>
      </c>
    </row>
    <row r="135" spans="1:10" x14ac:dyDescent="0.3">
      <c r="A135" s="92">
        <v>5075</v>
      </c>
      <c r="B135">
        <v>5075</v>
      </c>
      <c r="C135">
        <v>0</v>
      </c>
      <c r="D135">
        <v>0</v>
      </c>
      <c r="E135">
        <v>0</v>
      </c>
      <c r="F135">
        <v>0</v>
      </c>
      <c r="G135">
        <v>0</v>
      </c>
      <c r="H135">
        <v>0</v>
      </c>
      <c r="I135">
        <v>0</v>
      </c>
      <c r="J135" s="92">
        <v>0</v>
      </c>
    </row>
    <row r="136" spans="1:10" x14ac:dyDescent="0.3">
      <c r="A136" s="92">
        <v>5100</v>
      </c>
      <c r="B136">
        <v>5100</v>
      </c>
      <c r="C136">
        <v>0</v>
      </c>
      <c r="D136">
        <v>0</v>
      </c>
      <c r="E136">
        <v>2</v>
      </c>
      <c r="F136">
        <v>0</v>
      </c>
      <c r="G136">
        <v>0</v>
      </c>
      <c r="H136">
        <v>0</v>
      </c>
      <c r="I136">
        <v>0</v>
      </c>
      <c r="J136" s="92">
        <v>2</v>
      </c>
    </row>
    <row r="137" spans="1:10" x14ac:dyDescent="0.3">
      <c r="A137" s="92">
        <v>5125</v>
      </c>
      <c r="B137">
        <v>5125</v>
      </c>
      <c r="C137">
        <v>0</v>
      </c>
      <c r="D137">
        <v>0</v>
      </c>
      <c r="E137">
        <v>0</v>
      </c>
      <c r="F137">
        <v>0</v>
      </c>
      <c r="G137">
        <v>0</v>
      </c>
      <c r="H137">
        <v>0</v>
      </c>
      <c r="I137">
        <v>0</v>
      </c>
      <c r="J137" s="92">
        <v>0</v>
      </c>
    </row>
    <row r="138" spans="1:10" x14ac:dyDescent="0.3">
      <c r="A138" s="92">
        <v>5150</v>
      </c>
      <c r="B138">
        <v>5150</v>
      </c>
      <c r="C138">
        <v>0</v>
      </c>
      <c r="D138">
        <v>0</v>
      </c>
      <c r="E138">
        <v>0</v>
      </c>
      <c r="F138">
        <v>0</v>
      </c>
      <c r="G138">
        <v>0</v>
      </c>
      <c r="H138">
        <v>0</v>
      </c>
      <c r="I138">
        <v>0</v>
      </c>
      <c r="J138" s="92">
        <v>0</v>
      </c>
    </row>
    <row r="139" spans="1:10" x14ac:dyDescent="0.3">
      <c r="A139" s="92">
        <v>5175</v>
      </c>
      <c r="B139">
        <v>5175</v>
      </c>
      <c r="C139">
        <v>0</v>
      </c>
      <c r="D139">
        <v>0</v>
      </c>
      <c r="E139">
        <v>0</v>
      </c>
      <c r="F139">
        <v>0</v>
      </c>
      <c r="G139">
        <v>0</v>
      </c>
      <c r="H139">
        <v>0</v>
      </c>
      <c r="I139">
        <v>0</v>
      </c>
      <c r="J139" s="92">
        <v>0</v>
      </c>
    </row>
    <row r="140" spans="1:10" x14ac:dyDescent="0.3">
      <c r="A140" s="92">
        <v>5200</v>
      </c>
      <c r="B140">
        <v>5200</v>
      </c>
      <c r="C140">
        <v>0</v>
      </c>
      <c r="D140">
        <v>0</v>
      </c>
      <c r="E140">
        <v>0</v>
      </c>
      <c r="F140">
        <v>0</v>
      </c>
      <c r="G140">
        <v>0</v>
      </c>
      <c r="H140">
        <v>0</v>
      </c>
      <c r="I140">
        <v>0</v>
      </c>
      <c r="J140" s="92">
        <v>0</v>
      </c>
    </row>
    <row r="141" spans="1:10" x14ac:dyDescent="0.3">
      <c r="A141" s="92">
        <v>5250</v>
      </c>
      <c r="B141">
        <v>5250</v>
      </c>
      <c r="C141">
        <v>0</v>
      </c>
      <c r="D141">
        <v>0</v>
      </c>
      <c r="E141">
        <v>0</v>
      </c>
      <c r="F141">
        <v>0</v>
      </c>
      <c r="G141">
        <v>0</v>
      </c>
      <c r="H141">
        <v>0</v>
      </c>
      <c r="I141">
        <v>0</v>
      </c>
      <c r="J141" s="92">
        <v>0</v>
      </c>
    </row>
    <row r="142" spans="1:10" x14ac:dyDescent="0.3">
      <c r="A142" s="92">
        <v>5300</v>
      </c>
      <c r="B142">
        <v>5300</v>
      </c>
      <c r="C142">
        <v>0</v>
      </c>
      <c r="D142">
        <v>0</v>
      </c>
      <c r="E142">
        <v>0</v>
      </c>
      <c r="F142">
        <v>0</v>
      </c>
      <c r="G142">
        <v>0</v>
      </c>
      <c r="H142">
        <v>0</v>
      </c>
      <c r="I142">
        <v>0</v>
      </c>
      <c r="J142" s="92">
        <v>0</v>
      </c>
    </row>
    <row r="143" spans="1:10" x14ac:dyDescent="0.3">
      <c r="A143" s="92">
        <v>5400</v>
      </c>
      <c r="B143">
        <v>5400</v>
      </c>
      <c r="C143">
        <v>0</v>
      </c>
      <c r="D143">
        <v>0</v>
      </c>
      <c r="E143">
        <v>20</v>
      </c>
      <c r="F143">
        <v>0</v>
      </c>
      <c r="G143">
        <v>0</v>
      </c>
      <c r="H143">
        <v>0</v>
      </c>
      <c r="I143">
        <v>0</v>
      </c>
      <c r="J143" s="92">
        <v>20</v>
      </c>
    </row>
    <row r="144" spans="1:10" x14ac:dyDescent="0.3">
      <c r="A144" s="92">
        <v>5500</v>
      </c>
      <c r="B144">
        <v>5500</v>
      </c>
      <c r="C144">
        <v>0</v>
      </c>
      <c r="D144">
        <v>0</v>
      </c>
      <c r="E144">
        <v>0</v>
      </c>
      <c r="F144">
        <v>0</v>
      </c>
      <c r="G144">
        <v>0</v>
      </c>
      <c r="H144">
        <v>0</v>
      </c>
      <c r="I144">
        <v>0</v>
      </c>
      <c r="J144" s="92">
        <v>0</v>
      </c>
    </row>
    <row r="145" spans="1:10" x14ac:dyDescent="0.3">
      <c r="A145" s="92">
        <v>5600</v>
      </c>
      <c r="B145">
        <v>5600</v>
      </c>
      <c r="C145">
        <v>0</v>
      </c>
      <c r="D145">
        <v>0</v>
      </c>
      <c r="E145">
        <v>0</v>
      </c>
      <c r="F145">
        <v>0</v>
      </c>
      <c r="G145">
        <v>0</v>
      </c>
      <c r="H145">
        <v>0</v>
      </c>
      <c r="I145">
        <v>0</v>
      </c>
      <c r="J145" s="92">
        <v>0</v>
      </c>
    </row>
    <row r="146" spans="1:10" x14ac:dyDescent="0.3">
      <c r="A146" s="92">
        <v>5700</v>
      </c>
      <c r="B146">
        <v>5700</v>
      </c>
      <c r="C146">
        <v>0</v>
      </c>
      <c r="D146">
        <v>0</v>
      </c>
      <c r="E146">
        <v>3</v>
      </c>
      <c r="F146">
        <v>0</v>
      </c>
      <c r="G146">
        <v>0</v>
      </c>
      <c r="H146">
        <v>0</v>
      </c>
      <c r="I146">
        <v>0</v>
      </c>
      <c r="J146" s="92">
        <v>3</v>
      </c>
    </row>
    <row r="147" spans="1:10" x14ac:dyDescent="0.3">
      <c r="A147" s="92">
        <v>5800</v>
      </c>
      <c r="B147">
        <v>5800</v>
      </c>
      <c r="C147">
        <v>0</v>
      </c>
      <c r="D147">
        <v>0</v>
      </c>
      <c r="E147">
        <v>3</v>
      </c>
      <c r="F147">
        <v>0</v>
      </c>
      <c r="G147">
        <v>0</v>
      </c>
      <c r="H147">
        <v>0</v>
      </c>
      <c r="I147">
        <v>0</v>
      </c>
      <c r="J147" s="92">
        <v>3</v>
      </c>
    </row>
    <row r="148" spans="1:10" x14ac:dyDescent="0.3">
      <c r="A148" s="92">
        <v>5900</v>
      </c>
      <c r="B148">
        <v>5900</v>
      </c>
      <c r="C148">
        <v>0</v>
      </c>
      <c r="D148">
        <v>0</v>
      </c>
      <c r="E148">
        <v>0</v>
      </c>
      <c r="F148">
        <v>0</v>
      </c>
      <c r="G148">
        <v>0</v>
      </c>
      <c r="H148">
        <v>0</v>
      </c>
      <c r="I148">
        <v>0</v>
      </c>
      <c r="J148" s="92">
        <v>0</v>
      </c>
    </row>
    <row r="149" spans="1:10" x14ac:dyDescent="0.3">
      <c r="A149" s="92">
        <v>6000</v>
      </c>
      <c r="B149">
        <v>6000</v>
      </c>
      <c r="C149">
        <v>0</v>
      </c>
      <c r="D149">
        <v>0</v>
      </c>
      <c r="E149">
        <v>0</v>
      </c>
      <c r="F149">
        <v>0</v>
      </c>
      <c r="G149">
        <v>0</v>
      </c>
      <c r="H149">
        <v>0</v>
      </c>
      <c r="I149">
        <v>0</v>
      </c>
      <c r="J149" s="92">
        <v>0</v>
      </c>
    </row>
    <row r="150" spans="1:10" x14ac:dyDescent="0.3">
      <c r="A150" s="92">
        <v>7000</v>
      </c>
      <c r="B150">
        <v>7000</v>
      </c>
      <c r="C150">
        <v>0</v>
      </c>
      <c r="D150">
        <v>0</v>
      </c>
      <c r="E150">
        <v>1</v>
      </c>
      <c r="F150">
        <v>0</v>
      </c>
      <c r="G150">
        <v>0</v>
      </c>
      <c r="H150">
        <v>0</v>
      </c>
      <c r="I150">
        <v>0</v>
      </c>
      <c r="J150" s="92">
        <v>1</v>
      </c>
    </row>
    <row r="151" spans="1:10" x14ac:dyDescent="0.3">
      <c r="A151" s="92">
        <v>8000</v>
      </c>
      <c r="B151">
        <v>8000</v>
      </c>
      <c r="C151">
        <v>0</v>
      </c>
      <c r="D151">
        <v>0</v>
      </c>
      <c r="E151">
        <v>0</v>
      </c>
      <c r="F151">
        <v>0</v>
      </c>
      <c r="G151">
        <v>0</v>
      </c>
      <c r="H151">
        <v>0</v>
      </c>
      <c r="I151">
        <v>0</v>
      </c>
      <c r="J151" s="92">
        <v>0</v>
      </c>
    </row>
    <row r="152" spans="1:10" x14ac:dyDescent="0.3">
      <c r="A152" s="92">
        <v>9000</v>
      </c>
      <c r="B152">
        <v>9000</v>
      </c>
      <c r="C152">
        <v>0</v>
      </c>
      <c r="D152">
        <v>0</v>
      </c>
      <c r="E152">
        <v>0</v>
      </c>
      <c r="F152">
        <v>0</v>
      </c>
      <c r="G152">
        <v>0</v>
      </c>
      <c r="H152">
        <v>0</v>
      </c>
      <c r="I152">
        <v>0</v>
      </c>
      <c r="J152" s="92">
        <v>0</v>
      </c>
    </row>
    <row r="153" spans="1:10" x14ac:dyDescent="0.3">
      <c r="A153" t="s">
        <v>277</v>
      </c>
      <c r="B153">
        <v>10000</v>
      </c>
      <c r="C153">
        <v>0</v>
      </c>
      <c r="D153">
        <v>0</v>
      </c>
      <c r="E153">
        <v>0</v>
      </c>
      <c r="F153">
        <v>0</v>
      </c>
      <c r="G153">
        <v>0</v>
      </c>
      <c r="H153">
        <v>0</v>
      </c>
      <c r="I153">
        <v>0</v>
      </c>
      <c r="J153">
        <v>5856.4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78255-1E90-48CF-8C3F-289304338B89}">
  <sheetPr codeName="Tabelle10"/>
  <dimension ref="A1:J149"/>
  <sheetViews>
    <sheetView workbookViewId="0"/>
  </sheetViews>
  <sheetFormatPr baseColWidth="10" defaultColWidth="8.88671875" defaultRowHeight="14.4" x14ac:dyDescent="0.3"/>
  <sheetData>
    <row r="1" spans="1:10" x14ac:dyDescent="0.3">
      <c r="A1" s="138" t="s">
        <v>276</v>
      </c>
      <c r="B1" s="138" t="s">
        <v>275</v>
      </c>
      <c r="C1" s="138" t="s">
        <v>274</v>
      </c>
      <c r="D1" s="138" t="s">
        <v>273</v>
      </c>
      <c r="E1" s="138" t="s">
        <v>272</v>
      </c>
      <c r="F1" s="138" t="s">
        <v>271</v>
      </c>
      <c r="G1" s="138" t="s">
        <v>270</v>
      </c>
      <c r="H1" s="138" t="s">
        <v>269</v>
      </c>
      <c r="I1" s="138" t="s">
        <v>268</v>
      </c>
      <c r="J1" s="138" t="s">
        <v>267</v>
      </c>
    </row>
    <row r="2" spans="1:10" x14ac:dyDescent="0.3">
      <c r="A2" s="92">
        <v>1000</v>
      </c>
      <c r="B2">
        <v>1000</v>
      </c>
      <c r="C2">
        <v>0</v>
      </c>
      <c r="D2">
        <v>0</v>
      </c>
      <c r="E2">
        <v>0</v>
      </c>
      <c r="F2">
        <v>0</v>
      </c>
      <c r="G2">
        <v>0</v>
      </c>
      <c r="H2">
        <v>0</v>
      </c>
      <c r="I2">
        <v>0</v>
      </c>
      <c r="J2" s="92">
        <v>0</v>
      </c>
    </row>
    <row r="3" spans="1:10" x14ac:dyDescent="0.3">
      <c r="A3" s="92">
        <v>1100</v>
      </c>
      <c r="B3">
        <v>1100</v>
      </c>
      <c r="C3">
        <v>0</v>
      </c>
      <c r="D3">
        <v>0</v>
      </c>
      <c r="E3">
        <v>0</v>
      </c>
      <c r="F3">
        <v>0</v>
      </c>
      <c r="G3">
        <v>0</v>
      </c>
      <c r="H3">
        <v>0</v>
      </c>
      <c r="I3">
        <v>0</v>
      </c>
      <c r="J3" s="92">
        <v>0</v>
      </c>
    </row>
    <row r="4" spans="1:10" x14ac:dyDescent="0.3">
      <c r="A4" s="92">
        <v>1200</v>
      </c>
      <c r="B4">
        <v>1200</v>
      </c>
      <c r="C4">
        <v>0</v>
      </c>
      <c r="D4">
        <v>0</v>
      </c>
      <c r="E4">
        <v>1</v>
      </c>
      <c r="F4">
        <v>0</v>
      </c>
      <c r="G4">
        <v>0</v>
      </c>
      <c r="H4">
        <v>0</v>
      </c>
      <c r="I4">
        <v>0</v>
      </c>
      <c r="J4" s="92">
        <v>1</v>
      </c>
    </row>
    <row r="5" spans="1:10" x14ac:dyDescent="0.3">
      <c r="A5" s="92">
        <v>1300</v>
      </c>
      <c r="B5">
        <v>1300</v>
      </c>
      <c r="C5">
        <v>0</v>
      </c>
      <c r="D5">
        <v>0</v>
      </c>
      <c r="E5">
        <v>0</v>
      </c>
      <c r="F5">
        <v>0</v>
      </c>
      <c r="G5">
        <v>0</v>
      </c>
      <c r="H5">
        <v>0</v>
      </c>
      <c r="I5">
        <v>0</v>
      </c>
      <c r="J5" s="92">
        <v>0</v>
      </c>
    </row>
    <row r="6" spans="1:10" x14ac:dyDescent="0.3">
      <c r="A6" s="92">
        <v>1400</v>
      </c>
      <c r="B6">
        <v>1400</v>
      </c>
      <c r="C6">
        <v>0</v>
      </c>
      <c r="D6">
        <v>0</v>
      </c>
      <c r="E6">
        <v>0</v>
      </c>
      <c r="F6">
        <v>0</v>
      </c>
      <c r="G6">
        <v>0</v>
      </c>
      <c r="H6">
        <v>0</v>
      </c>
      <c r="I6">
        <v>0</v>
      </c>
      <c r="J6" s="92">
        <v>0</v>
      </c>
    </row>
    <row r="7" spans="1:10" x14ac:dyDescent="0.3">
      <c r="A7" s="92">
        <v>1500</v>
      </c>
      <c r="B7">
        <v>1500</v>
      </c>
      <c r="C7">
        <v>0</v>
      </c>
      <c r="D7">
        <v>0</v>
      </c>
      <c r="E7">
        <v>0</v>
      </c>
      <c r="F7">
        <v>0</v>
      </c>
      <c r="G7">
        <v>0</v>
      </c>
      <c r="H7">
        <v>0</v>
      </c>
      <c r="I7">
        <v>0</v>
      </c>
      <c r="J7" s="92">
        <v>0</v>
      </c>
    </row>
    <row r="8" spans="1:10" x14ac:dyDescent="0.3">
      <c r="A8" s="92">
        <v>1600</v>
      </c>
      <c r="B8">
        <v>1600</v>
      </c>
      <c r="C8">
        <v>0</v>
      </c>
      <c r="D8">
        <v>0</v>
      </c>
      <c r="E8">
        <v>0</v>
      </c>
      <c r="F8">
        <v>0</v>
      </c>
      <c r="G8">
        <v>0</v>
      </c>
      <c r="H8">
        <v>0</v>
      </c>
      <c r="I8">
        <v>0</v>
      </c>
      <c r="J8" s="92">
        <v>0</v>
      </c>
    </row>
    <row r="9" spans="1:10" x14ac:dyDescent="0.3">
      <c r="A9" s="92">
        <v>1700</v>
      </c>
      <c r="B9">
        <v>1700</v>
      </c>
      <c r="C9">
        <v>0</v>
      </c>
      <c r="D9">
        <v>0</v>
      </c>
      <c r="E9">
        <v>0</v>
      </c>
      <c r="F9">
        <v>0</v>
      </c>
      <c r="G9">
        <v>0</v>
      </c>
      <c r="H9">
        <v>0</v>
      </c>
      <c r="I9">
        <v>0</v>
      </c>
      <c r="J9" s="92">
        <v>0</v>
      </c>
    </row>
    <row r="10" spans="1:10" x14ac:dyDescent="0.3">
      <c r="A10" s="92">
        <v>1800</v>
      </c>
      <c r="B10">
        <v>1800</v>
      </c>
      <c r="C10">
        <v>0</v>
      </c>
      <c r="D10">
        <v>0</v>
      </c>
      <c r="E10">
        <v>0</v>
      </c>
      <c r="F10">
        <v>0</v>
      </c>
      <c r="G10">
        <v>0</v>
      </c>
      <c r="H10">
        <v>0</v>
      </c>
      <c r="I10">
        <v>0</v>
      </c>
      <c r="J10" s="92">
        <v>0</v>
      </c>
    </row>
    <row r="11" spans="1:10" x14ac:dyDescent="0.3">
      <c r="A11" s="92">
        <v>1850</v>
      </c>
      <c r="B11">
        <v>1850</v>
      </c>
      <c r="C11">
        <v>0</v>
      </c>
      <c r="D11">
        <v>0</v>
      </c>
      <c r="E11">
        <v>0</v>
      </c>
      <c r="F11">
        <v>0</v>
      </c>
      <c r="G11">
        <v>0</v>
      </c>
      <c r="H11">
        <v>0</v>
      </c>
      <c r="I11">
        <v>0</v>
      </c>
      <c r="J11" s="92">
        <v>0</v>
      </c>
    </row>
    <row r="12" spans="1:10" x14ac:dyDescent="0.3">
      <c r="A12" s="92">
        <v>1900</v>
      </c>
      <c r="B12">
        <v>1900</v>
      </c>
      <c r="C12">
        <v>0</v>
      </c>
      <c r="D12">
        <v>0</v>
      </c>
      <c r="E12">
        <v>0</v>
      </c>
      <c r="F12">
        <v>0</v>
      </c>
      <c r="G12">
        <v>0</v>
      </c>
      <c r="H12">
        <v>0</v>
      </c>
      <c r="I12">
        <v>0</v>
      </c>
      <c r="J12" s="92">
        <v>0</v>
      </c>
    </row>
    <row r="13" spans="1:10" x14ac:dyDescent="0.3">
      <c r="A13" s="92">
        <v>1950</v>
      </c>
      <c r="B13">
        <v>1950</v>
      </c>
      <c r="C13">
        <v>0</v>
      </c>
      <c r="D13">
        <v>0</v>
      </c>
      <c r="E13">
        <v>800</v>
      </c>
      <c r="F13">
        <v>0</v>
      </c>
      <c r="G13">
        <v>0</v>
      </c>
      <c r="H13">
        <v>0</v>
      </c>
      <c r="I13">
        <v>0</v>
      </c>
      <c r="J13" s="92">
        <v>800</v>
      </c>
    </row>
    <row r="14" spans="1:10" x14ac:dyDescent="0.3">
      <c r="A14" s="92">
        <v>2000</v>
      </c>
      <c r="B14">
        <v>2000</v>
      </c>
      <c r="C14">
        <v>0</v>
      </c>
      <c r="D14">
        <v>0</v>
      </c>
      <c r="E14">
        <v>0</v>
      </c>
      <c r="F14">
        <v>0</v>
      </c>
      <c r="G14">
        <v>0</v>
      </c>
      <c r="H14">
        <v>0</v>
      </c>
      <c r="I14">
        <v>0</v>
      </c>
      <c r="J14" s="92">
        <v>0</v>
      </c>
    </row>
    <row r="15" spans="1:10" x14ac:dyDescent="0.3">
      <c r="A15" s="92">
        <v>2050</v>
      </c>
      <c r="B15">
        <v>2050</v>
      </c>
      <c r="C15">
        <v>0</v>
      </c>
      <c r="D15">
        <v>0</v>
      </c>
      <c r="E15">
        <v>0</v>
      </c>
      <c r="F15">
        <v>0</v>
      </c>
      <c r="G15">
        <v>0</v>
      </c>
      <c r="H15">
        <v>0</v>
      </c>
      <c r="I15">
        <v>0</v>
      </c>
      <c r="J15" s="92">
        <v>0</v>
      </c>
    </row>
    <row r="16" spans="1:10" x14ac:dyDescent="0.3">
      <c r="A16" s="92">
        <v>2100</v>
      </c>
      <c r="B16">
        <v>2100</v>
      </c>
      <c r="C16">
        <v>0</v>
      </c>
      <c r="D16">
        <v>0</v>
      </c>
      <c r="E16">
        <v>0</v>
      </c>
      <c r="F16">
        <v>0</v>
      </c>
      <c r="G16">
        <v>0</v>
      </c>
      <c r="H16">
        <v>0</v>
      </c>
      <c r="I16">
        <v>0</v>
      </c>
      <c r="J16" s="92">
        <v>0</v>
      </c>
    </row>
    <row r="17" spans="1:10" x14ac:dyDescent="0.3">
      <c r="A17" s="92">
        <v>2150</v>
      </c>
      <c r="B17">
        <v>2150</v>
      </c>
      <c r="C17">
        <v>0</v>
      </c>
      <c r="D17">
        <v>0</v>
      </c>
      <c r="E17">
        <v>0</v>
      </c>
      <c r="F17">
        <v>0</v>
      </c>
      <c r="G17">
        <v>0</v>
      </c>
      <c r="H17">
        <v>0</v>
      </c>
      <c r="I17">
        <v>0</v>
      </c>
      <c r="J17" s="92">
        <v>0</v>
      </c>
    </row>
    <row r="18" spans="1:10" x14ac:dyDescent="0.3">
      <c r="A18" s="92">
        <v>2200</v>
      </c>
      <c r="B18">
        <v>2200</v>
      </c>
      <c r="C18">
        <v>0</v>
      </c>
      <c r="D18">
        <v>0</v>
      </c>
      <c r="E18">
        <v>0</v>
      </c>
      <c r="F18">
        <v>0</v>
      </c>
      <c r="G18">
        <v>0</v>
      </c>
      <c r="H18">
        <v>0</v>
      </c>
      <c r="I18">
        <v>0</v>
      </c>
      <c r="J18" s="92">
        <v>0</v>
      </c>
    </row>
    <row r="19" spans="1:10" x14ac:dyDescent="0.3">
      <c r="A19" s="92">
        <v>2250</v>
      </c>
      <c r="B19">
        <v>2250</v>
      </c>
      <c r="C19">
        <v>0</v>
      </c>
      <c r="D19">
        <v>0</v>
      </c>
      <c r="E19">
        <v>0</v>
      </c>
      <c r="F19">
        <v>0</v>
      </c>
      <c r="G19">
        <v>0</v>
      </c>
      <c r="H19">
        <v>0</v>
      </c>
      <c r="I19">
        <v>0</v>
      </c>
      <c r="J19" s="92">
        <v>0</v>
      </c>
    </row>
    <row r="20" spans="1:10" x14ac:dyDescent="0.3">
      <c r="A20" s="92">
        <v>2275</v>
      </c>
      <c r="B20">
        <v>2275</v>
      </c>
      <c r="C20">
        <v>0</v>
      </c>
      <c r="D20">
        <v>0</v>
      </c>
      <c r="E20">
        <v>0</v>
      </c>
      <c r="F20">
        <v>0</v>
      </c>
      <c r="G20">
        <v>0</v>
      </c>
      <c r="H20">
        <v>0</v>
      </c>
      <c r="I20">
        <v>0</v>
      </c>
      <c r="J20" s="92">
        <v>0</v>
      </c>
    </row>
    <row r="21" spans="1:10" x14ac:dyDescent="0.3">
      <c r="A21" s="92">
        <v>2300</v>
      </c>
      <c r="B21">
        <v>2300</v>
      </c>
      <c r="C21">
        <v>0</v>
      </c>
      <c r="D21">
        <v>0</v>
      </c>
      <c r="E21">
        <v>0</v>
      </c>
      <c r="F21">
        <v>0</v>
      </c>
      <c r="G21">
        <v>0</v>
      </c>
      <c r="H21">
        <v>0</v>
      </c>
      <c r="I21">
        <v>0</v>
      </c>
      <c r="J21" s="92">
        <v>0</v>
      </c>
    </row>
    <row r="22" spans="1:10" x14ac:dyDescent="0.3">
      <c r="A22" s="92">
        <v>2325</v>
      </c>
      <c r="B22">
        <v>2325</v>
      </c>
      <c r="C22">
        <v>0</v>
      </c>
      <c r="D22">
        <v>0</v>
      </c>
      <c r="E22">
        <v>0</v>
      </c>
      <c r="F22">
        <v>0</v>
      </c>
      <c r="G22">
        <v>0</v>
      </c>
      <c r="H22">
        <v>0</v>
      </c>
      <c r="I22">
        <v>0</v>
      </c>
      <c r="J22" s="92">
        <v>0</v>
      </c>
    </row>
    <row r="23" spans="1:10" x14ac:dyDescent="0.3">
      <c r="A23" s="92">
        <v>2350</v>
      </c>
      <c r="B23">
        <v>2350</v>
      </c>
      <c r="C23">
        <v>0</v>
      </c>
      <c r="D23">
        <v>0</v>
      </c>
      <c r="E23">
        <v>0</v>
      </c>
      <c r="F23">
        <v>0</v>
      </c>
      <c r="G23">
        <v>0</v>
      </c>
      <c r="H23">
        <v>0</v>
      </c>
      <c r="I23">
        <v>0</v>
      </c>
      <c r="J23" s="92">
        <v>0</v>
      </c>
    </row>
    <row r="24" spans="1:10" x14ac:dyDescent="0.3">
      <c r="A24" s="92">
        <v>2375</v>
      </c>
      <c r="B24">
        <v>2375</v>
      </c>
      <c r="C24">
        <v>0</v>
      </c>
      <c r="D24">
        <v>0</v>
      </c>
      <c r="E24">
        <v>0</v>
      </c>
      <c r="F24">
        <v>0</v>
      </c>
      <c r="G24">
        <v>0</v>
      </c>
      <c r="H24">
        <v>0</v>
      </c>
      <c r="I24">
        <v>0</v>
      </c>
      <c r="J24" s="92">
        <v>0</v>
      </c>
    </row>
    <row r="25" spans="1:10" x14ac:dyDescent="0.3">
      <c r="A25" s="92">
        <v>2400</v>
      </c>
      <c r="B25">
        <v>2400</v>
      </c>
      <c r="C25">
        <v>0</v>
      </c>
      <c r="D25">
        <v>0</v>
      </c>
      <c r="E25">
        <v>0</v>
      </c>
      <c r="F25">
        <v>0</v>
      </c>
      <c r="G25">
        <v>0</v>
      </c>
      <c r="H25">
        <v>0</v>
      </c>
      <c r="I25">
        <v>0</v>
      </c>
      <c r="J25" s="92">
        <v>0</v>
      </c>
    </row>
    <row r="26" spans="1:10" x14ac:dyDescent="0.3">
      <c r="A26" s="92">
        <v>2425</v>
      </c>
      <c r="B26">
        <v>2425</v>
      </c>
      <c r="C26">
        <v>0</v>
      </c>
      <c r="D26">
        <v>0</v>
      </c>
      <c r="E26">
        <v>0</v>
      </c>
      <c r="F26">
        <v>0</v>
      </c>
      <c r="G26">
        <v>0</v>
      </c>
      <c r="H26">
        <v>0</v>
      </c>
      <c r="I26">
        <v>0</v>
      </c>
      <c r="J26" s="92">
        <v>0</v>
      </c>
    </row>
    <row r="27" spans="1:10" x14ac:dyDescent="0.3">
      <c r="A27" s="92">
        <v>2450</v>
      </c>
      <c r="B27">
        <v>2450</v>
      </c>
      <c r="C27">
        <v>0</v>
      </c>
      <c r="D27">
        <v>0</v>
      </c>
      <c r="E27">
        <v>0</v>
      </c>
      <c r="F27">
        <v>0</v>
      </c>
      <c r="G27">
        <v>0</v>
      </c>
      <c r="H27">
        <v>0</v>
      </c>
      <c r="I27">
        <v>0</v>
      </c>
      <c r="J27" s="92">
        <v>0</v>
      </c>
    </row>
    <row r="28" spans="1:10" x14ac:dyDescent="0.3">
      <c r="A28" s="92">
        <v>2475</v>
      </c>
      <c r="B28">
        <v>2475</v>
      </c>
      <c r="C28">
        <v>0</v>
      </c>
      <c r="D28">
        <v>0</v>
      </c>
      <c r="E28">
        <v>0</v>
      </c>
      <c r="F28">
        <v>0</v>
      </c>
      <c r="G28">
        <v>0</v>
      </c>
      <c r="H28">
        <v>0</v>
      </c>
      <c r="I28">
        <v>0</v>
      </c>
      <c r="J28" s="92">
        <v>0</v>
      </c>
    </row>
    <row r="29" spans="1:10" x14ac:dyDescent="0.3">
      <c r="A29" s="92">
        <v>2500</v>
      </c>
      <c r="B29">
        <v>2500</v>
      </c>
      <c r="C29">
        <v>0</v>
      </c>
      <c r="D29">
        <v>0</v>
      </c>
      <c r="E29">
        <v>0</v>
      </c>
      <c r="F29">
        <v>0</v>
      </c>
      <c r="G29">
        <v>0</v>
      </c>
      <c r="H29">
        <v>0</v>
      </c>
      <c r="I29">
        <v>0</v>
      </c>
      <c r="J29" s="92">
        <v>0</v>
      </c>
    </row>
    <row r="30" spans="1:10" x14ac:dyDescent="0.3">
      <c r="A30" s="92">
        <v>2525</v>
      </c>
      <c r="B30">
        <v>2525</v>
      </c>
      <c r="C30">
        <v>0</v>
      </c>
      <c r="D30">
        <v>0</v>
      </c>
      <c r="E30">
        <v>0</v>
      </c>
      <c r="F30">
        <v>0</v>
      </c>
      <c r="G30">
        <v>0</v>
      </c>
      <c r="H30">
        <v>0</v>
      </c>
      <c r="I30">
        <v>0</v>
      </c>
      <c r="J30" s="92">
        <v>0</v>
      </c>
    </row>
    <row r="31" spans="1:10" x14ac:dyDescent="0.3">
      <c r="A31" s="92">
        <v>2550</v>
      </c>
      <c r="B31">
        <v>2550</v>
      </c>
      <c r="C31">
        <v>0</v>
      </c>
      <c r="D31">
        <v>0</v>
      </c>
      <c r="E31">
        <v>0</v>
      </c>
      <c r="F31">
        <v>0</v>
      </c>
      <c r="G31">
        <v>0</v>
      </c>
      <c r="H31">
        <v>0</v>
      </c>
      <c r="I31">
        <v>0</v>
      </c>
      <c r="J31" s="92">
        <v>0</v>
      </c>
    </row>
    <row r="32" spans="1:10" x14ac:dyDescent="0.3">
      <c r="A32" s="92">
        <v>2575</v>
      </c>
      <c r="B32">
        <v>2575</v>
      </c>
      <c r="C32">
        <v>0</v>
      </c>
      <c r="D32">
        <v>0</v>
      </c>
      <c r="E32">
        <v>0</v>
      </c>
      <c r="F32">
        <v>0</v>
      </c>
      <c r="G32">
        <v>0</v>
      </c>
      <c r="H32">
        <v>0</v>
      </c>
      <c r="I32">
        <v>0</v>
      </c>
      <c r="J32" s="92">
        <v>0</v>
      </c>
    </row>
    <row r="33" spans="1:10" x14ac:dyDescent="0.3">
      <c r="A33" s="92">
        <v>2600</v>
      </c>
      <c r="B33">
        <v>2600</v>
      </c>
      <c r="C33">
        <v>0</v>
      </c>
      <c r="D33">
        <v>0</v>
      </c>
      <c r="E33">
        <v>0</v>
      </c>
      <c r="F33">
        <v>0</v>
      </c>
      <c r="G33">
        <v>0</v>
      </c>
      <c r="H33">
        <v>0</v>
      </c>
      <c r="I33">
        <v>0</v>
      </c>
      <c r="J33" s="92">
        <v>0</v>
      </c>
    </row>
    <row r="34" spans="1:10" x14ac:dyDescent="0.3">
      <c r="A34" s="92">
        <v>2625</v>
      </c>
      <c r="B34">
        <v>2625</v>
      </c>
      <c r="C34">
        <v>0</v>
      </c>
      <c r="D34">
        <v>0</v>
      </c>
      <c r="E34">
        <v>0</v>
      </c>
      <c r="F34">
        <v>0</v>
      </c>
      <c r="G34">
        <v>0</v>
      </c>
      <c r="H34">
        <v>0</v>
      </c>
      <c r="I34">
        <v>0</v>
      </c>
      <c r="J34" s="92">
        <v>0</v>
      </c>
    </row>
    <row r="35" spans="1:10" x14ac:dyDescent="0.3">
      <c r="A35" s="92">
        <v>2650</v>
      </c>
      <c r="B35">
        <v>2650</v>
      </c>
      <c r="C35">
        <v>0</v>
      </c>
      <c r="D35">
        <v>0</v>
      </c>
      <c r="E35">
        <v>0</v>
      </c>
      <c r="F35">
        <v>0</v>
      </c>
      <c r="G35">
        <v>0</v>
      </c>
      <c r="H35">
        <v>0</v>
      </c>
      <c r="I35">
        <v>0</v>
      </c>
      <c r="J35" s="92">
        <v>0</v>
      </c>
    </row>
    <row r="36" spans="1:10" x14ac:dyDescent="0.3">
      <c r="A36" s="92">
        <v>2675</v>
      </c>
      <c r="B36">
        <v>2675</v>
      </c>
      <c r="C36">
        <v>0</v>
      </c>
      <c r="D36">
        <v>0</v>
      </c>
      <c r="E36">
        <v>0</v>
      </c>
      <c r="F36">
        <v>0</v>
      </c>
      <c r="G36">
        <v>0</v>
      </c>
      <c r="H36">
        <v>0</v>
      </c>
      <c r="I36">
        <v>0</v>
      </c>
      <c r="J36" s="92">
        <v>0</v>
      </c>
    </row>
    <row r="37" spans="1:10" x14ac:dyDescent="0.3">
      <c r="A37" s="92">
        <v>2700</v>
      </c>
      <c r="B37">
        <v>2700</v>
      </c>
      <c r="C37">
        <v>0</v>
      </c>
      <c r="D37">
        <v>0</v>
      </c>
      <c r="E37">
        <v>0</v>
      </c>
      <c r="F37">
        <v>0</v>
      </c>
      <c r="G37">
        <v>0</v>
      </c>
      <c r="H37">
        <v>0</v>
      </c>
      <c r="I37">
        <v>0</v>
      </c>
      <c r="J37" s="92">
        <v>0</v>
      </c>
    </row>
    <row r="38" spans="1:10" x14ac:dyDescent="0.3">
      <c r="A38" s="92">
        <v>2725</v>
      </c>
      <c r="B38">
        <v>2725</v>
      </c>
      <c r="C38">
        <v>0</v>
      </c>
      <c r="D38">
        <v>0</v>
      </c>
      <c r="E38">
        <v>0</v>
      </c>
      <c r="F38">
        <v>0</v>
      </c>
      <c r="G38">
        <v>0</v>
      </c>
      <c r="H38">
        <v>0</v>
      </c>
      <c r="I38">
        <v>0</v>
      </c>
      <c r="J38" s="92">
        <v>0</v>
      </c>
    </row>
    <row r="39" spans="1:10" x14ac:dyDescent="0.3">
      <c r="A39" s="92">
        <v>2750</v>
      </c>
      <c r="B39">
        <v>2750</v>
      </c>
      <c r="C39">
        <v>0</v>
      </c>
      <c r="D39">
        <v>0</v>
      </c>
      <c r="E39">
        <v>0</v>
      </c>
      <c r="F39">
        <v>0</v>
      </c>
      <c r="G39">
        <v>0</v>
      </c>
      <c r="H39">
        <v>0</v>
      </c>
      <c r="I39">
        <v>0</v>
      </c>
      <c r="J39" s="92">
        <v>0</v>
      </c>
    </row>
    <row r="40" spans="1:10" x14ac:dyDescent="0.3">
      <c r="A40" s="92">
        <v>2775</v>
      </c>
      <c r="B40">
        <v>2775</v>
      </c>
      <c r="C40">
        <v>0</v>
      </c>
      <c r="D40">
        <v>0</v>
      </c>
      <c r="E40">
        <v>30</v>
      </c>
      <c r="F40">
        <v>0</v>
      </c>
      <c r="G40">
        <v>0</v>
      </c>
      <c r="H40">
        <v>0</v>
      </c>
      <c r="I40">
        <v>0</v>
      </c>
      <c r="J40" s="92">
        <v>30</v>
      </c>
    </row>
    <row r="41" spans="1:10" x14ac:dyDescent="0.3">
      <c r="A41" s="92">
        <v>2800</v>
      </c>
      <c r="B41">
        <v>2800</v>
      </c>
      <c r="C41">
        <v>0</v>
      </c>
      <c r="D41">
        <v>0</v>
      </c>
      <c r="E41">
        <v>0</v>
      </c>
      <c r="F41">
        <v>0</v>
      </c>
      <c r="G41">
        <v>0</v>
      </c>
      <c r="H41">
        <v>0</v>
      </c>
      <c r="I41">
        <v>0</v>
      </c>
      <c r="J41" s="92">
        <v>0</v>
      </c>
    </row>
    <row r="42" spans="1:10" x14ac:dyDescent="0.3">
      <c r="A42" s="92">
        <v>2825</v>
      </c>
      <c r="B42">
        <v>2825</v>
      </c>
      <c r="C42">
        <v>0</v>
      </c>
      <c r="D42">
        <v>0</v>
      </c>
      <c r="E42">
        <v>0</v>
      </c>
      <c r="F42">
        <v>0</v>
      </c>
      <c r="G42">
        <v>0</v>
      </c>
      <c r="H42">
        <v>0</v>
      </c>
      <c r="I42">
        <v>0</v>
      </c>
      <c r="J42" s="92">
        <v>0</v>
      </c>
    </row>
    <row r="43" spans="1:10" x14ac:dyDescent="0.3">
      <c r="A43" s="92">
        <v>2850</v>
      </c>
      <c r="B43">
        <v>2850</v>
      </c>
      <c r="C43">
        <v>0</v>
      </c>
      <c r="D43">
        <v>0</v>
      </c>
      <c r="E43">
        <v>30</v>
      </c>
      <c r="F43">
        <v>0</v>
      </c>
      <c r="G43">
        <v>0</v>
      </c>
      <c r="H43">
        <v>0</v>
      </c>
      <c r="I43">
        <v>0</v>
      </c>
      <c r="J43" s="92">
        <v>30</v>
      </c>
    </row>
    <row r="44" spans="1:10" x14ac:dyDescent="0.3">
      <c r="A44" s="92">
        <v>2875</v>
      </c>
      <c r="B44">
        <v>2875</v>
      </c>
      <c r="C44">
        <v>0</v>
      </c>
      <c r="D44">
        <v>0</v>
      </c>
      <c r="E44">
        <v>0</v>
      </c>
      <c r="F44">
        <v>0</v>
      </c>
      <c r="G44">
        <v>0</v>
      </c>
      <c r="H44">
        <v>0</v>
      </c>
      <c r="I44">
        <v>0</v>
      </c>
      <c r="J44" s="92">
        <v>0</v>
      </c>
    </row>
    <row r="45" spans="1:10" x14ac:dyDescent="0.3">
      <c r="A45" s="92">
        <v>2900</v>
      </c>
      <c r="B45">
        <v>2900</v>
      </c>
      <c r="C45">
        <v>0</v>
      </c>
      <c r="D45">
        <v>0</v>
      </c>
      <c r="E45">
        <v>0</v>
      </c>
      <c r="F45">
        <v>0</v>
      </c>
      <c r="G45">
        <v>0</v>
      </c>
      <c r="H45">
        <v>0</v>
      </c>
      <c r="I45">
        <v>0</v>
      </c>
      <c r="J45" s="92">
        <v>0</v>
      </c>
    </row>
    <row r="46" spans="1:10" x14ac:dyDescent="0.3">
      <c r="A46" s="92">
        <v>2925</v>
      </c>
      <c r="B46">
        <v>2925</v>
      </c>
      <c r="C46">
        <v>0</v>
      </c>
      <c r="D46">
        <v>0</v>
      </c>
      <c r="E46">
        <v>0</v>
      </c>
      <c r="F46">
        <v>0</v>
      </c>
      <c r="G46">
        <v>0</v>
      </c>
      <c r="H46">
        <v>0</v>
      </c>
      <c r="I46">
        <v>0</v>
      </c>
      <c r="J46" s="92">
        <v>0</v>
      </c>
    </row>
    <row r="47" spans="1:10" x14ac:dyDescent="0.3">
      <c r="A47" s="92">
        <v>2950</v>
      </c>
      <c r="B47">
        <v>2950</v>
      </c>
      <c r="C47">
        <v>0</v>
      </c>
      <c r="D47">
        <v>0</v>
      </c>
      <c r="E47">
        <v>0</v>
      </c>
      <c r="F47">
        <v>0</v>
      </c>
      <c r="G47">
        <v>0</v>
      </c>
      <c r="H47">
        <v>0</v>
      </c>
      <c r="I47">
        <v>0</v>
      </c>
      <c r="J47" s="92">
        <v>0</v>
      </c>
    </row>
    <row r="48" spans="1:10" x14ac:dyDescent="0.3">
      <c r="A48" s="92">
        <v>2975</v>
      </c>
      <c r="B48">
        <v>2975</v>
      </c>
      <c r="C48">
        <v>0</v>
      </c>
      <c r="D48">
        <v>0</v>
      </c>
      <c r="E48">
        <v>0</v>
      </c>
      <c r="F48">
        <v>0</v>
      </c>
      <c r="G48">
        <v>0</v>
      </c>
      <c r="H48">
        <v>0</v>
      </c>
      <c r="I48">
        <v>0</v>
      </c>
      <c r="J48" s="92">
        <v>0</v>
      </c>
    </row>
    <row r="49" spans="1:10" x14ac:dyDescent="0.3">
      <c r="A49" s="92">
        <v>3000</v>
      </c>
      <c r="B49">
        <v>3000</v>
      </c>
      <c r="C49">
        <v>0</v>
      </c>
      <c r="D49">
        <v>0</v>
      </c>
      <c r="E49">
        <v>0</v>
      </c>
      <c r="F49">
        <v>0</v>
      </c>
      <c r="G49">
        <v>0</v>
      </c>
      <c r="H49">
        <v>0</v>
      </c>
      <c r="I49">
        <v>0</v>
      </c>
      <c r="J49" s="92">
        <v>0</v>
      </c>
    </row>
    <row r="50" spans="1:10" x14ac:dyDescent="0.3">
      <c r="A50" s="92">
        <v>3025</v>
      </c>
      <c r="B50">
        <v>3025</v>
      </c>
      <c r="C50">
        <v>0</v>
      </c>
      <c r="D50">
        <v>0</v>
      </c>
      <c r="E50">
        <v>0</v>
      </c>
      <c r="F50">
        <v>0</v>
      </c>
      <c r="G50">
        <v>0</v>
      </c>
      <c r="H50">
        <v>0</v>
      </c>
      <c r="I50">
        <v>0</v>
      </c>
      <c r="J50" s="92">
        <v>0</v>
      </c>
    </row>
    <row r="51" spans="1:10" x14ac:dyDescent="0.3">
      <c r="A51" s="92">
        <v>3050</v>
      </c>
      <c r="B51">
        <v>3050</v>
      </c>
      <c r="C51">
        <v>0</v>
      </c>
      <c r="D51">
        <v>0</v>
      </c>
      <c r="E51">
        <v>0</v>
      </c>
      <c r="F51">
        <v>0</v>
      </c>
      <c r="G51">
        <v>0</v>
      </c>
      <c r="H51">
        <v>0</v>
      </c>
      <c r="I51">
        <v>0</v>
      </c>
      <c r="J51" s="92">
        <v>0</v>
      </c>
    </row>
    <row r="52" spans="1:10" x14ac:dyDescent="0.3">
      <c r="A52" s="92">
        <v>3075</v>
      </c>
      <c r="B52">
        <v>3075</v>
      </c>
      <c r="C52">
        <v>0</v>
      </c>
      <c r="D52">
        <v>0</v>
      </c>
      <c r="E52">
        <v>0</v>
      </c>
      <c r="F52">
        <v>0</v>
      </c>
      <c r="G52">
        <v>0</v>
      </c>
      <c r="H52">
        <v>0</v>
      </c>
      <c r="I52">
        <v>0</v>
      </c>
      <c r="J52" s="92">
        <v>0</v>
      </c>
    </row>
    <row r="53" spans="1:10" x14ac:dyDescent="0.3">
      <c r="A53" s="92">
        <v>3100</v>
      </c>
      <c r="B53">
        <v>3100</v>
      </c>
      <c r="C53">
        <v>0</v>
      </c>
      <c r="D53">
        <v>0</v>
      </c>
      <c r="E53">
        <v>0</v>
      </c>
      <c r="F53">
        <v>0</v>
      </c>
      <c r="G53">
        <v>0</v>
      </c>
      <c r="H53">
        <v>0</v>
      </c>
      <c r="I53">
        <v>0</v>
      </c>
      <c r="J53" s="92">
        <v>0</v>
      </c>
    </row>
    <row r="54" spans="1:10" x14ac:dyDescent="0.3">
      <c r="A54" s="92">
        <v>3125</v>
      </c>
      <c r="B54">
        <v>3125</v>
      </c>
      <c r="C54">
        <v>0</v>
      </c>
      <c r="D54">
        <v>0</v>
      </c>
      <c r="E54">
        <v>0</v>
      </c>
      <c r="F54">
        <v>0</v>
      </c>
      <c r="G54">
        <v>0</v>
      </c>
      <c r="H54">
        <v>0</v>
      </c>
      <c r="I54">
        <v>0</v>
      </c>
      <c r="J54" s="92">
        <v>0</v>
      </c>
    </row>
    <row r="55" spans="1:10" x14ac:dyDescent="0.3">
      <c r="A55" s="92">
        <v>3150</v>
      </c>
      <c r="B55">
        <v>3150</v>
      </c>
      <c r="C55">
        <v>0</v>
      </c>
      <c r="D55">
        <v>0</v>
      </c>
      <c r="E55">
        <v>0</v>
      </c>
      <c r="F55">
        <v>0</v>
      </c>
      <c r="G55">
        <v>0</v>
      </c>
      <c r="H55">
        <v>0</v>
      </c>
      <c r="I55">
        <v>0</v>
      </c>
      <c r="J55" s="92">
        <v>0</v>
      </c>
    </row>
    <row r="56" spans="1:10" x14ac:dyDescent="0.3">
      <c r="A56" s="92">
        <v>3175</v>
      </c>
      <c r="B56">
        <v>3175</v>
      </c>
      <c r="C56">
        <v>0</v>
      </c>
      <c r="D56">
        <v>0</v>
      </c>
      <c r="E56">
        <v>0</v>
      </c>
      <c r="F56">
        <v>0</v>
      </c>
      <c r="G56">
        <v>0</v>
      </c>
      <c r="H56">
        <v>0</v>
      </c>
      <c r="I56">
        <v>0</v>
      </c>
      <c r="J56" s="92">
        <v>0</v>
      </c>
    </row>
    <row r="57" spans="1:10" x14ac:dyDescent="0.3">
      <c r="A57" s="92">
        <v>3200</v>
      </c>
      <c r="B57">
        <v>3200</v>
      </c>
      <c r="C57">
        <v>0</v>
      </c>
      <c r="D57">
        <v>0</v>
      </c>
      <c r="E57">
        <v>0</v>
      </c>
      <c r="F57">
        <v>0</v>
      </c>
      <c r="G57">
        <v>0</v>
      </c>
      <c r="H57">
        <v>0</v>
      </c>
      <c r="I57">
        <v>0</v>
      </c>
      <c r="J57" s="92">
        <v>0</v>
      </c>
    </row>
    <row r="58" spans="1:10" x14ac:dyDescent="0.3">
      <c r="A58" s="92">
        <v>3225</v>
      </c>
      <c r="B58">
        <v>3225</v>
      </c>
      <c r="C58">
        <v>0</v>
      </c>
      <c r="D58">
        <v>0</v>
      </c>
      <c r="E58">
        <v>0</v>
      </c>
      <c r="F58">
        <v>0</v>
      </c>
      <c r="G58">
        <v>0</v>
      </c>
      <c r="H58">
        <v>0</v>
      </c>
      <c r="I58">
        <v>0</v>
      </c>
      <c r="J58" s="92">
        <v>0</v>
      </c>
    </row>
    <row r="59" spans="1:10" x14ac:dyDescent="0.3">
      <c r="A59" s="92">
        <v>3250</v>
      </c>
      <c r="B59">
        <v>3250</v>
      </c>
      <c r="C59">
        <v>0</v>
      </c>
      <c r="D59">
        <v>0</v>
      </c>
      <c r="E59">
        <v>0</v>
      </c>
      <c r="F59">
        <v>0</v>
      </c>
      <c r="G59">
        <v>0</v>
      </c>
      <c r="H59">
        <v>0</v>
      </c>
      <c r="I59">
        <v>0</v>
      </c>
      <c r="J59" s="92">
        <v>0</v>
      </c>
    </row>
    <row r="60" spans="1:10" x14ac:dyDescent="0.3">
      <c r="A60" s="92">
        <v>3275</v>
      </c>
      <c r="B60">
        <v>3275</v>
      </c>
      <c r="C60">
        <v>0</v>
      </c>
      <c r="D60">
        <v>0</v>
      </c>
      <c r="E60">
        <v>0</v>
      </c>
      <c r="F60">
        <v>0</v>
      </c>
      <c r="G60">
        <v>0</v>
      </c>
      <c r="H60">
        <v>0</v>
      </c>
      <c r="I60">
        <v>0</v>
      </c>
      <c r="J60" s="92">
        <v>0</v>
      </c>
    </row>
    <row r="61" spans="1:10" x14ac:dyDescent="0.3">
      <c r="A61" s="92">
        <v>3300</v>
      </c>
      <c r="B61">
        <v>3300</v>
      </c>
      <c r="C61">
        <v>0</v>
      </c>
      <c r="D61">
        <v>0</v>
      </c>
      <c r="E61">
        <v>1</v>
      </c>
      <c r="F61">
        <v>0</v>
      </c>
      <c r="G61">
        <v>0</v>
      </c>
      <c r="H61">
        <v>0</v>
      </c>
      <c r="I61">
        <v>0</v>
      </c>
      <c r="J61" s="92">
        <v>1</v>
      </c>
    </row>
    <row r="62" spans="1:10" x14ac:dyDescent="0.3">
      <c r="A62" s="92">
        <v>3325</v>
      </c>
      <c r="B62">
        <v>3325</v>
      </c>
      <c r="C62">
        <v>0</v>
      </c>
      <c r="D62">
        <v>0</v>
      </c>
      <c r="E62">
        <v>0</v>
      </c>
      <c r="F62">
        <v>0</v>
      </c>
      <c r="G62">
        <v>0</v>
      </c>
      <c r="H62">
        <v>0</v>
      </c>
      <c r="I62">
        <v>0</v>
      </c>
      <c r="J62" s="92">
        <v>0</v>
      </c>
    </row>
    <row r="63" spans="1:10" x14ac:dyDescent="0.3">
      <c r="A63" s="92">
        <v>3350</v>
      </c>
      <c r="B63">
        <v>3350</v>
      </c>
      <c r="C63">
        <v>0</v>
      </c>
      <c r="D63">
        <v>0</v>
      </c>
      <c r="E63">
        <v>0</v>
      </c>
      <c r="F63">
        <v>0</v>
      </c>
      <c r="G63">
        <v>0</v>
      </c>
      <c r="H63">
        <v>0</v>
      </c>
      <c r="I63">
        <v>0</v>
      </c>
      <c r="J63" s="92">
        <v>0</v>
      </c>
    </row>
    <row r="64" spans="1:10" x14ac:dyDescent="0.3">
      <c r="A64" s="92">
        <v>3375</v>
      </c>
      <c r="B64">
        <v>3375</v>
      </c>
      <c r="C64">
        <v>0</v>
      </c>
      <c r="D64">
        <v>0</v>
      </c>
      <c r="E64">
        <v>0</v>
      </c>
      <c r="F64">
        <v>0</v>
      </c>
      <c r="G64">
        <v>0</v>
      </c>
      <c r="H64">
        <v>0</v>
      </c>
      <c r="I64">
        <v>0</v>
      </c>
      <c r="J64" s="92">
        <v>0</v>
      </c>
    </row>
    <row r="65" spans="1:10" x14ac:dyDescent="0.3">
      <c r="A65" s="92">
        <v>3400</v>
      </c>
      <c r="B65">
        <v>3400</v>
      </c>
      <c r="C65">
        <v>0</v>
      </c>
      <c r="D65">
        <v>1</v>
      </c>
      <c r="E65">
        <v>5</v>
      </c>
      <c r="F65">
        <v>0</v>
      </c>
      <c r="G65">
        <v>0</v>
      </c>
      <c r="H65">
        <v>0</v>
      </c>
      <c r="I65">
        <v>0</v>
      </c>
      <c r="J65" s="92">
        <v>5</v>
      </c>
    </row>
    <row r="66" spans="1:10" x14ac:dyDescent="0.3">
      <c r="A66" s="92">
        <v>3425</v>
      </c>
      <c r="B66">
        <v>3425</v>
      </c>
      <c r="C66">
        <v>0</v>
      </c>
      <c r="D66">
        <v>0</v>
      </c>
      <c r="E66">
        <v>0</v>
      </c>
      <c r="F66">
        <v>0</v>
      </c>
      <c r="G66">
        <v>0</v>
      </c>
      <c r="H66">
        <v>0</v>
      </c>
      <c r="I66">
        <v>0</v>
      </c>
      <c r="J66" s="92">
        <v>0</v>
      </c>
    </row>
    <row r="67" spans="1:10" x14ac:dyDescent="0.3">
      <c r="A67" s="92">
        <v>3450</v>
      </c>
      <c r="B67">
        <v>3450</v>
      </c>
      <c r="C67">
        <v>0</v>
      </c>
      <c r="D67">
        <v>0</v>
      </c>
      <c r="E67">
        <v>1</v>
      </c>
      <c r="F67">
        <v>0</v>
      </c>
      <c r="G67">
        <v>0</v>
      </c>
      <c r="H67">
        <v>0</v>
      </c>
      <c r="I67">
        <v>0</v>
      </c>
      <c r="J67" s="92">
        <v>1</v>
      </c>
    </row>
    <row r="68" spans="1:10" x14ac:dyDescent="0.3">
      <c r="A68" s="92">
        <v>3475</v>
      </c>
      <c r="B68">
        <v>3475</v>
      </c>
      <c r="C68">
        <v>0</v>
      </c>
      <c r="D68">
        <v>0</v>
      </c>
      <c r="E68">
        <v>0</v>
      </c>
      <c r="F68">
        <v>0</v>
      </c>
      <c r="G68">
        <v>0</v>
      </c>
      <c r="H68">
        <v>0</v>
      </c>
      <c r="I68">
        <v>0</v>
      </c>
      <c r="J68" s="92">
        <v>0</v>
      </c>
    </row>
    <row r="69" spans="1:10" x14ac:dyDescent="0.3">
      <c r="A69" s="92">
        <v>3500</v>
      </c>
      <c r="B69">
        <v>3500</v>
      </c>
      <c r="C69">
        <v>0</v>
      </c>
      <c r="D69">
        <v>0</v>
      </c>
      <c r="E69">
        <v>2</v>
      </c>
      <c r="F69">
        <v>0</v>
      </c>
      <c r="G69">
        <v>0</v>
      </c>
      <c r="H69">
        <v>0</v>
      </c>
      <c r="I69">
        <v>0</v>
      </c>
      <c r="J69" s="92">
        <v>2</v>
      </c>
    </row>
    <row r="70" spans="1:10" x14ac:dyDescent="0.3">
      <c r="A70" s="92">
        <v>3525</v>
      </c>
      <c r="B70">
        <v>3525</v>
      </c>
      <c r="C70">
        <v>0</v>
      </c>
      <c r="D70">
        <v>0</v>
      </c>
      <c r="E70">
        <v>2</v>
      </c>
      <c r="F70">
        <v>0</v>
      </c>
      <c r="G70">
        <v>0</v>
      </c>
      <c r="H70">
        <v>0</v>
      </c>
      <c r="I70">
        <v>0</v>
      </c>
      <c r="J70" s="92">
        <v>2</v>
      </c>
    </row>
    <row r="71" spans="1:10" x14ac:dyDescent="0.3">
      <c r="A71" s="92">
        <v>3550</v>
      </c>
      <c r="B71">
        <v>3550</v>
      </c>
      <c r="C71">
        <v>0</v>
      </c>
      <c r="D71">
        <v>0</v>
      </c>
      <c r="E71">
        <v>0</v>
      </c>
      <c r="F71">
        <v>0</v>
      </c>
      <c r="G71">
        <v>0</v>
      </c>
      <c r="H71">
        <v>0</v>
      </c>
      <c r="I71">
        <v>0</v>
      </c>
      <c r="J71" s="92">
        <v>0</v>
      </c>
    </row>
    <row r="72" spans="1:10" x14ac:dyDescent="0.3">
      <c r="A72" s="92">
        <v>3575</v>
      </c>
      <c r="B72">
        <v>3575</v>
      </c>
      <c r="C72">
        <v>0</v>
      </c>
      <c r="D72">
        <v>0</v>
      </c>
      <c r="E72">
        <v>0</v>
      </c>
      <c r="F72">
        <v>0</v>
      </c>
      <c r="G72">
        <v>0</v>
      </c>
      <c r="H72">
        <v>0</v>
      </c>
      <c r="I72">
        <v>0</v>
      </c>
      <c r="J72" s="92">
        <v>0</v>
      </c>
    </row>
    <row r="73" spans="1:10" x14ac:dyDescent="0.3">
      <c r="A73" s="92">
        <v>3600</v>
      </c>
      <c r="B73">
        <v>3600</v>
      </c>
      <c r="C73">
        <v>0</v>
      </c>
      <c r="D73">
        <v>0</v>
      </c>
      <c r="E73">
        <v>13</v>
      </c>
      <c r="F73">
        <v>0</v>
      </c>
      <c r="G73">
        <v>0</v>
      </c>
      <c r="H73">
        <v>0</v>
      </c>
      <c r="I73">
        <v>0</v>
      </c>
      <c r="J73" s="92">
        <v>13</v>
      </c>
    </row>
    <row r="74" spans="1:10" x14ac:dyDescent="0.3">
      <c r="A74" s="92">
        <v>3625</v>
      </c>
      <c r="B74">
        <v>3625</v>
      </c>
      <c r="C74">
        <v>0</v>
      </c>
      <c r="D74">
        <v>0</v>
      </c>
      <c r="E74">
        <v>0</v>
      </c>
      <c r="F74">
        <v>0</v>
      </c>
      <c r="G74">
        <v>0</v>
      </c>
      <c r="H74">
        <v>0</v>
      </c>
      <c r="I74">
        <v>0</v>
      </c>
      <c r="J74" s="92">
        <v>0</v>
      </c>
    </row>
    <row r="75" spans="1:10" x14ac:dyDescent="0.3">
      <c r="A75" s="92">
        <v>3650</v>
      </c>
      <c r="B75">
        <v>3650</v>
      </c>
      <c r="C75">
        <v>0</v>
      </c>
      <c r="D75">
        <v>0</v>
      </c>
      <c r="E75">
        <v>0</v>
      </c>
      <c r="F75">
        <v>0</v>
      </c>
      <c r="G75">
        <v>0</v>
      </c>
      <c r="H75">
        <v>0</v>
      </c>
      <c r="I75">
        <v>0</v>
      </c>
      <c r="J75" s="92">
        <v>0</v>
      </c>
    </row>
    <row r="76" spans="1:10" x14ac:dyDescent="0.3">
      <c r="A76" s="92">
        <v>3675</v>
      </c>
      <c r="B76">
        <v>3675</v>
      </c>
      <c r="C76">
        <v>0</v>
      </c>
      <c r="D76">
        <v>0</v>
      </c>
      <c r="E76">
        <v>1</v>
      </c>
      <c r="F76">
        <v>0</v>
      </c>
      <c r="G76">
        <v>0</v>
      </c>
      <c r="H76">
        <v>0</v>
      </c>
      <c r="I76">
        <v>0</v>
      </c>
      <c r="J76" s="92">
        <v>1</v>
      </c>
    </row>
    <row r="77" spans="1:10" x14ac:dyDescent="0.3">
      <c r="A77" s="92">
        <v>3700</v>
      </c>
      <c r="B77">
        <v>3700</v>
      </c>
      <c r="C77">
        <v>0</v>
      </c>
      <c r="D77">
        <v>0</v>
      </c>
      <c r="E77">
        <v>1150</v>
      </c>
      <c r="F77">
        <v>0</v>
      </c>
      <c r="G77">
        <v>0</v>
      </c>
      <c r="H77">
        <v>0</v>
      </c>
      <c r="I77">
        <v>0</v>
      </c>
      <c r="J77" s="92">
        <v>1150</v>
      </c>
    </row>
    <row r="78" spans="1:10" x14ac:dyDescent="0.3">
      <c r="A78" s="92">
        <v>3725</v>
      </c>
      <c r="B78">
        <v>3725</v>
      </c>
      <c r="C78">
        <v>0</v>
      </c>
      <c r="D78">
        <v>0</v>
      </c>
      <c r="E78">
        <v>5</v>
      </c>
      <c r="F78">
        <v>0</v>
      </c>
      <c r="G78">
        <v>0</v>
      </c>
      <c r="H78">
        <v>0</v>
      </c>
      <c r="I78">
        <v>0</v>
      </c>
      <c r="J78" s="92">
        <v>5</v>
      </c>
    </row>
    <row r="79" spans="1:10" x14ac:dyDescent="0.3">
      <c r="A79" s="92">
        <v>3750</v>
      </c>
      <c r="B79">
        <v>3750</v>
      </c>
      <c r="C79">
        <v>0</v>
      </c>
      <c r="D79">
        <v>0</v>
      </c>
      <c r="E79">
        <v>216</v>
      </c>
      <c r="F79">
        <v>0</v>
      </c>
      <c r="G79">
        <v>0</v>
      </c>
      <c r="H79">
        <v>0</v>
      </c>
      <c r="I79">
        <v>0</v>
      </c>
      <c r="J79" s="92">
        <v>216</v>
      </c>
    </row>
    <row r="80" spans="1:10" x14ac:dyDescent="0.3">
      <c r="A80" s="92">
        <v>3775</v>
      </c>
      <c r="B80">
        <v>3775</v>
      </c>
      <c r="C80">
        <v>0</v>
      </c>
      <c r="D80">
        <v>0</v>
      </c>
      <c r="E80">
        <v>2</v>
      </c>
      <c r="F80">
        <v>0</v>
      </c>
      <c r="G80">
        <v>0</v>
      </c>
      <c r="H80">
        <v>0</v>
      </c>
      <c r="I80">
        <v>0</v>
      </c>
      <c r="J80" s="92">
        <v>2</v>
      </c>
    </row>
    <row r="81" spans="1:10" x14ac:dyDescent="0.3">
      <c r="A81" s="92">
        <v>3800</v>
      </c>
      <c r="B81">
        <v>3800</v>
      </c>
      <c r="C81">
        <v>0</v>
      </c>
      <c r="D81">
        <v>0</v>
      </c>
      <c r="E81">
        <v>502</v>
      </c>
      <c r="F81">
        <v>0</v>
      </c>
      <c r="G81">
        <v>0</v>
      </c>
      <c r="H81">
        <v>0</v>
      </c>
      <c r="I81">
        <v>0</v>
      </c>
      <c r="J81" s="92">
        <v>502</v>
      </c>
    </row>
    <row r="82" spans="1:10" x14ac:dyDescent="0.3">
      <c r="A82" s="92">
        <v>3825</v>
      </c>
      <c r="B82">
        <v>3825</v>
      </c>
      <c r="C82">
        <v>0</v>
      </c>
      <c r="D82">
        <v>0</v>
      </c>
      <c r="E82">
        <v>0</v>
      </c>
      <c r="F82">
        <v>0</v>
      </c>
      <c r="G82">
        <v>0</v>
      </c>
      <c r="H82">
        <v>0</v>
      </c>
      <c r="I82">
        <v>0</v>
      </c>
      <c r="J82" s="92">
        <v>0</v>
      </c>
    </row>
    <row r="83" spans="1:10" x14ac:dyDescent="0.3">
      <c r="A83" s="92">
        <v>3850</v>
      </c>
      <c r="B83">
        <v>3850</v>
      </c>
      <c r="C83">
        <v>0</v>
      </c>
      <c r="D83">
        <v>0</v>
      </c>
      <c r="E83">
        <v>15</v>
      </c>
      <c r="F83">
        <v>0</v>
      </c>
      <c r="G83">
        <v>0</v>
      </c>
      <c r="H83">
        <v>0</v>
      </c>
      <c r="I83">
        <v>0</v>
      </c>
      <c r="J83" s="92">
        <v>15</v>
      </c>
    </row>
    <row r="84" spans="1:10" x14ac:dyDescent="0.3">
      <c r="A84" s="92">
        <v>3875</v>
      </c>
      <c r="B84">
        <v>3875</v>
      </c>
      <c r="C84">
        <v>0</v>
      </c>
      <c r="D84">
        <v>0</v>
      </c>
      <c r="E84">
        <v>338</v>
      </c>
      <c r="F84">
        <v>0</v>
      </c>
      <c r="G84">
        <v>0</v>
      </c>
      <c r="H84">
        <v>0</v>
      </c>
      <c r="I84">
        <v>0</v>
      </c>
      <c r="J84" s="92">
        <v>338</v>
      </c>
    </row>
    <row r="85" spans="1:10" x14ac:dyDescent="0.3">
      <c r="A85" s="92">
        <v>3900</v>
      </c>
      <c r="B85">
        <v>3900</v>
      </c>
      <c r="C85">
        <v>0</v>
      </c>
      <c r="D85">
        <v>0</v>
      </c>
      <c r="E85">
        <v>26</v>
      </c>
      <c r="F85">
        <v>0</v>
      </c>
      <c r="G85">
        <v>0</v>
      </c>
      <c r="H85">
        <v>0</v>
      </c>
      <c r="I85">
        <v>0</v>
      </c>
      <c r="J85" s="92">
        <v>26</v>
      </c>
    </row>
    <row r="86" spans="1:10" x14ac:dyDescent="0.3">
      <c r="A86" s="92">
        <v>3925</v>
      </c>
      <c r="B86">
        <v>3925</v>
      </c>
      <c r="C86">
        <v>0</v>
      </c>
      <c r="D86">
        <v>6</v>
      </c>
      <c r="E86">
        <v>7</v>
      </c>
      <c r="F86">
        <v>0</v>
      </c>
      <c r="G86">
        <v>0</v>
      </c>
      <c r="H86">
        <v>0</v>
      </c>
      <c r="I86">
        <v>0</v>
      </c>
      <c r="J86" s="92">
        <v>7</v>
      </c>
    </row>
    <row r="87" spans="1:10" x14ac:dyDescent="0.3">
      <c r="A87" s="92">
        <v>3950</v>
      </c>
      <c r="B87">
        <v>3950</v>
      </c>
      <c r="C87">
        <v>0</v>
      </c>
      <c r="D87">
        <v>0</v>
      </c>
      <c r="E87">
        <v>273</v>
      </c>
      <c r="F87">
        <v>0</v>
      </c>
      <c r="G87">
        <v>0</v>
      </c>
      <c r="H87">
        <v>0</v>
      </c>
      <c r="I87">
        <v>0</v>
      </c>
      <c r="J87" s="92">
        <v>273</v>
      </c>
    </row>
    <row r="88" spans="1:10" x14ac:dyDescent="0.3">
      <c r="A88" s="92">
        <v>3975</v>
      </c>
      <c r="B88">
        <v>3975</v>
      </c>
      <c r="C88">
        <v>0</v>
      </c>
      <c r="D88">
        <v>1</v>
      </c>
      <c r="E88">
        <v>2</v>
      </c>
      <c r="F88">
        <v>205.9</v>
      </c>
      <c r="G88">
        <v>205.9</v>
      </c>
      <c r="H88">
        <v>205.9</v>
      </c>
      <c r="I88">
        <v>205.9</v>
      </c>
      <c r="J88" s="92">
        <v>2</v>
      </c>
    </row>
    <row r="89" spans="1:10" x14ac:dyDescent="0.3">
      <c r="A89" s="92">
        <v>4000</v>
      </c>
      <c r="B89">
        <v>4000</v>
      </c>
      <c r="C89">
        <v>0</v>
      </c>
      <c r="D89">
        <v>9</v>
      </c>
      <c r="E89">
        <v>164</v>
      </c>
      <c r="F89">
        <v>185</v>
      </c>
      <c r="G89">
        <v>185</v>
      </c>
      <c r="H89">
        <v>183.2</v>
      </c>
      <c r="I89">
        <v>183.2</v>
      </c>
      <c r="J89" s="92">
        <v>164</v>
      </c>
    </row>
    <row r="90" spans="1:10" x14ac:dyDescent="0.3">
      <c r="A90" s="92">
        <v>4025</v>
      </c>
      <c r="B90">
        <v>4025</v>
      </c>
      <c r="C90">
        <v>0</v>
      </c>
      <c r="D90">
        <v>0</v>
      </c>
      <c r="E90">
        <v>14</v>
      </c>
      <c r="F90">
        <v>0</v>
      </c>
      <c r="G90">
        <v>0</v>
      </c>
      <c r="H90">
        <v>0</v>
      </c>
      <c r="I90">
        <v>0</v>
      </c>
      <c r="J90" s="92">
        <v>14</v>
      </c>
    </row>
    <row r="91" spans="1:10" x14ac:dyDescent="0.3">
      <c r="A91" s="92">
        <v>4050</v>
      </c>
      <c r="B91">
        <v>4050</v>
      </c>
      <c r="C91">
        <v>0</v>
      </c>
      <c r="D91">
        <v>0</v>
      </c>
      <c r="E91">
        <v>4910</v>
      </c>
      <c r="F91">
        <v>0</v>
      </c>
      <c r="G91">
        <v>0</v>
      </c>
      <c r="H91">
        <v>0</v>
      </c>
      <c r="I91">
        <v>0</v>
      </c>
      <c r="J91" s="92">
        <v>4910</v>
      </c>
    </row>
    <row r="92" spans="1:10" x14ac:dyDescent="0.3">
      <c r="A92" s="92">
        <v>4075</v>
      </c>
      <c r="B92">
        <v>4075</v>
      </c>
      <c r="C92">
        <v>0</v>
      </c>
      <c r="D92">
        <v>0</v>
      </c>
      <c r="E92">
        <v>943</v>
      </c>
      <c r="F92">
        <v>0</v>
      </c>
      <c r="G92">
        <v>0</v>
      </c>
      <c r="H92">
        <v>0</v>
      </c>
      <c r="I92">
        <v>0</v>
      </c>
      <c r="J92" s="92">
        <v>943</v>
      </c>
    </row>
    <row r="93" spans="1:10" x14ac:dyDescent="0.3">
      <c r="A93" s="92">
        <v>4100</v>
      </c>
      <c r="B93">
        <v>4100</v>
      </c>
      <c r="C93">
        <v>0</v>
      </c>
      <c r="D93">
        <v>2677</v>
      </c>
      <c r="E93">
        <v>17523</v>
      </c>
      <c r="F93">
        <v>117.3</v>
      </c>
      <c r="G93">
        <v>117.3</v>
      </c>
      <c r="H93">
        <v>103.5</v>
      </c>
      <c r="I93">
        <v>111.3</v>
      </c>
      <c r="J93" s="92">
        <v>17523</v>
      </c>
    </row>
    <row r="94" spans="1:10" x14ac:dyDescent="0.3">
      <c r="A94" s="92">
        <v>4125</v>
      </c>
      <c r="B94">
        <v>4125</v>
      </c>
      <c r="C94">
        <v>0</v>
      </c>
      <c r="D94">
        <v>173</v>
      </c>
      <c r="E94">
        <v>4399</v>
      </c>
      <c r="F94">
        <v>100</v>
      </c>
      <c r="G94">
        <v>112.3</v>
      </c>
      <c r="H94">
        <v>96</v>
      </c>
      <c r="I94">
        <v>112.2</v>
      </c>
      <c r="J94" s="92">
        <v>4399</v>
      </c>
    </row>
    <row r="95" spans="1:10" x14ac:dyDescent="0.3">
      <c r="A95" s="92">
        <v>4150</v>
      </c>
      <c r="B95">
        <v>4150</v>
      </c>
      <c r="C95">
        <v>0</v>
      </c>
      <c r="D95">
        <v>8008</v>
      </c>
      <c r="E95">
        <v>16257</v>
      </c>
      <c r="F95">
        <v>96</v>
      </c>
      <c r="G95">
        <v>96</v>
      </c>
      <c r="H95">
        <v>79.900000000000006</v>
      </c>
      <c r="I95">
        <v>94.1</v>
      </c>
      <c r="J95" s="92">
        <v>16257</v>
      </c>
    </row>
    <row r="96" spans="1:10" x14ac:dyDescent="0.3">
      <c r="A96" s="92">
        <v>4175</v>
      </c>
      <c r="B96">
        <v>4175</v>
      </c>
      <c r="C96">
        <v>0</v>
      </c>
      <c r="D96">
        <v>4546</v>
      </c>
      <c r="E96">
        <v>5213</v>
      </c>
      <c r="F96">
        <v>71.5</v>
      </c>
      <c r="G96">
        <v>82.5</v>
      </c>
      <c r="H96">
        <v>64</v>
      </c>
      <c r="I96">
        <v>76.3</v>
      </c>
      <c r="J96" s="92">
        <v>5213</v>
      </c>
    </row>
    <row r="97" spans="1:10" x14ac:dyDescent="0.3">
      <c r="A97" s="92">
        <v>4200</v>
      </c>
      <c r="B97">
        <v>4200</v>
      </c>
      <c r="C97">
        <v>0</v>
      </c>
      <c r="D97">
        <v>2610</v>
      </c>
      <c r="E97">
        <v>31663</v>
      </c>
      <c r="F97">
        <v>59.6</v>
      </c>
      <c r="G97">
        <v>68</v>
      </c>
      <c r="H97">
        <v>52</v>
      </c>
      <c r="I97">
        <v>63.9</v>
      </c>
      <c r="J97" s="92">
        <v>31663</v>
      </c>
    </row>
    <row r="98" spans="1:10" x14ac:dyDescent="0.3">
      <c r="A98" s="92">
        <v>4225</v>
      </c>
      <c r="B98">
        <v>4225</v>
      </c>
      <c r="C98">
        <v>0</v>
      </c>
      <c r="D98">
        <v>568</v>
      </c>
      <c r="E98">
        <v>7183</v>
      </c>
      <c r="F98">
        <v>48.4</v>
      </c>
      <c r="G98">
        <v>55.3</v>
      </c>
      <c r="H98">
        <v>44</v>
      </c>
      <c r="I98">
        <v>55.3</v>
      </c>
      <c r="J98" s="92">
        <v>7183</v>
      </c>
    </row>
    <row r="99" spans="1:10" x14ac:dyDescent="0.3">
      <c r="A99" s="92">
        <v>4250</v>
      </c>
      <c r="B99">
        <v>4250</v>
      </c>
      <c r="C99">
        <v>0</v>
      </c>
      <c r="D99">
        <v>16762</v>
      </c>
      <c r="E99">
        <v>34155</v>
      </c>
      <c r="F99">
        <v>39.9</v>
      </c>
      <c r="G99">
        <v>44</v>
      </c>
      <c r="H99">
        <v>36.200000000000003</v>
      </c>
      <c r="I99">
        <v>44</v>
      </c>
      <c r="J99" s="92">
        <v>34155</v>
      </c>
    </row>
    <row r="100" spans="1:10" x14ac:dyDescent="0.3">
      <c r="A100" s="92">
        <v>4275</v>
      </c>
      <c r="B100">
        <v>4275</v>
      </c>
      <c r="C100">
        <v>0</v>
      </c>
      <c r="D100">
        <v>753</v>
      </c>
      <c r="E100">
        <v>11460</v>
      </c>
      <c r="F100">
        <v>30.7</v>
      </c>
      <c r="G100">
        <v>32.6</v>
      </c>
      <c r="H100">
        <v>28</v>
      </c>
      <c r="I100">
        <v>32.6</v>
      </c>
      <c r="J100" s="92">
        <v>11460</v>
      </c>
    </row>
    <row r="101" spans="1:10" x14ac:dyDescent="0.3">
      <c r="A101" s="92">
        <v>4300</v>
      </c>
      <c r="B101">
        <v>4300</v>
      </c>
      <c r="C101">
        <v>0</v>
      </c>
      <c r="D101">
        <v>14630</v>
      </c>
      <c r="E101">
        <v>90366</v>
      </c>
      <c r="F101">
        <v>24</v>
      </c>
      <c r="G101">
        <v>25.8</v>
      </c>
      <c r="H101">
        <v>20</v>
      </c>
      <c r="I101">
        <v>24.3</v>
      </c>
      <c r="J101" s="92">
        <v>90366</v>
      </c>
    </row>
    <row r="102" spans="1:10" x14ac:dyDescent="0.3">
      <c r="A102" s="92">
        <v>4325</v>
      </c>
      <c r="B102">
        <v>4325</v>
      </c>
      <c r="C102">
        <v>0</v>
      </c>
      <c r="D102">
        <v>2606</v>
      </c>
      <c r="E102">
        <v>6606</v>
      </c>
      <c r="F102">
        <v>17.7</v>
      </c>
      <c r="G102">
        <v>19.7</v>
      </c>
      <c r="H102">
        <v>15.2</v>
      </c>
      <c r="I102">
        <v>18.2</v>
      </c>
      <c r="J102" s="92">
        <v>6606</v>
      </c>
    </row>
    <row r="103" spans="1:10" x14ac:dyDescent="0.3">
      <c r="A103" s="92">
        <v>4350</v>
      </c>
      <c r="B103">
        <v>4350</v>
      </c>
      <c r="C103">
        <v>0</v>
      </c>
      <c r="D103">
        <v>13450</v>
      </c>
      <c r="E103">
        <v>139249</v>
      </c>
      <c r="F103">
        <v>13.4</v>
      </c>
      <c r="G103">
        <v>15.1</v>
      </c>
      <c r="H103">
        <v>11.7</v>
      </c>
      <c r="I103">
        <v>13.9</v>
      </c>
      <c r="J103" s="92">
        <v>139249</v>
      </c>
    </row>
    <row r="104" spans="1:10" x14ac:dyDescent="0.3">
      <c r="A104" s="92">
        <v>4375</v>
      </c>
      <c r="B104">
        <v>4375</v>
      </c>
      <c r="C104">
        <v>0</v>
      </c>
      <c r="D104">
        <v>12305</v>
      </c>
      <c r="E104">
        <v>148958</v>
      </c>
      <c r="F104">
        <v>10.199999999999999</v>
      </c>
      <c r="G104">
        <v>11</v>
      </c>
      <c r="H104">
        <v>8.1999999999999993</v>
      </c>
      <c r="I104">
        <v>11</v>
      </c>
      <c r="J104" s="92">
        <v>148958</v>
      </c>
    </row>
    <row r="105" spans="1:10" x14ac:dyDescent="0.3">
      <c r="A105" s="92">
        <v>4400</v>
      </c>
      <c r="B105">
        <v>4400</v>
      </c>
      <c r="C105">
        <v>0</v>
      </c>
      <c r="D105">
        <v>4359</v>
      </c>
      <c r="E105">
        <v>65260</v>
      </c>
      <c r="F105">
        <v>8.8000000000000007</v>
      </c>
      <c r="G105">
        <v>8.8000000000000007</v>
      </c>
      <c r="H105">
        <v>6.2</v>
      </c>
      <c r="I105">
        <v>7.8</v>
      </c>
      <c r="J105" s="92">
        <v>65260</v>
      </c>
    </row>
    <row r="106" spans="1:10" x14ac:dyDescent="0.3">
      <c r="A106" s="92">
        <v>4425</v>
      </c>
      <c r="B106">
        <v>4425</v>
      </c>
      <c r="C106">
        <v>0</v>
      </c>
      <c r="D106">
        <v>783</v>
      </c>
      <c r="E106">
        <v>21523</v>
      </c>
      <c r="F106">
        <v>5.7</v>
      </c>
      <c r="G106">
        <v>5.7</v>
      </c>
      <c r="H106">
        <v>4.4000000000000004</v>
      </c>
      <c r="I106">
        <v>5.5</v>
      </c>
      <c r="J106" s="92">
        <v>21523</v>
      </c>
    </row>
    <row r="107" spans="1:10" x14ac:dyDescent="0.3">
      <c r="A107" s="92">
        <v>4450</v>
      </c>
      <c r="B107">
        <v>4450</v>
      </c>
      <c r="C107">
        <v>0</v>
      </c>
      <c r="D107">
        <v>58</v>
      </c>
      <c r="E107">
        <v>18773</v>
      </c>
      <c r="F107">
        <v>4.0999999999999996</v>
      </c>
      <c r="G107">
        <v>4.0999999999999996</v>
      </c>
      <c r="H107">
        <v>3.3</v>
      </c>
      <c r="I107">
        <v>3.6</v>
      </c>
      <c r="J107" s="92">
        <v>18773</v>
      </c>
    </row>
    <row r="108" spans="1:10" x14ac:dyDescent="0.3">
      <c r="A108" s="92">
        <v>4475</v>
      </c>
      <c r="B108">
        <v>4475</v>
      </c>
      <c r="C108">
        <v>0</v>
      </c>
      <c r="D108">
        <v>8</v>
      </c>
      <c r="E108">
        <v>13358</v>
      </c>
      <c r="F108">
        <v>3</v>
      </c>
      <c r="G108">
        <v>3</v>
      </c>
      <c r="H108">
        <v>3</v>
      </c>
      <c r="I108">
        <v>3</v>
      </c>
      <c r="J108" s="92">
        <v>13358</v>
      </c>
    </row>
    <row r="109" spans="1:10" x14ac:dyDescent="0.3">
      <c r="A109" s="92">
        <v>4500</v>
      </c>
      <c r="B109">
        <v>4500</v>
      </c>
      <c r="C109">
        <v>0</v>
      </c>
      <c r="D109">
        <v>4917</v>
      </c>
      <c r="E109">
        <v>44933</v>
      </c>
      <c r="F109">
        <v>2.2999999999999998</v>
      </c>
      <c r="G109">
        <v>2.2999999999999998</v>
      </c>
      <c r="H109">
        <v>1.9</v>
      </c>
      <c r="I109">
        <v>1.9</v>
      </c>
      <c r="J109" s="92">
        <v>44933</v>
      </c>
    </row>
    <row r="110" spans="1:10" x14ac:dyDescent="0.3">
      <c r="A110" s="92">
        <v>4525</v>
      </c>
      <c r="B110">
        <v>4525</v>
      </c>
      <c r="C110">
        <v>0</v>
      </c>
      <c r="D110">
        <v>1240</v>
      </c>
      <c r="E110">
        <v>6271</v>
      </c>
      <c r="F110">
        <v>1.5</v>
      </c>
      <c r="G110">
        <v>1.5</v>
      </c>
      <c r="H110">
        <v>1.4</v>
      </c>
      <c r="I110">
        <v>1.4</v>
      </c>
      <c r="J110" s="92">
        <v>6271</v>
      </c>
    </row>
    <row r="111" spans="1:10" x14ac:dyDescent="0.3">
      <c r="A111" s="92">
        <v>4550</v>
      </c>
      <c r="B111">
        <v>4550</v>
      </c>
      <c r="C111">
        <v>0</v>
      </c>
      <c r="D111">
        <v>1</v>
      </c>
      <c r="E111">
        <v>9306</v>
      </c>
      <c r="F111">
        <v>0</v>
      </c>
      <c r="G111">
        <v>0</v>
      </c>
      <c r="H111">
        <v>0</v>
      </c>
      <c r="I111">
        <v>0</v>
      </c>
      <c r="J111" s="92">
        <v>9306</v>
      </c>
    </row>
    <row r="112" spans="1:10" x14ac:dyDescent="0.3">
      <c r="A112" s="92">
        <v>4575</v>
      </c>
      <c r="B112">
        <v>4575</v>
      </c>
      <c r="C112">
        <v>0</v>
      </c>
      <c r="D112">
        <v>0</v>
      </c>
      <c r="E112">
        <v>3310</v>
      </c>
      <c r="F112">
        <v>0</v>
      </c>
      <c r="G112">
        <v>0</v>
      </c>
      <c r="H112">
        <v>0</v>
      </c>
      <c r="I112">
        <v>0</v>
      </c>
      <c r="J112" s="92">
        <v>3310</v>
      </c>
    </row>
    <row r="113" spans="1:10" x14ac:dyDescent="0.3">
      <c r="A113" s="92">
        <v>4600</v>
      </c>
      <c r="B113">
        <v>4600</v>
      </c>
      <c r="C113">
        <v>0</v>
      </c>
      <c r="D113">
        <v>3200</v>
      </c>
      <c r="E113">
        <v>20016</v>
      </c>
      <c r="F113">
        <v>0.7</v>
      </c>
      <c r="G113">
        <v>0.7</v>
      </c>
      <c r="H113">
        <v>0.7</v>
      </c>
      <c r="I113">
        <v>0.7</v>
      </c>
      <c r="J113" s="92">
        <v>20016</v>
      </c>
    </row>
    <row r="114" spans="1:10" x14ac:dyDescent="0.3">
      <c r="A114" s="92">
        <v>4625</v>
      </c>
      <c r="B114">
        <v>4625</v>
      </c>
      <c r="C114">
        <v>0</v>
      </c>
      <c r="D114">
        <v>0</v>
      </c>
      <c r="E114">
        <v>1661</v>
      </c>
      <c r="F114">
        <v>0</v>
      </c>
      <c r="G114">
        <v>0</v>
      </c>
      <c r="H114">
        <v>0</v>
      </c>
      <c r="I114">
        <v>0</v>
      </c>
      <c r="J114" s="92">
        <v>1661</v>
      </c>
    </row>
    <row r="115" spans="1:10" x14ac:dyDescent="0.3">
      <c r="A115" s="92">
        <v>4650</v>
      </c>
      <c r="B115">
        <v>4650</v>
      </c>
      <c r="C115">
        <v>0</v>
      </c>
      <c r="D115">
        <v>300</v>
      </c>
      <c r="E115">
        <v>2828</v>
      </c>
      <c r="F115">
        <v>0.4</v>
      </c>
      <c r="G115">
        <v>0.4</v>
      </c>
      <c r="H115">
        <v>0.4</v>
      </c>
      <c r="I115">
        <v>0.4</v>
      </c>
      <c r="J115" s="92">
        <v>2828</v>
      </c>
    </row>
    <row r="116" spans="1:10" x14ac:dyDescent="0.3">
      <c r="A116" s="92">
        <v>4675</v>
      </c>
      <c r="B116">
        <v>4675</v>
      </c>
      <c r="C116">
        <v>0</v>
      </c>
      <c r="D116">
        <v>0</v>
      </c>
      <c r="E116">
        <v>1368</v>
      </c>
      <c r="F116">
        <v>0</v>
      </c>
      <c r="G116">
        <v>0</v>
      </c>
      <c r="H116">
        <v>0</v>
      </c>
      <c r="I116">
        <v>0</v>
      </c>
      <c r="J116" s="92">
        <v>1368</v>
      </c>
    </row>
    <row r="117" spans="1:10" x14ac:dyDescent="0.3">
      <c r="A117" s="92">
        <v>4700</v>
      </c>
      <c r="B117">
        <v>4700</v>
      </c>
      <c r="C117">
        <v>0</v>
      </c>
      <c r="D117">
        <v>0</v>
      </c>
      <c r="E117">
        <v>41650</v>
      </c>
      <c r="F117">
        <v>0</v>
      </c>
      <c r="G117">
        <v>0</v>
      </c>
      <c r="H117">
        <v>0</v>
      </c>
      <c r="I117">
        <v>0</v>
      </c>
      <c r="J117" s="92">
        <v>41650</v>
      </c>
    </row>
    <row r="118" spans="1:10" x14ac:dyDescent="0.3">
      <c r="A118" s="92">
        <v>4725</v>
      </c>
      <c r="B118">
        <v>4725</v>
      </c>
      <c r="C118">
        <v>0</v>
      </c>
      <c r="D118">
        <v>0</v>
      </c>
      <c r="E118">
        <v>494</v>
      </c>
      <c r="F118">
        <v>0</v>
      </c>
      <c r="G118">
        <v>0</v>
      </c>
      <c r="H118">
        <v>0</v>
      </c>
      <c r="I118">
        <v>0</v>
      </c>
      <c r="J118" s="92">
        <v>494</v>
      </c>
    </row>
    <row r="119" spans="1:10" x14ac:dyDescent="0.3">
      <c r="A119" s="92">
        <v>4750</v>
      </c>
      <c r="B119">
        <v>4750</v>
      </c>
      <c r="C119">
        <v>0</v>
      </c>
      <c r="D119">
        <v>0</v>
      </c>
      <c r="E119">
        <v>2072</v>
      </c>
      <c r="F119">
        <v>0</v>
      </c>
      <c r="G119">
        <v>0</v>
      </c>
      <c r="H119">
        <v>0</v>
      </c>
      <c r="I119">
        <v>0</v>
      </c>
      <c r="J119" s="92">
        <v>2072</v>
      </c>
    </row>
    <row r="120" spans="1:10" x14ac:dyDescent="0.3">
      <c r="A120" s="92">
        <v>4775</v>
      </c>
      <c r="B120">
        <v>4775</v>
      </c>
      <c r="C120">
        <v>0</v>
      </c>
      <c r="D120">
        <v>0</v>
      </c>
      <c r="E120">
        <v>866</v>
      </c>
      <c r="F120">
        <v>0</v>
      </c>
      <c r="G120">
        <v>0</v>
      </c>
      <c r="H120">
        <v>0</v>
      </c>
      <c r="I120">
        <v>0</v>
      </c>
      <c r="J120" s="92">
        <v>866</v>
      </c>
    </row>
    <row r="121" spans="1:10" x14ac:dyDescent="0.3">
      <c r="A121" s="92">
        <v>4800</v>
      </c>
      <c r="B121">
        <v>4800</v>
      </c>
      <c r="C121">
        <v>0</v>
      </c>
      <c r="D121">
        <v>750</v>
      </c>
      <c r="E121">
        <v>5552</v>
      </c>
      <c r="F121">
        <v>0.2</v>
      </c>
      <c r="G121">
        <v>0.2</v>
      </c>
      <c r="H121">
        <v>0.2</v>
      </c>
      <c r="I121">
        <v>0.2</v>
      </c>
      <c r="J121" s="92">
        <v>5552</v>
      </c>
    </row>
    <row r="122" spans="1:10" x14ac:dyDescent="0.3">
      <c r="A122" s="92">
        <v>4825</v>
      </c>
      <c r="B122">
        <v>4825</v>
      </c>
      <c r="C122">
        <v>0</v>
      </c>
      <c r="D122">
        <v>0</v>
      </c>
      <c r="E122">
        <v>1272</v>
      </c>
      <c r="F122">
        <v>0</v>
      </c>
      <c r="G122">
        <v>0</v>
      </c>
      <c r="H122">
        <v>0</v>
      </c>
      <c r="I122">
        <v>0</v>
      </c>
      <c r="J122" s="92">
        <v>1272</v>
      </c>
    </row>
    <row r="123" spans="1:10" x14ac:dyDescent="0.3">
      <c r="A123" s="92">
        <v>4850</v>
      </c>
      <c r="B123">
        <v>4850</v>
      </c>
      <c r="C123">
        <v>0</v>
      </c>
      <c r="D123">
        <v>0</v>
      </c>
      <c r="E123">
        <v>7850</v>
      </c>
      <c r="F123">
        <v>0</v>
      </c>
      <c r="G123">
        <v>0</v>
      </c>
      <c r="H123">
        <v>0</v>
      </c>
      <c r="I123">
        <v>0</v>
      </c>
      <c r="J123" s="92">
        <v>7850</v>
      </c>
    </row>
    <row r="124" spans="1:10" x14ac:dyDescent="0.3">
      <c r="A124" s="92">
        <v>4875</v>
      </c>
      <c r="B124">
        <v>4875</v>
      </c>
      <c r="C124">
        <v>0</v>
      </c>
      <c r="D124">
        <v>0</v>
      </c>
      <c r="E124">
        <v>53</v>
      </c>
      <c r="F124">
        <v>0</v>
      </c>
      <c r="G124">
        <v>0</v>
      </c>
      <c r="H124">
        <v>0</v>
      </c>
      <c r="I124">
        <v>0</v>
      </c>
      <c r="J124" s="92">
        <v>53</v>
      </c>
    </row>
    <row r="125" spans="1:10" x14ac:dyDescent="0.3">
      <c r="A125" s="92">
        <v>4900</v>
      </c>
      <c r="B125">
        <v>4900</v>
      </c>
      <c r="C125">
        <v>0</v>
      </c>
      <c r="D125">
        <v>0</v>
      </c>
      <c r="E125">
        <v>4396</v>
      </c>
      <c r="F125">
        <v>0</v>
      </c>
      <c r="G125">
        <v>0</v>
      </c>
      <c r="H125">
        <v>0</v>
      </c>
      <c r="I125">
        <v>0</v>
      </c>
      <c r="J125" s="92">
        <v>4396</v>
      </c>
    </row>
    <row r="126" spans="1:10" x14ac:dyDescent="0.3">
      <c r="A126" s="92">
        <v>4925</v>
      </c>
      <c r="B126">
        <v>4925</v>
      </c>
      <c r="C126">
        <v>0</v>
      </c>
      <c r="D126">
        <v>0</v>
      </c>
      <c r="E126">
        <v>576</v>
      </c>
      <c r="F126">
        <v>0</v>
      </c>
      <c r="G126">
        <v>0</v>
      </c>
      <c r="H126">
        <v>0</v>
      </c>
      <c r="I126">
        <v>0</v>
      </c>
      <c r="J126" s="92">
        <v>576</v>
      </c>
    </row>
    <row r="127" spans="1:10" x14ac:dyDescent="0.3">
      <c r="A127" s="92">
        <v>4950</v>
      </c>
      <c r="B127">
        <v>4950</v>
      </c>
      <c r="C127">
        <v>0</v>
      </c>
      <c r="D127">
        <v>0</v>
      </c>
      <c r="E127">
        <v>479</v>
      </c>
      <c r="F127">
        <v>0</v>
      </c>
      <c r="G127">
        <v>0</v>
      </c>
      <c r="H127">
        <v>0</v>
      </c>
      <c r="I127">
        <v>0</v>
      </c>
      <c r="J127" s="92">
        <v>479</v>
      </c>
    </row>
    <row r="128" spans="1:10" x14ac:dyDescent="0.3">
      <c r="A128" s="92">
        <v>4975</v>
      </c>
      <c r="B128">
        <v>4975</v>
      </c>
      <c r="C128">
        <v>0</v>
      </c>
      <c r="D128">
        <v>0</v>
      </c>
      <c r="E128">
        <v>81</v>
      </c>
      <c r="F128">
        <v>0</v>
      </c>
      <c r="G128">
        <v>0</v>
      </c>
      <c r="H128">
        <v>0</v>
      </c>
      <c r="I128">
        <v>0</v>
      </c>
      <c r="J128" s="92">
        <v>81</v>
      </c>
    </row>
    <row r="129" spans="1:10" x14ac:dyDescent="0.3">
      <c r="A129" s="92">
        <v>5000</v>
      </c>
      <c r="B129">
        <v>5000</v>
      </c>
      <c r="C129">
        <v>0</v>
      </c>
      <c r="D129">
        <v>1</v>
      </c>
      <c r="E129">
        <v>1432</v>
      </c>
      <c r="F129">
        <v>0</v>
      </c>
      <c r="G129">
        <v>0</v>
      </c>
      <c r="H129">
        <v>0</v>
      </c>
      <c r="I129">
        <v>0</v>
      </c>
      <c r="J129" s="92">
        <v>1432</v>
      </c>
    </row>
    <row r="130" spans="1:10" x14ac:dyDescent="0.3">
      <c r="A130" s="92">
        <v>5025</v>
      </c>
      <c r="B130">
        <v>5025</v>
      </c>
      <c r="C130">
        <v>0</v>
      </c>
      <c r="D130">
        <v>0</v>
      </c>
      <c r="E130">
        <v>39</v>
      </c>
      <c r="F130">
        <v>0</v>
      </c>
      <c r="G130">
        <v>0</v>
      </c>
      <c r="H130">
        <v>0</v>
      </c>
      <c r="I130">
        <v>0</v>
      </c>
      <c r="J130" s="92">
        <v>39</v>
      </c>
    </row>
    <row r="131" spans="1:10" x14ac:dyDescent="0.3">
      <c r="A131" s="92">
        <v>5050</v>
      </c>
      <c r="B131">
        <v>5050</v>
      </c>
      <c r="C131">
        <v>0</v>
      </c>
      <c r="D131">
        <v>0</v>
      </c>
      <c r="E131">
        <v>23</v>
      </c>
      <c r="F131">
        <v>0</v>
      </c>
      <c r="G131">
        <v>0</v>
      </c>
      <c r="H131">
        <v>0</v>
      </c>
      <c r="I131">
        <v>0</v>
      </c>
      <c r="J131" s="92">
        <v>23</v>
      </c>
    </row>
    <row r="132" spans="1:10" x14ac:dyDescent="0.3">
      <c r="A132" s="92">
        <v>5075</v>
      </c>
      <c r="B132">
        <v>5075</v>
      </c>
      <c r="C132">
        <v>0</v>
      </c>
      <c r="D132">
        <v>0</v>
      </c>
      <c r="E132">
        <v>131</v>
      </c>
      <c r="F132">
        <v>0</v>
      </c>
      <c r="G132">
        <v>0</v>
      </c>
      <c r="H132">
        <v>0</v>
      </c>
      <c r="I132">
        <v>0</v>
      </c>
      <c r="J132" s="92">
        <v>131</v>
      </c>
    </row>
    <row r="133" spans="1:10" x14ac:dyDescent="0.3">
      <c r="A133" s="92">
        <v>5100</v>
      </c>
      <c r="B133">
        <v>5100</v>
      </c>
      <c r="C133">
        <v>0</v>
      </c>
      <c r="D133">
        <v>0</v>
      </c>
      <c r="E133">
        <v>69</v>
      </c>
      <c r="F133">
        <v>0</v>
      </c>
      <c r="G133">
        <v>0</v>
      </c>
      <c r="H133">
        <v>0</v>
      </c>
      <c r="I133">
        <v>0</v>
      </c>
      <c r="J133" s="92">
        <v>69</v>
      </c>
    </row>
    <row r="134" spans="1:10" x14ac:dyDescent="0.3">
      <c r="A134" s="92">
        <v>5125</v>
      </c>
      <c r="B134">
        <v>5125</v>
      </c>
      <c r="C134">
        <v>0</v>
      </c>
      <c r="D134">
        <v>0</v>
      </c>
      <c r="E134">
        <v>4</v>
      </c>
      <c r="F134">
        <v>0</v>
      </c>
      <c r="G134">
        <v>0</v>
      </c>
      <c r="H134">
        <v>0</v>
      </c>
      <c r="I134">
        <v>0</v>
      </c>
      <c r="J134" s="92">
        <v>4</v>
      </c>
    </row>
    <row r="135" spans="1:10" x14ac:dyDescent="0.3">
      <c r="A135" s="92">
        <v>5150</v>
      </c>
      <c r="B135">
        <v>5150</v>
      </c>
      <c r="C135">
        <v>0</v>
      </c>
      <c r="D135">
        <v>0</v>
      </c>
      <c r="E135">
        <v>7</v>
      </c>
      <c r="F135">
        <v>0</v>
      </c>
      <c r="G135">
        <v>0</v>
      </c>
      <c r="H135">
        <v>0</v>
      </c>
      <c r="I135">
        <v>0</v>
      </c>
      <c r="J135" s="92">
        <v>7</v>
      </c>
    </row>
    <row r="136" spans="1:10" x14ac:dyDescent="0.3">
      <c r="A136" s="92">
        <v>5175</v>
      </c>
      <c r="B136">
        <v>5175</v>
      </c>
      <c r="C136">
        <v>0</v>
      </c>
      <c r="D136">
        <v>0</v>
      </c>
      <c r="E136">
        <v>109</v>
      </c>
      <c r="F136">
        <v>0</v>
      </c>
      <c r="G136">
        <v>0</v>
      </c>
      <c r="H136">
        <v>0</v>
      </c>
      <c r="I136">
        <v>0</v>
      </c>
      <c r="J136" s="92">
        <v>109</v>
      </c>
    </row>
    <row r="137" spans="1:10" x14ac:dyDescent="0.3">
      <c r="A137" s="92">
        <v>5200</v>
      </c>
      <c r="B137">
        <v>5200</v>
      </c>
      <c r="C137">
        <v>0</v>
      </c>
      <c r="D137">
        <v>0</v>
      </c>
      <c r="E137">
        <v>6</v>
      </c>
      <c r="F137">
        <v>0</v>
      </c>
      <c r="G137">
        <v>0</v>
      </c>
      <c r="H137">
        <v>0</v>
      </c>
      <c r="I137">
        <v>0</v>
      </c>
      <c r="J137" s="92">
        <v>6</v>
      </c>
    </row>
    <row r="138" spans="1:10" x14ac:dyDescent="0.3">
      <c r="A138" s="92">
        <v>5300</v>
      </c>
      <c r="B138">
        <v>5300</v>
      </c>
      <c r="C138">
        <v>0</v>
      </c>
      <c r="D138">
        <v>0</v>
      </c>
      <c r="E138">
        <v>0</v>
      </c>
      <c r="F138">
        <v>0</v>
      </c>
      <c r="G138">
        <v>0</v>
      </c>
      <c r="H138">
        <v>0</v>
      </c>
      <c r="I138">
        <v>0</v>
      </c>
      <c r="J138" s="92">
        <v>0</v>
      </c>
    </row>
    <row r="139" spans="1:10" x14ac:dyDescent="0.3">
      <c r="A139" s="92">
        <v>5400</v>
      </c>
      <c r="B139">
        <v>5400</v>
      </c>
      <c r="C139">
        <v>0</v>
      </c>
      <c r="D139">
        <v>0</v>
      </c>
      <c r="E139">
        <v>0</v>
      </c>
      <c r="F139">
        <v>0</v>
      </c>
      <c r="G139">
        <v>0</v>
      </c>
      <c r="H139">
        <v>0</v>
      </c>
      <c r="I139">
        <v>0</v>
      </c>
      <c r="J139" s="92">
        <v>0</v>
      </c>
    </row>
    <row r="140" spans="1:10" x14ac:dyDescent="0.3">
      <c r="A140" s="92">
        <v>5500</v>
      </c>
      <c r="B140">
        <v>5500</v>
      </c>
      <c r="C140">
        <v>0</v>
      </c>
      <c r="D140">
        <v>0</v>
      </c>
      <c r="E140">
        <v>13</v>
      </c>
      <c r="F140">
        <v>0</v>
      </c>
      <c r="G140">
        <v>0</v>
      </c>
      <c r="H140">
        <v>0</v>
      </c>
      <c r="I140">
        <v>0</v>
      </c>
      <c r="J140" s="92">
        <v>13</v>
      </c>
    </row>
    <row r="141" spans="1:10" x14ac:dyDescent="0.3">
      <c r="A141" s="92">
        <v>5600</v>
      </c>
      <c r="B141">
        <v>5600</v>
      </c>
      <c r="C141">
        <v>0</v>
      </c>
      <c r="D141">
        <v>0</v>
      </c>
      <c r="E141">
        <v>84</v>
      </c>
      <c r="F141">
        <v>0</v>
      </c>
      <c r="G141">
        <v>0</v>
      </c>
      <c r="H141">
        <v>0</v>
      </c>
      <c r="I141">
        <v>0</v>
      </c>
      <c r="J141" s="92">
        <v>84</v>
      </c>
    </row>
    <row r="142" spans="1:10" x14ac:dyDescent="0.3">
      <c r="A142" s="92">
        <v>5700</v>
      </c>
      <c r="B142">
        <v>5700</v>
      </c>
      <c r="C142">
        <v>0</v>
      </c>
      <c r="D142">
        <v>0</v>
      </c>
      <c r="E142">
        <v>0</v>
      </c>
      <c r="F142">
        <v>0</v>
      </c>
      <c r="G142">
        <v>0</v>
      </c>
      <c r="H142">
        <v>0</v>
      </c>
      <c r="I142">
        <v>0</v>
      </c>
      <c r="J142" s="92">
        <v>0</v>
      </c>
    </row>
    <row r="143" spans="1:10" x14ac:dyDescent="0.3">
      <c r="A143" s="92">
        <v>5800</v>
      </c>
      <c r="B143">
        <v>5800</v>
      </c>
      <c r="C143">
        <v>0</v>
      </c>
      <c r="D143">
        <v>0</v>
      </c>
      <c r="E143">
        <v>0</v>
      </c>
      <c r="F143">
        <v>0</v>
      </c>
      <c r="G143">
        <v>0</v>
      </c>
      <c r="H143">
        <v>0</v>
      </c>
      <c r="I143">
        <v>0</v>
      </c>
      <c r="J143" s="92">
        <v>0</v>
      </c>
    </row>
    <row r="144" spans="1:10" x14ac:dyDescent="0.3">
      <c r="A144" s="92">
        <v>5900</v>
      </c>
      <c r="B144">
        <v>5900</v>
      </c>
      <c r="C144">
        <v>0</v>
      </c>
      <c r="D144">
        <v>0</v>
      </c>
      <c r="E144">
        <v>0</v>
      </c>
      <c r="F144">
        <v>0</v>
      </c>
      <c r="G144">
        <v>0</v>
      </c>
      <c r="H144">
        <v>0</v>
      </c>
      <c r="I144">
        <v>0</v>
      </c>
      <c r="J144" s="92">
        <v>0</v>
      </c>
    </row>
    <row r="145" spans="1:10" x14ac:dyDescent="0.3">
      <c r="A145" s="92">
        <v>6000</v>
      </c>
      <c r="B145">
        <v>6000</v>
      </c>
      <c r="C145">
        <v>0</v>
      </c>
      <c r="D145">
        <v>0</v>
      </c>
      <c r="E145">
        <v>0</v>
      </c>
      <c r="F145">
        <v>0</v>
      </c>
      <c r="G145">
        <v>0</v>
      </c>
      <c r="H145">
        <v>0</v>
      </c>
      <c r="I145">
        <v>0</v>
      </c>
      <c r="J145" s="92">
        <v>0</v>
      </c>
    </row>
    <row r="146" spans="1:10" x14ac:dyDescent="0.3">
      <c r="A146" s="92">
        <v>7000</v>
      </c>
      <c r="B146">
        <v>7000</v>
      </c>
      <c r="C146">
        <v>0</v>
      </c>
      <c r="D146">
        <v>0</v>
      </c>
      <c r="E146">
        <v>0</v>
      </c>
      <c r="F146">
        <v>0</v>
      </c>
      <c r="G146">
        <v>0</v>
      </c>
      <c r="H146">
        <v>0</v>
      </c>
      <c r="I146">
        <v>0</v>
      </c>
      <c r="J146" s="92">
        <v>0</v>
      </c>
    </row>
    <row r="147" spans="1:10" x14ac:dyDescent="0.3">
      <c r="A147" s="92">
        <v>8000</v>
      </c>
      <c r="B147">
        <v>8000</v>
      </c>
      <c r="C147">
        <v>0</v>
      </c>
      <c r="D147">
        <v>0</v>
      </c>
      <c r="E147">
        <v>0</v>
      </c>
      <c r="F147">
        <v>0</v>
      </c>
      <c r="G147">
        <v>0</v>
      </c>
      <c r="H147">
        <v>0</v>
      </c>
      <c r="I147">
        <v>0</v>
      </c>
      <c r="J147" s="92">
        <v>0</v>
      </c>
    </row>
    <row r="148" spans="1:10" x14ac:dyDescent="0.3">
      <c r="A148" s="92">
        <v>9000</v>
      </c>
      <c r="B148">
        <v>9000</v>
      </c>
      <c r="C148">
        <v>0</v>
      </c>
      <c r="D148">
        <v>0</v>
      </c>
      <c r="E148">
        <v>0</v>
      </c>
      <c r="F148">
        <v>0</v>
      </c>
      <c r="G148">
        <v>0</v>
      </c>
      <c r="H148">
        <v>0</v>
      </c>
      <c r="I148">
        <v>0</v>
      </c>
      <c r="J148" s="92">
        <v>0</v>
      </c>
    </row>
    <row r="149" spans="1:10" x14ac:dyDescent="0.3">
      <c r="A149" t="s">
        <v>266</v>
      </c>
      <c r="B149">
        <v>10000</v>
      </c>
      <c r="C149">
        <v>0</v>
      </c>
      <c r="D149">
        <v>0</v>
      </c>
      <c r="E149">
        <v>0</v>
      </c>
      <c r="F149">
        <v>0</v>
      </c>
      <c r="G149">
        <v>0</v>
      </c>
      <c r="H149">
        <v>0</v>
      </c>
      <c r="I149">
        <v>0</v>
      </c>
      <c r="J149">
        <v>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A80F6-1123-4051-89AA-9685E4736D48}">
  <sheetPr codeName="Tabelle11"/>
  <dimension ref="A1:J149"/>
  <sheetViews>
    <sheetView workbookViewId="0"/>
  </sheetViews>
  <sheetFormatPr baseColWidth="10" defaultColWidth="8.88671875" defaultRowHeight="14.4" x14ac:dyDescent="0.3"/>
  <sheetData>
    <row r="1" spans="1:10" x14ac:dyDescent="0.3">
      <c r="A1" s="138" t="s">
        <v>276</v>
      </c>
      <c r="B1" s="138" t="s">
        <v>275</v>
      </c>
      <c r="C1" s="138" t="s">
        <v>274</v>
      </c>
      <c r="D1" s="138" t="s">
        <v>273</v>
      </c>
      <c r="E1" s="138" t="s">
        <v>272</v>
      </c>
      <c r="F1" s="138" t="s">
        <v>271</v>
      </c>
      <c r="G1" s="138" t="s">
        <v>270</v>
      </c>
      <c r="H1" s="138" t="s">
        <v>269</v>
      </c>
      <c r="I1" s="138" t="s">
        <v>268</v>
      </c>
      <c r="J1" s="138" t="s">
        <v>267</v>
      </c>
    </row>
    <row r="2" spans="1:10" x14ac:dyDescent="0.3">
      <c r="A2" s="92">
        <v>1000</v>
      </c>
      <c r="B2">
        <v>1000</v>
      </c>
      <c r="C2">
        <v>0</v>
      </c>
      <c r="D2">
        <v>0</v>
      </c>
      <c r="E2">
        <v>0</v>
      </c>
      <c r="F2">
        <v>0</v>
      </c>
      <c r="G2">
        <v>0</v>
      </c>
      <c r="H2">
        <v>0</v>
      </c>
      <c r="I2">
        <v>0</v>
      </c>
      <c r="J2" s="92">
        <v>0</v>
      </c>
    </row>
    <row r="3" spans="1:10" x14ac:dyDescent="0.3">
      <c r="A3" s="92">
        <v>1100</v>
      </c>
      <c r="B3">
        <v>1100</v>
      </c>
      <c r="C3">
        <v>0</v>
      </c>
      <c r="D3">
        <v>0</v>
      </c>
      <c r="E3">
        <v>0</v>
      </c>
      <c r="F3">
        <v>0</v>
      </c>
      <c r="G3">
        <v>0</v>
      </c>
      <c r="H3">
        <v>0</v>
      </c>
      <c r="I3">
        <v>0</v>
      </c>
      <c r="J3" s="92">
        <v>0</v>
      </c>
    </row>
    <row r="4" spans="1:10" x14ac:dyDescent="0.3">
      <c r="A4" s="92">
        <v>1200</v>
      </c>
      <c r="B4">
        <v>1200</v>
      </c>
      <c r="C4">
        <v>0</v>
      </c>
      <c r="D4">
        <v>0</v>
      </c>
      <c r="E4">
        <v>0</v>
      </c>
      <c r="F4">
        <v>0</v>
      </c>
      <c r="G4">
        <v>0</v>
      </c>
      <c r="H4">
        <v>0</v>
      </c>
      <c r="I4">
        <v>0</v>
      </c>
      <c r="J4" s="92">
        <v>0</v>
      </c>
    </row>
    <row r="5" spans="1:10" x14ac:dyDescent="0.3">
      <c r="A5" s="92">
        <v>1300</v>
      </c>
      <c r="B5">
        <v>1300</v>
      </c>
      <c r="C5">
        <v>0</v>
      </c>
      <c r="D5">
        <v>0</v>
      </c>
      <c r="E5">
        <v>0</v>
      </c>
      <c r="F5">
        <v>0</v>
      </c>
      <c r="G5">
        <v>0</v>
      </c>
      <c r="H5">
        <v>0</v>
      </c>
      <c r="I5">
        <v>0</v>
      </c>
      <c r="J5" s="92">
        <v>0</v>
      </c>
    </row>
    <row r="6" spans="1:10" x14ac:dyDescent="0.3">
      <c r="A6" s="92">
        <v>1400</v>
      </c>
      <c r="B6">
        <v>1400</v>
      </c>
      <c r="C6">
        <v>0</v>
      </c>
      <c r="D6">
        <v>0</v>
      </c>
      <c r="E6">
        <v>0</v>
      </c>
      <c r="F6">
        <v>0</v>
      </c>
      <c r="G6">
        <v>0</v>
      </c>
      <c r="H6">
        <v>0</v>
      </c>
      <c r="I6">
        <v>0</v>
      </c>
      <c r="J6" s="92">
        <v>0</v>
      </c>
    </row>
    <row r="7" spans="1:10" x14ac:dyDescent="0.3">
      <c r="A7" s="92">
        <v>1500</v>
      </c>
      <c r="B7">
        <v>1500</v>
      </c>
      <c r="C7">
        <v>0</v>
      </c>
      <c r="D7">
        <v>0</v>
      </c>
      <c r="E7">
        <v>0</v>
      </c>
      <c r="F7">
        <v>0</v>
      </c>
      <c r="G7">
        <v>0</v>
      </c>
      <c r="H7">
        <v>0</v>
      </c>
      <c r="I7">
        <v>0</v>
      </c>
      <c r="J7" s="92">
        <v>0</v>
      </c>
    </row>
    <row r="8" spans="1:10" x14ac:dyDescent="0.3">
      <c r="A8" s="92">
        <v>1600</v>
      </c>
      <c r="B8">
        <v>1600</v>
      </c>
      <c r="C8">
        <v>0</v>
      </c>
      <c r="D8">
        <v>0</v>
      </c>
      <c r="E8">
        <v>0</v>
      </c>
      <c r="F8">
        <v>0</v>
      </c>
      <c r="G8">
        <v>0</v>
      </c>
      <c r="H8">
        <v>0</v>
      </c>
      <c r="I8">
        <v>0</v>
      </c>
      <c r="J8" s="92">
        <v>0</v>
      </c>
    </row>
    <row r="9" spans="1:10" x14ac:dyDescent="0.3">
      <c r="A9" s="92">
        <v>1700</v>
      </c>
      <c r="B9">
        <v>1700</v>
      </c>
      <c r="C9">
        <v>0</v>
      </c>
      <c r="D9">
        <v>0</v>
      </c>
      <c r="E9">
        <v>50</v>
      </c>
      <c r="F9">
        <v>0</v>
      </c>
      <c r="G9">
        <v>0</v>
      </c>
      <c r="H9">
        <v>0</v>
      </c>
      <c r="I9">
        <v>0</v>
      </c>
      <c r="J9" s="92">
        <v>50</v>
      </c>
    </row>
    <row r="10" spans="1:10" x14ac:dyDescent="0.3">
      <c r="A10" s="92">
        <v>1800</v>
      </c>
      <c r="B10">
        <v>1800</v>
      </c>
      <c r="C10">
        <v>0</v>
      </c>
      <c r="D10">
        <v>0</v>
      </c>
      <c r="E10">
        <v>375</v>
      </c>
      <c r="F10">
        <v>0</v>
      </c>
      <c r="G10">
        <v>0</v>
      </c>
      <c r="H10">
        <v>0</v>
      </c>
      <c r="I10">
        <v>0</v>
      </c>
      <c r="J10" s="92">
        <v>375</v>
      </c>
    </row>
    <row r="11" spans="1:10" x14ac:dyDescent="0.3">
      <c r="A11" s="92">
        <v>1850</v>
      </c>
      <c r="B11">
        <v>1850</v>
      </c>
      <c r="C11">
        <v>0</v>
      </c>
      <c r="D11">
        <v>0</v>
      </c>
      <c r="E11">
        <v>115</v>
      </c>
      <c r="F11">
        <v>0</v>
      </c>
      <c r="G11">
        <v>0</v>
      </c>
      <c r="H11">
        <v>0</v>
      </c>
      <c r="I11">
        <v>0</v>
      </c>
      <c r="J11" s="92">
        <v>115</v>
      </c>
    </row>
    <row r="12" spans="1:10" x14ac:dyDescent="0.3">
      <c r="A12" s="92">
        <v>1900</v>
      </c>
      <c r="B12">
        <v>1900</v>
      </c>
      <c r="C12">
        <v>0</v>
      </c>
      <c r="D12">
        <v>0</v>
      </c>
      <c r="E12">
        <v>204</v>
      </c>
      <c r="F12">
        <v>0</v>
      </c>
      <c r="G12">
        <v>0</v>
      </c>
      <c r="H12">
        <v>0</v>
      </c>
      <c r="I12">
        <v>0</v>
      </c>
      <c r="J12" s="92">
        <v>204</v>
      </c>
    </row>
    <row r="13" spans="1:10" x14ac:dyDescent="0.3">
      <c r="A13" s="92">
        <v>1950</v>
      </c>
      <c r="B13">
        <v>1950</v>
      </c>
      <c r="C13">
        <v>0</v>
      </c>
      <c r="D13">
        <v>0</v>
      </c>
      <c r="E13">
        <v>400</v>
      </c>
      <c r="F13">
        <v>0</v>
      </c>
      <c r="G13">
        <v>0</v>
      </c>
      <c r="H13">
        <v>0</v>
      </c>
      <c r="I13">
        <v>0</v>
      </c>
      <c r="J13" s="92">
        <v>400</v>
      </c>
    </row>
    <row r="14" spans="1:10" x14ac:dyDescent="0.3">
      <c r="A14" s="92">
        <v>2000</v>
      </c>
      <c r="B14">
        <v>2000</v>
      </c>
      <c r="C14">
        <v>0</v>
      </c>
      <c r="D14">
        <v>0</v>
      </c>
      <c r="E14">
        <v>107</v>
      </c>
      <c r="F14">
        <v>0</v>
      </c>
      <c r="G14">
        <v>0</v>
      </c>
      <c r="H14">
        <v>0</v>
      </c>
      <c r="I14">
        <v>0</v>
      </c>
      <c r="J14" s="92">
        <v>107</v>
      </c>
    </row>
    <row r="15" spans="1:10" x14ac:dyDescent="0.3">
      <c r="A15" s="92">
        <v>2050</v>
      </c>
      <c r="B15">
        <v>2050</v>
      </c>
      <c r="C15">
        <v>0</v>
      </c>
      <c r="D15">
        <v>0</v>
      </c>
      <c r="E15">
        <v>224</v>
      </c>
      <c r="F15">
        <v>0</v>
      </c>
      <c r="G15">
        <v>0</v>
      </c>
      <c r="H15">
        <v>0</v>
      </c>
      <c r="I15">
        <v>0</v>
      </c>
      <c r="J15" s="92">
        <v>224</v>
      </c>
    </row>
    <row r="16" spans="1:10" x14ac:dyDescent="0.3">
      <c r="A16" s="92">
        <v>2100</v>
      </c>
      <c r="B16">
        <v>2100</v>
      </c>
      <c r="C16">
        <v>0</v>
      </c>
      <c r="D16">
        <v>0</v>
      </c>
      <c r="E16">
        <v>8</v>
      </c>
      <c r="F16">
        <v>0</v>
      </c>
      <c r="G16">
        <v>0</v>
      </c>
      <c r="H16">
        <v>0</v>
      </c>
      <c r="I16">
        <v>0</v>
      </c>
      <c r="J16" s="92">
        <v>8</v>
      </c>
    </row>
    <row r="17" spans="1:10" x14ac:dyDescent="0.3">
      <c r="A17" s="92">
        <v>2150</v>
      </c>
      <c r="B17">
        <v>2150</v>
      </c>
      <c r="C17">
        <v>0</v>
      </c>
      <c r="D17">
        <v>0</v>
      </c>
      <c r="E17">
        <v>56</v>
      </c>
      <c r="F17">
        <v>0</v>
      </c>
      <c r="G17">
        <v>0</v>
      </c>
      <c r="H17">
        <v>0</v>
      </c>
      <c r="I17">
        <v>0</v>
      </c>
      <c r="J17" s="92">
        <v>56</v>
      </c>
    </row>
    <row r="18" spans="1:10" x14ac:dyDescent="0.3">
      <c r="A18" s="92">
        <v>2200</v>
      </c>
      <c r="B18">
        <v>2200</v>
      </c>
      <c r="C18">
        <v>0</v>
      </c>
      <c r="D18">
        <v>0</v>
      </c>
      <c r="E18">
        <v>11</v>
      </c>
      <c r="F18">
        <v>0</v>
      </c>
      <c r="G18">
        <v>0</v>
      </c>
      <c r="H18">
        <v>0</v>
      </c>
      <c r="I18">
        <v>0</v>
      </c>
      <c r="J18" s="92">
        <v>11</v>
      </c>
    </row>
    <row r="19" spans="1:10" x14ac:dyDescent="0.3">
      <c r="A19" s="92">
        <v>2250</v>
      </c>
      <c r="B19">
        <v>2250</v>
      </c>
      <c r="C19">
        <v>0</v>
      </c>
      <c r="D19">
        <v>0</v>
      </c>
      <c r="E19">
        <v>102</v>
      </c>
      <c r="F19">
        <v>0</v>
      </c>
      <c r="G19">
        <v>0</v>
      </c>
      <c r="H19">
        <v>0</v>
      </c>
      <c r="I19">
        <v>0</v>
      </c>
      <c r="J19" s="92">
        <v>102</v>
      </c>
    </row>
    <row r="20" spans="1:10" x14ac:dyDescent="0.3">
      <c r="A20" s="92">
        <v>2275</v>
      </c>
      <c r="B20">
        <v>2275</v>
      </c>
      <c r="C20">
        <v>0</v>
      </c>
      <c r="D20">
        <v>0</v>
      </c>
      <c r="E20">
        <v>0</v>
      </c>
      <c r="F20">
        <v>0</v>
      </c>
      <c r="G20">
        <v>0</v>
      </c>
      <c r="H20">
        <v>0</v>
      </c>
      <c r="I20">
        <v>0</v>
      </c>
      <c r="J20" s="92">
        <v>0</v>
      </c>
    </row>
    <row r="21" spans="1:10" x14ac:dyDescent="0.3">
      <c r="A21" s="92">
        <v>2300</v>
      </c>
      <c r="B21">
        <v>2300</v>
      </c>
      <c r="C21">
        <v>0</v>
      </c>
      <c r="D21">
        <v>0</v>
      </c>
      <c r="E21">
        <v>22</v>
      </c>
      <c r="F21">
        <v>0</v>
      </c>
      <c r="G21">
        <v>0</v>
      </c>
      <c r="H21">
        <v>0</v>
      </c>
      <c r="I21">
        <v>0</v>
      </c>
      <c r="J21" s="92">
        <v>22</v>
      </c>
    </row>
    <row r="22" spans="1:10" x14ac:dyDescent="0.3">
      <c r="A22" s="92">
        <v>2325</v>
      </c>
      <c r="B22">
        <v>2325</v>
      </c>
      <c r="C22">
        <v>0</v>
      </c>
      <c r="D22">
        <v>0</v>
      </c>
      <c r="E22">
        <v>4</v>
      </c>
      <c r="F22">
        <v>0</v>
      </c>
      <c r="G22">
        <v>0</v>
      </c>
      <c r="H22">
        <v>0</v>
      </c>
      <c r="I22">
        <v>0</v>
      </c>
      <c r="J22" s="92">
        <v>4</v>
      </c>
    </row>
    <row r="23" spans="1:10" x14ac:dyDescent="0.3">
      <c r="A23" s="92">
        <v>2350</v>
      </c>
      <c r="B23">
        <v>2350</v>
      </c>
      <c r="C23">
        <v>0</v>
      </c>
      <c r="D23">
        <v>0</v>
      </c>
      <c r="E23">
        <v>1850</v>
      </c>
      <c r="F23">
        <v>0</v>
      </c>
      <c r="G23">
        <v>0</v>
      </c>
      <c r="H23">
        <v>0</v>
      </c>
      <c r="I23">
        <v>0</v>
      </c>
      <c r="J23" s="92">
        <v>1850</v>
      </c>
    </row>
    <row r="24" spans="1:10" x14ac:dyDescent="0.3">
      <c r="A24" s="92">
        <v>2375</v>
      </c>
      <c r="B24">
        <v>2375</v>
      </c>
      <c r="C24">
        <v>0</v>
      </c>
      <c r="D24">
        <v>0</v>
      </c>
      <c r="E24">
        <v>286</v>
      </c>
      <c r="F24">
        <v>0</v>
      </c>
      <c r="G24">
        <v>0</v>
      </c>
      <c r="H24">
        <v>0</v>
      </c>
      <c r="I24">
        <v>0</v>
      </c>
      <c r="J24" s="92">
        <v>286</v>
      </c>
    </row>
    <row r="25" spans="1:10" x14ac:dyDescent="0.3">
      <c r="A25" s="92">
        <v>2400</v>
      </c>
      <c r="B25">
        <v>2400</v>
      </c>
      <c r="C25">
        <v>0</v>
      </c>
      <c r="D25">
        <v>0</v>
      </c>
      <c r="E25">
        <v>7040</v>
      </c>
      <c r="F25">
        <v>0</v>
      </c>
      <c r="G25">
        <v>0</v>
      </c>
      <c r="H25">
        <v>0</v>
      </c>
      <c r="I25">
        <v>0</v>
      </c>
      <c r="J25" s="92">
        <v>7040</v>
      </c>
    </row>
    <row r="26" spans="1:10" x14ac:dyDescent="0.3">
      <c r="A26" s="92">
        <v>2425</v>
      </c>
      <c r="B26">
        <v>2425</v>
      </c>
      <c r="C26">
        <v>0</v>
      </c>
      <c r="D26">
        <v>0</v>
      </c>
      <c r="E26">
        <v>100</v>
      </c>
      <c r="F26">
        <v>0</v>
      </c>
      <c r="G26">
        <v>0</v>
      </c>
      <c r="H26">
        <v>0</v>
      </c>
      <c r="I26">
        <v>0</v>
      </c>
      <c r="J26" s="92">
        <v>100</v>
      </c>
    </row>
    <row r="27" spans="1:10" x14ac:dyDescent="0.3">
      <c r="A27" s="92">
        <v>2450</v>
      </c>
      <c r="B27">
        <v>2450</v>
      </c>
      <c r="C27">
        <v>0</v>
      </c>
      <c r="D27">
        <v>0</v>
      </c>
      <c r="E27">
        <v>625</v>
      </c>
      <c r="F27">
        <v>0</v>
      </c>
      <c r="G27">
        <v>0</v>
      </c>
      <c r="H27">
        <v>0</v>
      </c>
      <c r="I27">
        <v>0</v>
      </c>
      <c r="J27" s="92">
        <v>625</v>
      </c>
    </row>
    <row r="28" spans="1:10" x14ac:dyDescent="0.3">
      <c r="A28" s="92">
        <v>2475</v>
      </c>
      <c r="B28">
        <v>2475</v>
      </c>
      <c r="C28">
        <v>0</v>
      </c>
      <c r="D28">
        <v>0</v>
      </c>
      <c r="E28">
        <v>100</v>
      </c>
      <c r="F28">
        <v>0</v>
      </c>
      <c r="G28">
        <v>0</v>
      </c>
      <c r="H28">
        <v>0</v>
      </c>
      <c r="I28">
        <v>0</v>
      </c>
      <c r="J28" s="92">
        <v>100</v>
      </c>
    </row>
    <row r="29" spans="1:10" x14ac:dyDescent="0.3">
      <c r="A29" s="92">
        <v>2500</v>
      </c>
      <c r="B29">
        <v>2500</v>
      </c>
      <c r="C29">
        <v>0</v>
      </c>
      <c r="D29">
        <v>0</v>
      </c>
      <c r="E29">
        <v>1898</v>
      </c>
      <c r="F29">
        <v>0</v>
      </c>
      <c r="G29">
        <v>0</v>
      </c>
      <c r="H29">
        <v>0</v>
      </c>
      <c r="I29">
        <v>0</v>
      </c>
      <c r="J29" s="92">
        <v>1898</v>
      </c>
    </row>
    <row r="30" spans="1:10" x14ac:dyDescent="0.3">
      <c r="A30" s="92">
        <v>2525</v>
      </c>
      <c r="B30">
        <v>2525</v>
      </c>
      <c r="C30">
        <v>0</v>
      </c>
      <c r="D30">
        <v>0</v>
      </c>
      <c r="E30">
        <v>7</v>
      </c>
      <c r="F30">
        <v>0</v>
      </c>
      <c r="G30">
        <v>0</v>
      </c>
      <c r="H30">
        <v>0</v>
      </c>
      <c r="I30">
        <v>0</v>
      </c>
      <c r="J30" s="92">
        <v>7</v>
      </c>
    </row>
    <row r="31" spans="1:10" x14ac:dyDescent="0.3">
      <c r="A31" s="92">
        <v>2550</v>
      </c>
      <c r="B31">
        <v>2550</v>
      </c>
      <c r="C31">
        <v>0</v>
      </c>
      <c r="D31">
        <v>0</v>
      </c>
      <c r="E31">
        <v>251</v>
      </c>
      <c r="F31">
        <v>0</v>
      </c>
      <c r="G31">
        <v>0</v>
      </c>
      <c r="H31">
        <v>0</v>
      </c>
      <c r="I31">
        <v>0</v>
      </c>
      <c r="J31" s="92">
        <v>251</v>
      </c>
    </row>
    <row r="32" spans="1:10" x14ac:dyDescent="0.3">
      <c r="A32" s="92">
        <v>2575</v>
      </c>
      <c r="B32">
        <v>2575</v>
      </c>
      <c r="C32">
        <v>0</v>
      </c>
      <c r="D32">
        <v>0</v>
      </c>
      <c r="E32">
        <v>320</v>
      </c>
      <c r="F32">
        <v>0</v>
      </c>
      <c r="G32">
        <v>0</v>
      </c>
      <c r="H32">
        <v>0</v>
      </c>
      <c r="I32">
        <v>0</v>
      </c>
      <c r="J32" s="92">
        <v>320</v>
      </c>
    </row>
    <row r="33" spans="1:10" x14ac:dyDescent="0.3">
      <c r="A33" s="92">
        <v>2600</v>
      </c>
      <c r="B33">
        <v>2600</v>
      </c>
      <c r="C33">
        <v>0</v>
      </c>
      <c r="D33">
        <v>0</v>
      </c>
      <c r="E33">
        <v>2491</v>
      </c>
      <c r="F33">
        <v>0</v>
      </c>
      <c r="G33">
        <v>0</v>
      </c>
      <c r="H33">
        <v>0</v>
      </c>
      <c r="I33">
        <v>0</v>
      </c>
      <c r="J33" s="92">
        <v>2491</v>
      </c>
    </row>
    <row r="34" spans="1:10" x14ac:dyDescent="0.3">
      <c r="A34" s="92">
        <v>2625</v>
      </c>
      <c r="B34">
        <v>2625</v>
      </c>
      <c r="C34">
        <v>0</v>
      </c>
      <c r="D34">
        <v>0</v>
      </c>
      <c r="E34">
        <v>553</v>
      </c>
      <c r="F34">
        <v>0</v>
      </c>
      <c r="G34">
        <v>0</v>
      </c>
      <c r="H34">
        <v>0</v>
      </c>
      <c r="I34">
        <v>0</v>
      </c>
      <c r="J34" s="92">
        <v>553</v>
      </c>
    </row>
    <row r="35" spans="1:10" x14ac:dyDescent="0.3">
      <c r="A35" s="92">
        <v>2650</v>
      </c>
      <c r="B35">
        <v>2650</v>
      </c>
      <c r="C35">
        <v>0</v>
      </c>
      <c r="D35">
        <v>0</v>
      </c>
      <c r="E35">
        <v>516</v>
      </c>
      <c r="F35">
        <v>0</v>
      </c>
      <c r="G35">
        <v>0</v>
      </c>
      <c r="H35">
        <v>0</v>
      </c>
      <c r="I35">
        <v>0</v>
      </c>
      <c r="J35" s="92">
        <v>516</v>
      </c>
    </row>
    <row r="36" spans="1:10" x14ac:dyDescent="0.3">
      <c r="A36" s="92">
        <v>2675</v>
      </c>
      <c r="B36">
        <v>2675</v>
      </c>
      <c r="C36">
        <v>0</v>
      </c>
      <c r="D36">
        <v>100</v>
      </c>
      <c r="E36">
        <v>845</v>
      </c>
      <c r="F36">
        <v>0.5</v>
      </c>
      <c r="G36">
        <v>0.5</v>
      </c>
      <c r="H36">
        <v>0.5</v>
      </c>
      <c r="I36">
        <v>0.5</v>
      </c>
      <c r="J36" s="92">
        <v>845</v>
      </c>
    </row>
    <row r="37" spans="1:10" x14ac:dyDescent="0.3">
      <c r="A37" s="92">
        <v>2700</v>
      </c>
      <c r="B37">
        <v>2700</v>
      </c>
      <c r="C37">
        <v>0</v>
      </c>
      <c r="D37">
        <v>4</v>
      </c>
      <c r="E37">
        <v>2343</v>
      </c>
      <c r="F37">
        <v>0.4</v>
      </c>
      <c r="G37">
        <v>0.4</v>
      </c>
      <c r="H37">
        <v>0.4</v>
      </c>
      <c r="I37">
        <v>0.4</v>
      </c>
      <c r="J37" s="92">
        <v>2343</v>
      </c>
    </row>
    <row r="38" spans="1:10" x14ac:dyDescent="0.3">
      <c r="A38" s="92">
        <v>2725</v>
      </c>
      <c r="B38">
        <v>2725</v>
      </c>
      <c r="C38">
        <v>0</v>
      </c>
      <c r="D38">
        <v>0</v>
      </c>
      <c r="E38">
        <v>618</v>
      </c>
      <c r="F38">
        <v>0</v>
      </c>
      <c r="G38">
        <v>0</v>
      </c>
      <c r="H38">
        <v>0</v>
      </c>
      <c r="I38">
        <v>0</v>
      </c>
      <c r="J38" s="92">
        <v>618</v>
      </c>
    </row>
    <row r="39" spans="1:10" x14ac:dyDescent="0.3">
      <c r="A39" s="92">
        <v>2750</v>
      </c>
      <c r="B39">
        <v>2750</v>
      </c>
      <c r="C39">
        <v>0</v>
      </c>
      <c r="D39">
        <v>50</v>
      </c>
      <c r="E39">
        <v>1740</v>
      </c>
      <c r="F39">
        <v>0.5</v>
      </c>
      <c r="G39">
        <v>0.5</v>
      </c>
      <c r="H39">
        <v>0.5</v>
      </c>
      <c r="I39">
        <v>0.5</v>
      </c>
      <c r="J39" s="92">
        <v>1740</v>
      </c>
    </row>
    <row r="40" spans="1:10" x14ac:dyDescent="0.3">
      <c r="A40" s="92">
        <v>2775</v>
      </c>
      <c r="B40">
        <v>2775</v>
      </c>
      <c r="C40">
        <v>0</v>
      </c>
      <c r="D40">
        <v>0</v>
      </c>
      <c r="E40">
        <v>850</v>
      </c>
      <c r="F40">
        <v>0</v>
      </c>
      <c r="G40">
        <v>0</v>
      </c>
      <c r="H40">
        <v>0</v>
      </c>
      <c r="I40">
        <v>0</v>
      </c>
      <c r="J40" s="92">
        <v>850</v>
      </c>
    </row>
    <row r="41" spans="1:10" x14ac:dyDescent="0.3">
      <c r="A41" s="92">
        <v>2800</v>
      </c>
      <c r="B41">
        <v>2800</v>
      </c>
      <c r="C41">
        <v>0</v>
      </c>
      <c r="D41">
        <v>0</v>
      </c>
      <c r="E41">
        <v>5869</v>
      </c>
      <c r="F41">
        <v>0</v>
      </c>
      <c r="G41">
        <v>0</v>
      </c>
      <c r="H41">
        <v>0</v>
      </c>
      <c r="I41">
        <v>0</v>
      </c>
      <c r="J41" s="92">
        <v>5869</v>
      </c>
    </row>
    <row r="42" spans="1:10" x14ac:dyDescent="0.3">
      <c r="A42" s="92">
        <v>2825</v>
      </c>
      <c r="B42">
        <v>2825</v>
      </c>
      <c r="C42">
        <v>0</v>
      </c>
      <c r="D42">
        <v>0</v>
      </c>
      <c r="E42">
        <v>1303</v>
      </c>
      <c r="F42">
        <v>0</v>
      </c>
      <c r="G42">
        <v>0</v>
      </c>
      <c r="H42">
        <v>0</v>
      </c>
      <c r="I42">
        <v>0</v>
      </c>
      <c r="J42" s="92">
        <v>1303</v>
      </c>
    </row>
    <row r="43" spans="1:10" x14ac:dyDescent="0.3">
      <c r="A43" s="92">
        <v>2850</v>
      </c>
      <c r="B43">
        <v>2850</v>
      </c>
      <c r="C43">
        <v>0</v>
      </c>
      <c r="D43">
        <v>466</v>
      </c>
      <c r="E43">
        <v>647</v>
      </c>
      <c r="F43">
        <v>0.8</v>
      </c>
      <c r="G43">
        <v>0.8</v>
      </c>
      <c r="H43">
        <v>0.8</v>
      </c>
      <c r="I43">
        <v>0.8</v>
      </c>
      <c r="J43" s="92">
        <v>647</v>
      </c>
    </row>
    <row r="44" spans="1:10" x14ac:dyDescent="0.3">
      <c r="A44" s="92">
        <v>2875</v>
      </c>
      <c r="B44">
        <v>2875</v>
      </c>
      <c r="C44">
        <v>0</v>
      </c>
      <c r="D44">
        <v>0</v>
      </c>
      <c r="E44">
        <v>52</v>
      </c>
      <c r="F44">
        <v>0</v>
      </c>
      <c r="G44">
        <v>0</v>
      </c>
      <c r="H44">
        <v>0</v>
      </c>
      <c r="I44">
        <v>0</v>
      </c>
      <c r="J44" s="92">
        <v>52</v>
      </c>
    </row>
    <row r="45" spans="1:10" x14ac:dyDescent="0.3">
      <c r="A45" s="92">
        <v>2900</v>
      </c>
      <c r="B45">
        <v>2900</v>
      </c>
      <c r="C45">
        <v>0</v>
      </c>
      <c r="D45">
        <v>0</v>
      </c>
      <c r="E45">
        <v>3954</v>
      </c>
      <c r="F45">
        <v>0</v>
      </c>
      <c r="G45">
        <v>0</v>
      </c>
      <c r="H45">
        <v>0</v>
      </c>
      <c r="I45">
        <v>0</v>
      </c>
      <c r="J45" s="92">
        <v>3954</v>
      </c>
    </row>
    <row r="46" spans="1:10" x14ac:dyDescent="0.3">
      <c r="A46" s="92">
        <v>2925</v>
      </c>
      <c r="B46">
        <v>2925</v>
      </c>
      <c r="C46">
        <v>0</v>
      </c>
      <c r="D46">
        <v>0</v>
      </c>
      <c r="E46">
        <v>73</v>
      </c>
      <c r="F46">
        <v>0</v>
      </c>
      <c r="G46">
        <v>0</v>
      </c>
      <c r="H46">
        <v>0</v>
      </c>
      <c r="I46">
        <v>0</v>
      </c>
      <c r="J46" s="92">
        <v>73</v>
      </c>
    </row>
    <row r="47" spans="1:10" x14ac:dyDescent="0.3">
      <c r="A47" s="92">
        <v>2950</v>
      </c>
      <c r="B47">
        <v>2950</v>
      </c>
      <c r="C47">
        <v>0</v>
      </c>
      <c r="D47">
        <v>0</v>
      </c>
      <c r="E47">
        <v>723</v>
      </c>
      <c r="F47">
        <v>0</v>
      </c>
      <c r="G47">
        <v>0</v>
      </c>
      <c r="H47">
        <v>0</v>
      </c>
      <c r="I47">
        <v>0</v>
      </c>
      <c r="J47" s="92">
        <v>723</v>
      </c>
    </row>
    <row r="48" spans="1:10" x14ac:dyDescent="0.3">
      <c r="A48" s="92">
        <v>2975</v>
      </c>
      <c r="B48">
        <v>2975</v>
      </c>
      <c r="C48">
        <v>0</v>
      </c>
      <c r="D48">
        <v>0</v>
      </c>
      <c r="E48">
        <v>216</v>
      </c>
      <c r="F48">
        <v>0</v>
      </c>
      <c r="G48">
        <v>0</v>
      </c>
      <c r="H48">
        <v>0</v>
      </c>
      <c r="I48">
        <v>0</v>
      </c>
      <c r="J48" s="92">
        <v>216</v>
      </c>
    </row>
    <row r="49" spans="1:10" x14ac:dyDescent="0.3">
      <c r="A49" s="92">
        <v>3000</v>
      </c>
      <c r="B49">
        <v>3000</v>
      </c>
      <c r="C49">
        <v>0</v>
      </c>
      <c r="D49">
        <v>510</v>
      </c>
      <c r="E49">
        <v>10953</v>
      </c>
      <c r="F49">
        <v>1.1000000000000001</v>
      </c>
      <c r="G49">
        <v>1.1000000000000001</v>
      </c>
      <c r="H49">
        <v>1</v>
      </c>
      <c r="I49">
        <v>1</v>
      </c>
      <c r="J49" s="92">
        <v>10953</v>
      </c>
    </row>
    <row r="50" spans="1:10" x14ac:dyDescent="0.3">
      <c r="A50" s="92">
        <v>3025</v>
      </c>
      <c r="B50">
        <v>3025</v>
      </c>
      <c r="C50">
        <v>0</v>
      </c>
      <c r="D50">
        <v>0</v>
      </c>
      <c r="E50">
        <v>1074</v>
      </c>
      <c r="F50">
        <v>0</v>
      </c>
      <c r="G50">
        <v>0</v>
      </c>
      <c r="H50">
        <v>0</v>
      </c>
      <c r="I50">
        <v>0</v>
      </c>
      <c r="J50" s="92">
        <v>1074</v>
      </c>
    </row>
    <row r="51" spans="1:10" x14ac:dyDescent="0.3">
      <c r="A51" s="92">
        <v>3050</v>
      </c>
      <c r="B51">
        <v>3050</v>
      </c>
      <c r="C51">
        <v>0</v>
      </c>
      <c r="D51">
        <v>0</v>
      </c>
      <c r="E51">
        <v>738</v>
      </c>
      <c r="F51">
        <v>0</v>
      </c>
      <c r="G51">
        <v>0</v>
      </c>
      <c r="H51">
        <v>0</v>
      </c>
      <c r="I51">
        <v>0</v>
      </c>
      <c r="J51" s="92">
        <v>738</v>
      </c>
    </row>
    <row r="52" spans="1:10" x14ac:dyDescent="0.3">
      <c r="A52" s="92">
        <v>3075</v>
      </c>
      <c r="B52">
        <v>3075</v>
      </c>
      <c r="C52">
        <v>0</v>
      </c>
      <c r="D52">
        <v>0</v>
      </c>
      <c r="E52">
        <v>1155</v>
      </c>
      <c r="F52">
        <v>0</v>
      </c>
      <c r="G52">
        <v>0</v>
      </c>
      <c r="H52">
        <v>0</v>
      </c>
      <c r="I52">
        <v>0</v>
      </c>
      <c r="J52" s="92">
        <v>1155</v>
      </c>
    </row>
    <row r="53" spans="1:10" x14ac:dyDescent="0.3">
      <c r="A53" s="92">
        <v>3100</v>
      </c>
      <c r="B53">
        <v>3100</v>
      </c>
      <c r="C53">
        <v>0</v>
      </c>
      <c r="D53">
        <v>0</v>
      </c>
      <c r="E53">
        <v>7948</v>
      </c>
      <c r="F53">
        <v>0</v>
      </c>
      <c r="G53">
        <v>0</v>
      </c>
      <c r="H53">
        <v>0</v>
      </c>
      <c r="I53">
        <v>0</v>
      </c>
      <c r="J53" s="92">
        <v>7948</v>
      </c>
    </row>
    <row r="54" spans="1:10" x14ac:dyDescent="0.3">
      <c r="A54" s="92">
        <v>3125</v>
      </c>
      <c r="B54">
        <v>3125</v>
      </c>
      <c r="C54">
        <v>0</v>
      </c>
      <c r="D54">
        <v>0</v>
      </c>
      <c r="E54">
        <v>513</v>
      </c>
      <c r="F54">
        <v>0</v>
      </c>
      <c r="G54">
        <v>0</v>
      </c>
      <c r="H54">
        <v>0</v>
      </c>
      <c r="I54">
        <v>0</v>
      </c>
      <c r="J54" s="92">
        <v>513</v>
      </c>
    </row>
    <row r="55" spans="1:10" x14ac:dyDescent="0.3">
      <c r="A55" s="92">
        <v>3150</v>
      </c>
      <c r="B55">
        <v>3150</v>
      </c>
      <c r="C55">
        <v>0</v>
      </c>
      <c r="D55">
        <v>0</v>
      </c>
      <c r="E55">
        <v>4732</v>
      </c>
      <c r="F55">
        <v>0</v>
      </c>
      <c r="G55">
        <v>0</v>
      </c>
      <c r="H55">
        <v>0</v>
      </c>
      <c r="I55">
        <v>0</v>
      </c>
      <c r="J55" s="92">
        <v>4732</v>
      </c>
    </row>
    <row r="56" spans="1:10" x14ac:dyDescent="0.3">
      <c r="A56" s="92">
        <v>3175</v>
      </c>
      <c r="B56">
        <v>3175</v>
      </c>
      <c r="C56">
        <v>0</v>
      </c>
      <c r="D56">
        <v>0</v>
      </c>
      <c r="E56">
        <v>346</v>
      </c>
      <c r="F56">
        <v>0</v>
      </c>
      <c r="G56">
        <v>0</v>
      </c>
      <c r="H56">
        <v>0</v>
      </c>
      <c r="I56">
        <v>0</v>
      </c>
      <c r="J56" s="92">
        <v>346</v>
      </c>
    </row>
    <row r="57" spans="1:10" x14ac:dyDescent="0.3">
      <c r="A57" s="92">
        <v>3200</v>
      </c>
      <c r="B57">
        <v>3200</v>
      </c>
      <c r="C57">
        <v>0</v>
      </c>
      <c r="D57">
        <v>5121</v>
      </c>
      <c r="E57">
        <v>7901</v>
      </c>
      <c r="F57">
        <v>2.2000000000000002</v>
      </c>
      <c r="G57">
        <v>2.2000000000000002</v>
      </c>
      <c r="H57">
        <v>2</v>
      </c>
      <c r="I57">
        <v>2.2000000000000002</v>
      </c>
      <c r="J57" s="92">
        <v>7901</v>
      </c>
    </row>
    <row r="58" spans="1:10" x14ac:dyDescent="0.3">
      <c r="A58" s="92">
        <v>3225</v>
      </c>
      <c r="B58">
        <v>3225</v>
      </c>
      <c r="C58">
        <v>0</v>
      </c>
      <c r="D58">
        <v>0</v>
      </c>
      <c r="E58">
        <v>751</v>
      </c>
      <c r="F58">
        <v>0</v>
      </c>
      <c r="G58">
        <v>0</v>
      </c>
      <c r="H58">
        <v>0</v>
      </c>
      <c r="I58">
        <v>0</v>
      </c>
      <c r="J58" s="92">
        <v>751</v>
      </c>
    </row>
    <row r="59" spans="1:10" x14ac:dyDescent="0.3">
      <c r="A59" s="92">
        <v>3250</v>
      </c>
      <c r="B59">
        <v>3250</v>
      </c>
      <c r="C59">
        <v>0</v>
      </c>
      <c r="D59">
        <v>600</v>
      </c>
      <c r="E59">
        <v>3012</v>
      </c>
      <c r="F59">
        <v>2.4</v>
      </c>
      <c r="G59">
        <v>2.4</v>
      </c>
      <c r="H59">
        <v>2.4</v>
      </c>
      <c r="I59">
        <v>2.4</v>
      </c>
      <c r="J59" s="92">
        <v>3012</v>
      </c>
    </row>
    <row r="60" spans="1:10" x14ac:dyDescent="0.3">
      <c r="A60" s="92">
        <v>3275</v>
      </c>
      <c r="B60">
        <v>3275</v>
      </c>
      <c r="C60">
        <v>0</v>
      </c>
      <c r="D60">
        <v>0</v>
      </c>
      <c r="E60">
        <v>798</v>
      </c>
      <c r="F60">
        <v>0</v>
      </c>
      <c r="G60">
        <v>0</v>
      </c>
      <c r="H60">
        <v>0</v>
      </c>
      <c r="I60">
        <v>0</v>
      </c>
      <c r="J60" s="92">
        <v>798</v>
      </c>
    </row>
    <row r="61" spans="1:10" x14ac:dyDescent="0.3">
      <c r="A61" s="92">
        <v>3300</v>
      </c>
      <c r="B61">
        <v>3300</v>
      </c>
      <c r="C61">
        <v>0</v>
      </c>
      <c r="D61">
        <v>153</v>
      </c>
      <c r="E61">
        <v>22203</v>
      </c>
      <c r="F61">
        <v>3.1</v>
      </c>
      <c r="G61">
        <v>3.1</v>
      </c>
      <c r="H61">
        <v>3.1</v>
      </c>
      <c r="I61">
        <v>3.1</v>
      </c>
      <c r="J61" s="92">
        <v>22203</v>
      </c>
    </row>
    <row r="62" spans="1:10" x14ac:dyDescent="0.3">
      <c r="A62" s="92">
        <v>3325</v>
      </c>
      <c r="B62">
        <v>3325</v>
      </c>
      <c r="C62">
        <v>0</v>
      </c>
      <c r="D62">
        <v>0</v>
      </c>
      <c r="E62">
        <v>628</v>
      </c>
      <c r="F62">
        <v>0</v>
      </c>
      <c r="G62">
        <v>0</v>
      </c>
      <c r="H62">
        <v>0</v>
      </c>
      <c r="I62">
        <v>0</v>
      </c>
      <c r="J62" s="92">
        <v>628</v>
      </c>
    </row>
    <row r="63" spans="1:10" x14ac:dyDescent="0.3">
      <c r="A63" s="92">
        <v>3350</v>
      </c>
      <c r="B63">
        <v>3350</v>
      </c>
      <c r="C63">
        <v>0</v>
      </c>
      <c r="D63">
        <v>35</v>
      </c>
      <c r="E63">
        <v>3828</v>
      </c>
      <c r="F63">
        <v>3.1</v>
      </c>
      <c r="G63">
        <v>3.1</v>
      </c>
      <c r="H63">
        <v>3.1</v>
      </c>
      <c r="I63">
        <v>3.1</v>
      </c>
      <c r="J63" s="92">
        <v>3828</v>
      </c>
    </row>
    <row r="64" spans="1:10" x14ac:dyDescent="0.3">
      <c r="A64" s="92">
        <v>3375</v>
      </c>
      <c r="B64">
        <v>3375</v>
      </c>
      <c r="C64">
        <v>0</v>
      </c>
      <c r="D64">
        <v>0</v>
      </c>
      <c r="E64">
        <v>2930</v>
      </c>
      <c r="F64">
        <v>0</v>
      </c>
      <c r="G64">
        <v>0</v>
      </c>
      <c r="H64">
        <v>0</v>
      </c>
      <c r="I64">
        <v>0</v>
      </c>
      <c r="J64" s="92">
        <v>2930</v>
      </c>
    </row>
    <row r="65" spans="1:10" x14ac:dyDescent="0.3">
      <c r="A65" s="92">
        <v>3400</v>
      </c>
      <c r="B65">
        <v>3400</v>
      </c>
      <c r="C65">
        <v>0</v>
      </c>
      <c r="D65">
        <v>4542</v>
      </c>
      <c r="E65">
        <v>48407</v>
      </c>
      <c r="F65">
        <v>3.8</v>
      </c>
      <c r="G65">
        <v>4.4000000000000004</v>
      </c>
      <c r="H65">
        <v>3.4</v>
      </c>
      <c r="I65">
        <v>3.5</v>
      </c>
      <c r="J65" s="92">
        <v>48407</v>
      </c>
    </row>
    <row r="66" spans="1:10" x14ac:dyDescent="0.3">
      <c r="A66" s="92">
        <v>3425</v>
      </c>
      <c r="B66">
        <v>3425</v>
      </c>
      <c r="C66">
        <v>0</v>
      </c>
      <c r="D66">
        <v>0</v>
      </c>
      <c r="E66">
        <v>11704</v>
      </c>
      <c r="F66">
        <v>0</v>
      </c>
      <c r="G66">
        <v>0</v>
      </c>
      <c r="H66">
        <v>0</v>
      </c>
      <c r="I66">
        <v>0</v>
      </c>
      <c r="J66" s="92">
        <v>11704</v>
      </c>
    </row>
    <row r="67" spans="1:10" x14ac:dyDescent="0.3">
      <c r="A67" s="92">
        <v>3450</v>
      </c>
      <c r="B67">
        <v>3450</v>
      </c>
      <c r="C67">
        <v>0</v>
      </c>
      <c r="D67">
        <v>81</v>
      </c>
      <c r="E67">
        <v>4204</v>
      </c>
      <c r="F67">
        <v>5.2</v>
      </c>
      <c r="G67">
        <v>5.2</v>
      </c>
      <c r="H67">
        <v>3.9</v>
      </c>
      <c r="I67">
        <v>4.2</v>
      </c>
      <c r="J67" s="92">
        <v>4204</v>
      </c>
    </row>
    <row r="68" spans="1:10" x14ac:dyDescent="0.3">
      <c r="A68" s="92">
        <v>3475</v>
      </c>
      <c r="B68">
        <v>3475</v>
      </c>
      <c r="C68">
        <v>0</v>
      </c>
      <c r="D68">
        <v>0</v>
      </c>
      <c r="E68">
        <v>11149</v>
      </c>
      <c r="F68">
        <v>0</v>
      </c>
      <c r="G68">
        <v>0</v>
      </c>
      <c r="H68">
        <v>0</v>
      </c>
      <c r="I68">
        <v>0</v>
      </c>
      <c r="J68" s="92">
        <v>11149</v>
      </c>
    </row>
    <row r="69" spans="1:10" x14ac:dyDescent="0.3">
      <c r="A69" s="92">
        <v>3500</v>
      </c>
      <c r="B69">
        <v>3500</v>
      </c>
      <c r="C69">
        <v>0</v>
      </c>
      <c r="D69">
        <v>5</v>
      </c>
      <c r="E69">
        <v>36125</v>
      </c>
      <c r="F69">
        <v>5.7</v>
      </c>
      <c r="G69">
        <v>6.2</v>
      </c>
      <c r="H69">
        <v>4.5</v>
      </c>
      <c r="I69">
        <v>4.5</v>
      </c>
      <c r="J69" s="92">
        <v>36125</v>
      </c>
    </row>
    <row r="70" spans="1:10" x14ac:dyDescent="0.3">
      <c r="A70" s="92">
        <v>3525</v>
      </c>
      <c r="B70">
        <v>3525</v>
      </c>
      <c r="C70">
        <v>0</v>
      </c>
      <c r="D70">
        <v>3</v>
      </c>
      <c r="E70">
        <v>4513</v>
      </c>
      <c r="F70">
        <v>6.3</v>
      </c>
      <c r="G70">
        <v>6.3</v>
      </c>
      <c r="H70">
        <v>6.2</v>
      </c>
      <c r="I70">
        <v>6.2</v>
      </c>
      <c r="J70" s="92">
        <v>4513</v>
      </c>
    </row>
    <row r="71" spans="1:10" x14ac:dyDescent="0.3">
      <c r="A71" s="92">
        <v>3550</v>
      </c>
      <c r="B71">
        <v>3550</v>
      </c>
      <c r="C71">
        <v>0</v>
      </c>
      <c r="D71">
        <v>129</v>
      </c>
      <c r="E71">
        <v>35009</v>
      </c>
      <c r="F71">
        <v>7</v>
      </c>
      <c r="G71">
        <v>7</v>
      </c>
      <c r="H71">
        <v>5.3</v>
      </c>
      <c r="I71">
        <v>5.3</v>
      </c>
      <c r="J71" s="92">
        <v>35009</v>
      </c>
    </row>
    <row r="72" spans="1:10" x14ac:dyDescent="0.3">
      <c r="A72" s="92">
        <v>3575</v>
      </c>
      <c r="B72">
        <v>3575</v>
      </c>
      <c r="C72">
        <v>0</v>
      </c>
      <c r="D72">
        <v>302</v>
      </c>
      <c r="E72">
        <v>14820</v>
      </c>
      <c r="F72">
        <v>7.4</v>
      </c>
      <c r="G72">
        <v>7.4</v>
      </c>
      <c r="H72">
        <v>7.4</v>
      </c>
      <c r="I72">
        <v>7.4</v>
      </c>
      <c r="J72" s="92">
        <v>14820</v>
      </c>
    </row>
    <row r="73" spans="1:10" x14ac:dyDescent="0.3">
      <c r="A73" s="92">
        <v>3600</v>
      </c>
      <c r="B73">
        <v>3600</v>
      </c>
      <c r="C73">
        <v>0</v>
      </c>
      <c r="D73">
        <v>1791</v>
      </c>
      <c r="E73">
        <v>61300</v>
      </c>
      <c r="F73">
        <v>7.4</v>
      </c>
      <c r="G73">
        <v>7.9</v>
      </c>
      <c r="H73">
        <v>6.2</v>
      </c>
      <c r="I73">
        <v>6.8</v>
      </c>
      <c r="J73" s="92">
        <v>61300</v>
      </c>
    </row>
    <row r="74" spans="1:10" x14ac:dyDescent="0.3">
      <c r="A74" s="92">
        <v>3625</v>
      </c>
      <c r="B74">
        <v>3625</v>
      </c>
      <c r="C74">
        <v>0</v>
      </c>
      <c r="D74">
        <v>31</v>
      </c>
      <c r="E74">
        <v>7176</v>
      </c>
      <c r="F74">
        <v>8.6999999999999993</v>
      </c>
      <c r="G74">
        <v>8.6999999999999993</v>
      </c>
      <c r="H74">
        <v>6.9</v>
      </c>
      <c r="I74">
        <v>6.9</v>
      </c>
      <c r="J74" s="92">
        <v>7176</v>
      </c>
    </row>
    <row r="75" spans="1:10" x14ac:dyDescent="0.3">
      <c r="A75" s="92">
        <v>3650</v>
      </c>
      <c r="B75">
        <v>3650</v>
      </c>
      <c r="C75">
        <v>0</v>
      </c>
      <c r="D75">
        <v>129</v>
      </c>
      <c r="E75">
        <v>33759</v>
      </c>
      <c r="F75">
        <v>8.8000000000000007</v>
      </c>
      <c r="G75">
        <v>10.199999999999999</v>
      </c>
      <c r="H75">
        <v>8.8000000000000007</v>
      </c>
      <c r="I75">
        <v>9.1999999999999993</v>
      </c>
      <c r="J75" s="92">
        <v>33759</v>
      </c>
    </row>
    <row r="76" spans="1:10" x14ac:dyDescent="0.3">
      <c r="A76" s="92">
        <v>3675</v>
      </c>
      <c r="B76">
        <v>3675</v>
      </c>
      <c r="C76">
        <v>0</v>
      </c>
      <c r="D76">
        <v>543</v>
      </c>
      <c r="E76">
        <v>20663</v>
      </c>
      <c r="F76">
        <v>8.8000000000000007</v>
      </c>
      <c r="G76">
        <v>11.5</v>
      </c>
      <c r="H76">
        <v>8.1999999999999993</v>
      </c>
      <c r="I76">
        <v>8.1999999999999993</v>
      </c>
      <c r="J76" s="92">
        <v>20663</v>
      </c>
    </row>
    <row r="77" spans="1:10" x14ac:dyDescent="0.3">
      <c r="A77" s="92">
        <v>3700</v>
      </c>
      <c r="B77">
        <v>3700</v>
      </c>
      <c r="C77">
        <v>0</v>
      </c>
      <c r="D77">
        <v>14037</v>
      </c>
      <c r="E77">
        <v>73465</v>
      </c>
      <c r="F77">
        <v>11.8</v>
      </c>
      <c r="G77">
        <v>11.8</v>
      </c>
      <c r="H77">
        <v>8.8000000000000007</v>
      </c>
      <c r="I77">
        <v>8.8000000000000007</v>
      </c>
      <c r="J77" s="92">
        <v>73465</v>
      </c>
    </row>
    <row r="78" spans="1:10" x14ac:dyDescent="0.3">
      <c r="A78" s="92">
        <v>3725</v>
      </c>
      <c r="B78">
        <v>3725</v>
      </c>
      <c r="C78">
        <v>0</v>
      </c>
      <c r="D78">
        <v>142</v>
      </c>
      <c r="E78">
        <v>3987</v>
      </c>
      <c r="F78">
        <v>12.8</v>
      </c>
      <c r="G78">
        <v>12.8</v>
      </c>
      <c r="H78">
        <v>11</v>
      </c>
      <c r="I78">
        <v>11</v>
      </c>
      <c r="J78" s="92">
        <v>3987</v>
      </c>
    </row>
    <row r="79" spans="1:10" x14ac:dyDescent="0.3">
      <c r="A79" s="92">
        <v>3750</v>
      </c>
      <c r="B79">
        <v>3750</v>
      </c>
      <c r="C79">
        <v>0</v>
      </c>
      <c r="D79">
        <v>2679</v>
      </c>
      <c r="E79">
        <v>31511</v>
      </c>
      <c r="F79">
        <v>14.6</v>
      </c>
      <c r="G79">
        <v>14.6</v>
      </c>
      <c r="H79">
        <v>12.5</v>
      </c>
      <c r="I79">
        <v>12.5</v>
      </c>
      <c r="J79" s="92">
        <v>31511</v>
      </c>
    </row>
    <row r="80" spans="1:10" x14ac:dyDescent="0.3">
      <c r="A80" s="92">
        <v>3775</v>
      </c>
      <c r="B80">
        <v>3775</v>
      </c>
      <c r="C80">
        <v>0</v>
      </c>
      <c r="D80">
        <v>3129</v>
      </c>
      <c r="E80">
        <v>24655</v>
      </c>
      <c r="F80">
        <v>13.9</v>
      </c>
      <c r="G80">
        <v>17.899999999999999</v>
      </c>
      <c r="H80">
        <v>12.6</v>
      </c>
      <c r="I80">
        <v>12.6</v>
      </c>
      <c r="J80" s="92">
        <v>24655</v>
      </c>
    </row>
    <row r="81" spans="1:10" x14ac:dyDescent="0.3">
      <c r="A81" s="92">
        <v>3800</v>
      </c>
      <c r="B81">
        <v>3800</v>
      </c>
      <c r="C81">
        <v>0</v>
      </c>
      <c r="D81">
        <v>10238</v>
      </c>
      <c r="E81">
        <v>116816</v>
      </c>
      <c r="F81">
        <v>16</v>
      </c>
      <c r="G81">
        <v>17.899999999999999</v>
      </c>
      <c r="H81">
        <v>13.2</v>
      </c>
      <c r="I81">
        <v>14.5</v>
      </c>
      <c r="J81" s="92">
        <v>116816</v>
      </c>
    </row>
    <row r="82" spans="1:10" x14ac:dyDescent="0.3">
      <c r="A82" s="92">
        <v>3825</v>
      </c>
      <c r="B82">
        <v>3825</v>
      </c>
      <c r="C82">
        <v>0</v>
      </c>
      <c r="D82">
        <v>290</v>
      </c>
      <c r="E82">
        <v>2488</v>
      </c>
      <c r="F82">
        <v>21.8</v>
      </c>
      <c r="G82">
        <v>21.8</v>
      </c>
      <c r="H82">
        <v>16.399999999999999</v>
      </c>
      <c r="I82">
        <v>16.399999999999999</v>
      </c>
      <c r="J82" s="92">
        <v>2488</v>
      </c>
    </row>
    <row r="83" spans="1:10" x14ac:dyDescent="0.3">
      <c r="A83" s="92">
        <v>3850</v>
      </c>
      <c r="B83">
        <v>3850</v>
      </c>
      <c r="C83">
        <v>0</v>
      </c>
      <c r="D83">
        <v>615</v>
      </c>
      <c r="E83">
        <v>47080</v>
      </c>
      <c r="F83">
        <v>18.399999999999999</v>
      </c>
      <c r="G83">
        <v>25</v>
      </c>
      <c r="H83">
        <v>18.399999999999999</v>
      </c>
      <c r="I83">
        <v>18.399999999999999</v>
      </c>
      <c r="J83" s="92">
        <v>47080</v>
      </c>
    </row>
    <row r="84" spans="1:10" x14ac:dyDescent="0.3">
      <c r="A84" s="92">
        <v>3875</v>
      </c>
      <c r="B84">
        <v>3875</v>
      </c>
      <c r="C84">
        <v>0</v>
      </c>
      <c r="D84">
        <v>82</v>
      </c>
      <c r="E84">
        <v>35238</v>
      </c>
      <c r="F84">
        <v>21.6</v>
      </c>
      <c r="G84">
        <v>22.3</v>
      </c>
      <c r="H84">
        <v>20.7</v>
      </c>
      <c r="I84">
        <v>20.7</v>
      </c>
      <c r="J84" s="92">
        <v>35238</v>
      </c>
    </row>
    <row r="85" spans="1:10" x14ac:dyDescent="0.3">
      <c r="A85" s="92">
        <v>3900</v>
      </c>
      <c r="B85">
        <v>3900</v>
      </c>
      <c r="C85">
        <v>0</v>
      </c>
      <c r="D85">
        <v>23979</v>
      </c>
      <c r="E85">
        <v>83395</v>
      </c>
      <c r="F85">
        <v>25.9</v>
      </c>
      <c r="G85">
        <v>32</v>
      </c>
      <c r="H85">
        <v>20.9</v>
      </c>
      <c r="I85">
        <v>23.2</v>
      </c>
      <c r="J85" s="92">
        <v>83395</v>
      </c>
    </row>
    <row r="86" spans="1:10" x14ac:dyDescent="0.3">
      <c r="A86" s="92">
        <v>3925</v>
      </c>
      <c r="B86">
        <v>3925</v>
      </c>
      <c r="C86">
        <v>0</v>
      </c>
      <c r="D86">
        <v>1801</v>
      </c>
      <c r="E86">
        <v>4078</v>
      </c>
      <c r="F86">
        <v>27.2</v>
      </c>
      <c r="G86">
        <v>30.9</v>
      </c>
      <c r="H86">
        <v>25.9</v>
      </c>
      <c r="I86">
        <v>26</v>
      </c>
      <c r="J86" s="92">
        <v>4078</v>
      </c>
    </row>
    <row r="87" spans="1:10" x14ac:dyDescent="0.3">
      <c r="A87" s="92">
        <v>3950</v>
      </c>
      <c r="B87">
        <v>3950</v>
      </c>
      <c r="C87">
        <v>0</v>
      </c>
      <c r="D87">
        <v>12864</v>
      </c>
      <c r="E87">
        <v>53275</v>
      </c>
      <c r="F87">
        <v>30</v>
      </c>
      <c r="G87">
        <v>32.4</v>
      </c>
      <c r="H87">
        <v>30</v>
      </c>
      <c r="I87">
        <v>30.7</v>
      </c>
      <c r="J87" s="92">
        <v>53275</v>
      </c>
    </row>
    <row r="88" spans="1:10" x14ac:dyDescent="0.3">
      <c r="A88" s="92">
        <v>3975</v>
      </c>
      <c r="B88">
        <v>3975</v>
      </c>
      <c r="C88">
        <v>0</v>
      </c>
      <c r="D88">
        <v>3019</v>
      </c>
      <c r="E88">
        <v>20985</v>
      </c>
      <c r="F88">
        <v>37.6</v>
      </c>
      <c r="G88">
        <v>44.2</v>
      </c>
      <c r="H88">
        <v>30.4</v>
      </c>
      <c r="I88">
        <v>30.4</v>
      </c>
      <c r="J88" s="92">
        <v>20985</v>
      </c>
    </row>
    <row r="89" spans="1:10" x14ac:dyDescent="0.3">
      <c r="A89" s="92">
        <v>4000</v>
      </c>
      <c r="B89">
        <v>4000</v>
      </c>
      <c r="C89">
        <v>0</v>
      </c>
      <c r="D89">
        <v>19722</v>
      </c>
      <c r="E89">
        <v>137091</v>
      </c>
      <c r="F89">
        <v>38</v>
      </c>
      <c r="G89">
        <v>51</v>
      </c>
      <c r="H89">
        <v>34.200000000000003</v>
      </c>
      <c r="I89">
        <v>37.700000000000003</v>
      </c>
      <c r="J89" s="92">
        <v>137091</v>
      </c>
    </row>
    <row r="90" spans="1:10" x14ac:dyDescent="0.3">
      <c r="A90" s="92">
        <v>4025</v>
      </c>
      <c r="B90">
        <v>4025</v>
      </c>
      <c r="C90">
        <v>0</v>
      </c>
      <c r="D90">
        <v>730</v>
      </c>
      <c r="E90">
        <v>9559</v>
      </c>
      <c r="F90">
        <v>51.9</v>
      </c>
      <c r="G90">
        <v>54.3</v>
      </c>
      <c r="H90">
        <v>39.200000000000003</v>
      </c>
      <c r="I90">
        <v>39.9</v>
      </c>
      <c r="J90" s="92">
        <v>9559</v>
      </c>
    </row>
    <row r="91" spans="1:10" x14ac:dyDescent="0.3">
      <c r="A91" s="92">
        <v>4050</v>
      </c>
      <c r="B91">
        <v>4050</v>
      </c>
      <c r="C91">
        <v>0</v>
      </c>
      <c r="D91">
        <v>3783</v>
      </c>
      <c r="E91">
        <v>47292</v>
      </c>
      <c r="F91">
        <v>62.7</v>
      </c>
      <c r="G91">
        <v>62.7</v>
      </c>
      <c r="H91">
        <v>44.7</v>
      </c>
      <c r="I91">
        <v>49.5</v>
      </c>
      <c r="J91" s="92">
        <v>47292</v>
      </c>
    </row>
    <row r="92" spans="1:10" x14ac:dyDescent="0.3">
      <c r="A92" s="92">
        <v>4075</v>
      </c>
      <c r="B92">
        <v>4075</v>
      </c>
      <c r="C92">
        <v>0</v>
      </c>
      <c r="D92">
        <v>355</v>
      </c>
      <c r="E92">
        <v>26657</v>
      </c>
      <c r="F92">
        <v>58</v>
      </c>
      <c r="G92">
        <v>66.400000000000006</v>
      </c>
      <c r="H92">
        <v>50.7</v>
      </c>
      <c r="I92">
        <v>50.7</v>
      </c>
      <c r="J92" s="92">
        <v>26657</v>
      </c>
    </row>
    <row r="93" spans="1:10" x14ac:dyDescent="0.3">
      <c r="A93" s="92">
        <v>4100</v>
      </c>
      <c r="B93">
        <v>4100</v>
      </c>
      <c r="C93">
        <v>0</v>
      </c>
      <c r="D93">
        <v>9531</v>
      </c>
      <c r="E93">
        <v>138493</v>
      </c>
      <c r="F93">
        <v>71</v>
      </c>
      <c r="G93">
        <v>81.5</v>
      </c>
      <c r="H93">
        <v>57.4</v>
      </c>
      <c r="I93">
        <v>62.4</v>
      </c>
      <c r="J93" s="92">
        <v>138493</v>
      </c>
    </row>
    <row r="94" spans="1:10" x14ac:dyDescent="0.3">
      <c r="A94" s="92">
        <v>4125</v>
      </c>
      <c r="B94">
        <v>4125</v>
      </c>
      <c r="C94">
        <v>0</v>
      </c>
      <c r="D94">
        <v>729</v>
      </c>
      <c r="E94">
        <v>9881</v>
      </c>
      <c r="F94">
        <v>88.8</v>
      </c>
      <c r="G94">
        <v>88.8</v>
      </c>
      <c r="H94">
        <v>67.7</v>
      </c>
      <c r="I94">
        <v>67.7</v>
      </c>
      <c r="J94" s="92">
        <v>9881</v>
      </c>
    </row>
    <row r="95" spans="1:10" x14ac:dyDescent="0.3">
      <c r="A95" s="92">
        <v>4150</v>
      </c>
      <c r="B95">
        <v>4150</v>
      </c>
      <c r="C95">
        <v>0</v>
      </c>
      <c r="D95">
        <v>4314</v>
      </c>
      <c r="E95">
        <v>37809</v>
      </c>
      <c r="F95">
        <v>80</v>
      </c>
      <c r="G95">
        <v>101</v>
      </c>
      <c r="H95">
        <v>73.8</v>
      </c>
      <c r="I95">
        <v>73.900000000000006</v>
      </c>
      <c r="J95" s="92">
        <v>37809</v>
      </c>
    </row>
    <row r="96" spans="1:10" x14ac:dyDescent="0.3">
      <c r="A96" s="92">
        <v>4175</v>
      </c>
      <c r="B96">
        <v>4175</v>
      </c>
      <c r="C96">
        <v>0</v>
      </c>
      <c r="D96">
        <v>657</v>
      </c>
      <c r="E96">
        <v>8020</v>
      </c>
      <c r="F96">
        <v>102.6</v>
      </c>
      <c r="G96">
        <v>102.6</v>
      </c>
      <c r="H96">
        <v>83.6</v>
      </c>
      <c r="I96">
        <v>87.7</v>
      </c>
      <c r="J96" s="92">
        <v>8020</v>
      </c>
    </row>
    <row r="97" spans="1:10" x14ac:dyDescent="0.3">
      <c r="A97" s="92">
        <v>4200</v>
      </c>
      <c r="B97">
        <v>4200</v>
      </c>
      <c r="C97">
        <v>0</v>
      </c>
      <c r="D97">
        <v>25</v>
      </c>
      <c r="E97">
        <v>31193</v>
      </c>
      <c r="F97">
        <v>117.1</v>
      </c>
      <c r="G97">
        <v>117.1</v>
      </c>
      <c r="H97">
        <v>97</v>
      </c>
      <c r="I97">
        <v>101.7</v>
      </c>
      <c r="J97" s="92">
        <v>31193</v>
      </c>
    </row>
    <row r="98" spans="1:10" x14ac:dyDescent="0.3">
      <c r="A98" s="92">
        <v>4225</v>
      </c>
      <c r="B98">
        <v>4225</v>
      </c>
      <c r="C98">
        <v>0</v>
      </c>
      <c r="D98">
        <v>619</v>
      </c>
      <c r="E98">
        <v>13254</v>
      </c>
      <c r="F98">
        <v>119</v>
      </c>
      <c r="G98">
        <v>119</v>
      </c>
      <c r="H98">
        <v>108.3</v>
      </c>
      <c r="I98">
        <v>108.3</v>
      </c>
      <c r="J98" s="92">
        <v>13254</v>
      </c>
    </row>
    <row r="99" spans="1:10" x14ac:dyDescent="0.3">
      <c r="A99" s="92">
        <v>4250</v>
      </c>
      <c r="B99">
        <v>4250</v>
      </c>
      <c r="C99">
        <v>0</v>
      </c>
      <c r="D99">
        <v>6576</v>
      </c>
      <c r="E99">
        <v>48072</v>
      </c>
      <c r="F99">
        <v>130.4</v>
      </c>
      <c r="G99">
        <v>130.4</v>
      </c>
      <c r="H99">
        <v>130.4</v>
      </c>
      <c r="I99">
        <v>130.4</v>
      </c>
      <c r="J99" s="92">
        <v>48072</v>
      </c>
    </row>
    <row r="100" spans="1:10" x14ac:dyDescent="0.3">
      <c r="A100" s="92">
        <v>4275</v>
      </c>
      <c r="B100">
        <v>4275</v>
      </c>
      <c r="C100">
        <v>0</v>
      </c>
      <c r="D100">
        <v>0</v>
      </c>
      <c r="E100">
        <v>1605</v>
      </c>
      <c r="F100">
        <v>0</v>
      </c>
      <c r="G100">
        <v>0</v>
      </c>
      <c r="H100">
        <v>0</v>
      </c>
      <c r="I100">
        <v>0</v>
      </c>
      <c r="J100" s="92">
        <v>1605</v>
      </c>
    </row>
    <row r="101" spans="1:10" x14ac:dyDescent="0.3">
      <c r="A101" s="92">
        <v>4300</v>
      </c>
      <c r="B101">
        <v>4300</v>
      </c>
      <c r="C101">
        <v>0</v>
      </c>
      <c r="D101">
        <v>1507</v>
      </c>
      <c r="E101">
        <v>20630</v>
      </c>
      <c r="F101">
        <v>0</v>
      </c>
      <c r="G101">
        <v>0</v>
      </c>
      <c r="H101">
        <v>0</v>
      </c>
      <c r="I101">
        <v>0</v>
      </c>
      <c r="J101" s="92">
        <v>20630</v>
      </c>
    </row>
    <row r="102" spans="1:10" x14ac:dyDescent="0.3">
      <c r="A102" s="92">
        <v>4325</v>
      </c>
      <c r="B102">
        <v>4325</v>
      </c>
      <c r="C102">
        <v>0</v>
      </c>
      <c r="D102">
        <v>1</v>
      </c>
      <c r="E102">
        <v>2270</v>
      </c>
      <c r="F102">
        <v>205</v>
      </c>
      <c r="G102">
        <v>205</v>
      </c>
      <c r="H102">
        <v>205</v>
      </c>
      <c r="I102">
        <v>205</v>
      </c>
      <c r="J102" s="92">
        <v>2270</v>
      </c>
    </row>
    <row r="103" spans="1:10" x14ac:dyDescent="0.3">
      <c r="A103" s="92">
        <v>4350</v>
      </c>
      <c r="B103">
        <v>4350</v>
      </c>
      <c r="C103">
        <v>0</v>
      </c>
      <c r="D103">
        <v>0</v>
      </c>
      <c r="E103">
        <v>4786</v>
      </c>
      <c r="F103">
        <v>0</v>
      </c>
      <c r="G103">
        <v>0</v>
      </c>
      <c r="H103">
        <v>0</v>
      </c>
      <c r="I103">
        <v>0</v>
      </c>
      <c r="J103" s="92">
        <v>4786</v>
      </c>
    </row>
    <row r="104" spans="1:10" x14ac:dyDescent="0.3">
      <c r="A104" s="92">
        <v>4375</v>
      </c>
      <c r="B104">
        <v>4375</v>
      </c>
      <c r="C104">
        <v>0</v>
      </c>
      <c r="D104">
        <v>40</v>
      </c>
      <c r="E104">
        <v>3298</v>
      </c>
      <c r="F104">
        <v>248</v>
      </c>
      <c r="G104">
        <v>259.2</v>
      </c>
      <c r="H104">
        <v>237.5</v>
      </c>
      <c r="I104">
        <v>237.5</v>
      </c>
      <c r="J104" s="92">
        <v>3298</v>
      </c>
    </row>
    <row r="105" spans="1:10" x14ac:dyDescent="0.3">
      <c r="A105" s="92">
        <v>4400</v>
      </c>
      <c r="B105">
        <v>4400</v>
      </c>
      <c r="C105">
        <v>0</v>
      </c>
      <c r="D105">
        <v>6</v>
      </c>
      <c r="E105">
        <v>5695</v>
      </c>
      <c r="F105">
        <v>265.2</v>
      </c>
      <c r="G105">
        <v>275.60000000000002</v>
      </c>
      <c r="H105">
        <v>235.1</v>
      </c>
      <c r="I105">
        <v>235.1</v>
      </c>
      <c r="J105" s="92">
        <v>5695</v>
      </c>
    </row>
    <row r="106" spans="1:10" x14ac:dyDescent="0.3">
      <c r="A106" s="92">
        <v>4425</v>
      </c>
      <c r="B106">
        <v>4425</v>
      </c>
      <c r="C106">
        <v>0</v>
      </c>
      <c r="D106">
        <v>0</v>
      </c>
      <c r="E106">
        <v>277</v>
      </c>
      <c r="F106">
        <v>0</v>
      </c>
      <c r="G106">
        <v>0</v>
      </c>
      <c r="H106">
        <v>0</v>
      </c>
      <c r="I106">
        <v>0</v>
      </c>
      <c r="J106" s="92">
        <v>277</v>
      </c>
    </row>
    <row r="107" spans="1:10" x14ac:dyDescent="0.3">
      <c r="A107" s="92">
        <v>4450</v>
      </c>
      <c r="B107">
        <v>4450</v>
      </c>
      <c r="C107">
        <v>0</v>
      </c>
      <c r="D107">
        <v>0</v>
      </c>
      <c r="E107">
        <v>3435</v>
      </c>
      <c r="F107">
        <v>0</v>
      </c>
      <c r="G107">
        <v>0</v>
      </c>
      <c r="H107">
        <v>0</v>
      </c>
      <c r="I107">
        <v>0</v>
      </c>
      <c r="J107" s="92">
        <v>3435</v>
      </c>
    </row>
    <row r="108" spans="1:10" x14ac:dyDescent="0.3">
      <c r="A108" s="92">
        <v>4475</v>
      </c>
      <c r="B108">
        <v>4475</v>
      </c>
      <c r="C108">
        <v>0</v>
      </c>
      <c r="D108">
        <v>0</v>
      </c>
      <c r="E108">
        <v>1</v>
      </c>
      <c r="F108">
        <v>0</v>
      </c>
      <c r="G108">
        <v>0</v>
      </c>
      <c r="H108">
        <v>0</v>
      </c>
      <c r="I108">
        <v>0</v>
      </c>
      <c r="J108" s="92">
        <v>1</v>
      </c>
    </row>
    <row r="109" spans="1:10" x14ac:dyDescent="0.3">
      <c r="A109" s="92">
        <v>4500</v>
      </c>
      <c r="B109">
        <v>4500</v>
      </c>
      <c r="C109">
        <v>0</v>
      </c>
      <c r="D109">
        <v>0</v>
      </c>
      <c r="E109">
        <v>2450</v>
      </c>
      <c r="F109">
        <v>0</v>
      </c>
      <c r="G109">
        <v>0</v>
      </c>
      <c r="H109">
        <v>0</v>
      </c>
      <c r="I109">
        <v>0</v>
      </c>
      <c r="J109" s="92">
        <v>2450</v>
      </c>
    </row>
    <row r="110" spans="1:10" x14ac:dyDescent="0.3">
      <c r="A110" s="92">
        <v>4525</v>
      </c>
      <c r="B110">
        <v>4525</v>
      </c>
      <c r="C110">
        <v>0</v>
      </c>
      <c r="D110">
        <v>0</v>
      </c>
      <c r="E110">
        <v>0</v>
      </c>
      <c r="F110">
        <v>0</v>
      </c>
      <c r="G110">
        <v>0</v>
      </c>
      <c r="H110">
        <v>0</v>
      </c>
      <c r="I110">
        <v>0</v>
      </c>
      <c r="J110" s="92">
        <v>0</v>
      </c>
    </row>
    <row r="111" spans="1:10" x14ac:dyDescent="0.3">
      <c r="A111" s="92">
        <v>4550</v>
      </c>
      <c r="B111">
        <v>4550</v>
      </c>
      <c r="C111">
        <v>0</v>
      </c>
      <c r="D111">
        <v>0</v>
      </c>
      <c r="E111">
        <v>3</v>
      </c>
      <c r="F111">
        <v>0</v>
      </c>
      <c r="G111">
        <v>0</v>
      </c>
      <c r="H111">
        <v>0</v>
      </c>
      <c r="I111">
        <v>0</v>
      </c>
      <c r="J111" s="92">
        <v>3</v>
      </c>
    </row>
    <row r="112" spans="1:10" x14ac:dyDescent="0.3">
      <c r="A112" s="92">
        <v>4575</v>
      </c>
      <c r="B112">
        <v>4575</v>
      </c>
      <c r="C112">
        <v>0</v>
      </c>
      <c r="D112">
        <v>0</v>
      </c>
      <c r="E112">
        <v>0</v>
      </c>
      <c r="F112">
        <v>0</v>
      </c>
      <c r="G112">
        <v>0</v>
      </c>
      <c r="H112">
        <v>0</v>
      </c>
      <c r="I112">
        <v>0</v>
      </c>
      <c r="J112" s="92">
        <v>0</v>
      </c>
    </row>
    <row r="113" spans="1:10" x14ac:dyDescent="0.3">
      <c r="A113" s="92">
        <v>4600</v>
      </c>
      <c r="B113">
        <v>4600</v>
      </c>
      <c r="C113">
        <v>0</v>
      </c>
      <c r="D113">
        <v>0</v>
      </c>
      <c r="E113">
        <v>0</v>
      </c>
      <c r="F113">
        <v>0</v>
      </c>
      <c r="G113">
        <v>0</v>
      </c>
      <c r="H113">
        <v>0</v>
      </c>
      <c r="I113">
        <v>0</v>
      </c>
      <c r="J113" s="92">
        <v>0</v>
      </c>
    </row>
    <row r="114" spans="1:10" x14ac:dyDescent="0.3">
      <c r="A114" s="92">
        <v>4625</v>
      </c>
      <c r="B114">
        <v>4625</v>
      </c>
      <c r="C114">
        <v>0</v>
      </c>
      <c r="D114">
        <v>0</v>
      </c>
      <c r="E114">
        <v>0</v>
      </c>
      <c r="F114">
        <v>0</v>
      </c>
      <c r="G114">
        <v>0</v>
      </c>
      <c r="H114">
        <v>0</v>
      </c>
      <c r="I114">
        <v>0</v>
      </c>
      <c r="J114" s="92">
        <v>0</v>
      </c>
    </row>
    <row r="115" spans="1:10" x14ac:dyDescent="0.3">
      <c r="A115" s="92">
        <v>4650</v>
      </c>
      <c r="B115">
        <v>4650</v>
      </c>
      <c r="C115">
        <v>0</v>
      </c>
      <c r="D115">
        <v>0</v>
      </c>
      <c r="E115">
        <v>1</v>
      </c>
      <c r="F115">
        <v>0</v>
      </c>
      <c r="G115">
        <v>0</v>
      </c>
      <c r="H115">
        <v>0</v>
      </c>
      <c r="I115">
        <v>0</v>
      </c>
      <c r="J115" s="92">
        <v>1</v>
      </c>
    </row>
    <row r="116" spans="1:10" x14ac:dyDescent="0.3">
      <c r="A116" s="92">
        <v>4675</v>
      </c>
      <c r="B116">
        <v>4675</v>
      </c>
      <c r="C116">
        <v>0</v>
      </c>
      <c r="D116">
        <v>0</v>
      </c>
      <c r="E116">
        <v>0</v>
      </c>
      <c r="F116">
        <v>0</v>
      </c>
      <c r="G116">
        <v>0</v>
      </c>
      <c r="H116">
        <v>0</v>
      </c>
      <c r="I116">
        <v>0</v>
      </c>
      <c r="J116" s="92">
        <v>0</v>
      </c>
    </row>
    <row r="117" spans="1:10" x14ac:dyDescent="0.3">
      <c r="A117" s="92">
        <v>4700</v>
      </c>
      <c r="B117">
        <v>4700</v>
      </c>
      <c r="C117">
        <v>0</v>
      </c>
      <c r="D117">
        <v>0</v>
      </c>
      <c r="E117">
        <v>0</v>
      </c>
      <c r="F117">
        <v>0</v>
      </c>
      <c r="G117">
        <v>0</v>
      </c>
      <c r="H117">
        <v>0</v>
      </c>
      <c r="I117">
        <v>0</v>
      </c>
      <c r="J117" s="92">
        <v>0</v>
      </c>
    </row>
    <row r="118" spans="1:10" x14ac:dyDescent="0.3">
      <c r="A118" s="92">
        <v>4725</v>
      </c>
      <c r="B118">
        <v>4725</v>
      </c>
      <c r="C118">
        <v>0</v>
      </c>
      <c r="D118">
        <v>0</v>
      </c>
      <c r="E118">
        <v>0</v>
      </c>
      <c r="F118">
        <v>0</v>
      </c>
      <c r="G118">
        <v>0</v>
      </c>
      <c r="H118">
        <v>0</v>
      </c>
      <c r="I118">
        <v>0</v>
      </c>
      <c r="J118" s="92">
        <v>0</v>
      </c>
    </row>
    <row r="119" spans="1:10" x14ac:dyDescent="0.3">
      <c r="A119" s="92">
        <v>4750</v>
      </c>
      <c r="B119">
        <v>4750</v>
      </c>
      <c r="C119">
        <v>0</v>
      </c>
      <c r="D119">
        <v>0</v>
      </c>
      <c r="E119">
        <v>0</v>
      </c>
      <c r="F119">
        <v>0</v>
      </c>
      <c r="G119">
        <v>0</v>
      </c>
      <c r="H119">
        <v>0</v>
      </c>
      <c r="I119">
        <v>0</v>
      </c>
      <c r="J119" s="92">
        <v>0</v>
      </c>
    </row>
    <row r="120" spans="1:10" x14ac:dyDescent="0.3">
      <c r="A120" s="92">
        <v>4775</v>
      </c>
      <c r="B120">
        <v>4775</v>
      </c>
      <c r="C120">
        <v>0</v>
      </c>
      <c r="D120">
        <v>0</v>
      </c>
      <c r="E120">
        <v>0</v>
      </c>
      <c r="F120">
        <v>0</v>
      </c>
      <c r="G120">
        <v>0</v>
      </c>
      <c r="H120">
        <v>0</v>
      </c>
      <c r="I120">
        <v>0</v>
      </c>
      <c r="J120" s="92">
        <v>0</v>
      </c>
    </row>
    <row r="121" spans="1:10" x14ac:dyDescent="0.3">
      <c r="A121" s="92">
        <v>4800</v>
      </c>
      <c r="B121">
        <v>4800</v>
      </c>
      <c r="C121">
        <v>0</v>
      </c>
      <c r="D121">
        <v>0</v>
      </c>
      <c r="E121">
        <v>0</v>
      </c>
      <c r="F121">
        <v>0</v>
      </c>
      <c r="G121">
        <v>0</v>
      </c>
      <c r="H121">
        <v>0</v>
      </c>
      <c r="I121">
        <v>0</v>
      </c>
      <c r="J121" s="92">
        <v>0</v>
      </c>
    </row>
    <row r="122" spans="1:10" x14ac:dyDescent="0.3">
      <c r="A122" s="92">
        <v>4825</v>
      </c>
      <c r="B122">
        <v>4825</v>
      </c>
      <c r="C122">
        <v>0</v>
      </c>
      <c r="D122">
        <v>0</v>
      </c>
      <c r="E122">
        <v>0</v>
      </c>
      <c r="F122">
        <v>0</v>
      </c>
      <c r="G122">
        <v>0</v>
      </c>
      <c r="H122">
        <v>0</v>
      </c>
      <c r="I122">
        <v>0</v>
      </c>
      <c r="J122" s="92">
        <v>0</v>
      </c>
    </row>
    <row r="123" spans="1:10" x14ac:dyDescent="0.3">
      <c r="A123" s="92">
        <v>4850</v>
      </c>
      <c r="B123">
        <v>4850</v>
      </c>
      <c r="C123">
        <v>0</v>
      </c>
      <c r="D123">
        <v>0</v>
      </c>
      <c r="E123">
        <v>0</v>
      </c>
      <c r="F123">
        <v>0</v>
      </c>
      <c r="G123">
        <v>0</v>
      </c>
      <c r="H123">
        <v>0</v>
      </c>
      <c r="I123">
        <v>0</v>
      </c>
      <c r="J123" s="92">
        <v>0</v>
      </c>
    </row>
    <row r="124" spans="1:10" x14ac:dyDescent="0.3">
      <c r="A124" s="92">
        <v>4875</v>
      </c>
      <c r="B124">
        <v>4875</v>
      </c>
      <c r="C124">
        <v>0</v>
      </c>
      <c r="D124">
        <v>0</v>
      </c>
      <c r="E124">
        <v>0</v>
      </c>
      <c r="F124">
        <v>0</v>
      </c>
      <c r="G124">
        <v>0</v>
      </c>
      <c r="H124">
        <v>0</v>
      </c>
      <c r="I124">
        <v>0</v>
      </c>
      <c r="J124" s="92">
        <v>0</v>
      </c>
    </row>
    <row r="125" spans="1:10" x14ac:dyDescent="0.3">
      <c r="A125" s="92">
        <v>4900</v>
      </c>
      <c r="B125">
        <v>4900</v>
      </c>
      <c r="C125">
        <v>0</v>
      </c>
      <c r="D125">
        <v>0</v>
      </c>
      <c r="E125">
        <v>0</v>
      </c>
      <c r="F125">
        <v>0</v>
      </c>
      <c r="G125">
        <v>0</v>
      </c>
      <c r="H125">
        <v>0</v>
      </c>
      <c r="I125">
        <v>0</v>
      </c>
      <c r="J125" s="92">
        <v>0</v>
      </c>
    </row>
    <row r="126" spans="1:10" x14ac:dyDescent="0.3">
      <c r="A126" s="92">
        <v>4925</v>
      </c>
      <c r="B126">
        <v>4925</v>
      </c>
      <c r="C126">
        <v>0</v>
      </c>
      <c r="D126">
        <v>0</v>
      </c>
      <c r="E126">
        <v>0</v>
      </c>
      <c r="F126">
        <v>0</v>
      </c>
      <c r="G126">
        <v>0</v>
      </c>
      <c r="H126">
        <v>0</v>
      </c>
      <c r="I126">
        <v>0</v>
      </c>
      <c r="J126" s="92">
        <v>0</v>
      </c>
    </row>
    <row r="127" spans="1:10" x14ac:dyDescent="0.3">
      <c r="A127" s="92">
        <v>4950</v>
      </c>
      <c r="B127">
        <v>4950</v>
      </c>
      <c r="C127">
        <v>0</v>
      </c>
      <c r="D127">
        <v>0</v>
      </c>
      <c r="E127">
        <v>0</v>
      </c>
      <c r="F127">
        <v>0</v>
      </c>
      <c r="G127">
        <v>0</v>
      </c>
      <c r="H127">
        <v>0</v>
      </c>
      <c r="I127">
        <v>0</v>
      </c>
      <c r="J127" s="92">
        <v>0</v>
      </c>
    </row>
    <row r="128" spans="1:10" x14ac:dyDescent="0.3">
      <c r="A128" s="92">
        <v>4975</v>
      </c>
      <c r="B128">
        <v>4975</v>
      </c>
      <c r="C128">
        <v>0</v>
      </c>
      <c r="D128">
        <v>0</v>
      </c>
      <c r="E128">
        <v>0</v>
      </c>
      <c r="F128">
        <v>0</v>
      </c>
      <c r="G128">
        <v>0</v>
      </c>
      <c r="H128">
        <v>0</v>
      </c>
      <c r="I128">
        <v>0</v>
      </c>
      <c r="J128" s="92">
        <v>0</v>
      </c>
    </row>
    <row r="129" spans="1:10" x14ac:dyDescent="0.3">
      <c r="A129" s="92">
        <v>5000</v>
      </c>
      <c r="B129">
        <v>5000</v>
      </c>
      <c r="C129">
        <v>0</v>
      </c>
      <c r="D129">
        <v>1</v>
      </c>
      <c r="E129">
        <v>3</v>
      </c>
      <c r="F129">
        <v>0</v>
      </c>
      <c r="G129">
        <v>0</v>
      </c>
      <c r="H129">
        <v>0</v>
      </c>
      <c r="I129">
        <v>0</v>
      </c>
      <c r="J129" s="92">
        <v>3</v>
      </c>
    </row>
    <row r="130" spans="1:10" x14ac:dyDescent="0.3">
      <c r="A130" s="92">
        <v>5025</v>
      </c>
      <c r="B130">
        <v>5025</v>
      </c>
      <c r="C130">
        <v>0</v>
      </c>
      <c r="D130">
        <v>0</v>
      </c>
      <c r="E130">
        <v>0</v>
      </c>
      <c r="F130">
        <v>0</v>
      </c>
      <c r="G130">
        <v>0</v>
      </c>
      <c r="H130">
        <v>0</v>
      </c>
      <c r="I130">
        <v>0</v>
      </c>
      <c r="J130" s="92">
        <v>0</v>
      </c>
    </row>
    <row r="131" spans="1:10" x14ac:dyDescent="0.3">
      <c r="A131" s="92">
        <v>5050</v>
      </c>
      <c r="B131">
        <v>5050</v>
      </c>
      <c r="C131">
        <v>0</v>
      </c>
      <c r="D131">
        <v>0</v>
      </c>
      <c r="E131">
        <v>0</v>
      </c>
      <c r="F131">
        <v>0</v>
      </c>
      <c r="G131">
        <v>0</v>
      </c>
      <c r="H131">
        <v>0</v>
      </c>
      <c r="I131">
        <v>0</v>
      </c>
      <c r="J131" s="92">
        <v>0</v>
      </c>
    </row>
    <row r="132" spans="1:10" x14ac:dyDescent="0.3">
      <c r="A132" s="92">
        <v>5075</v>
      </c>
      <c r="B132">
        <v>5075</v>
      </c>
      <c r="C132">
        <v>0</v>
      </c>
      <c r="D132">
        <v>0</v>
      </c>
      <c r="E132">
        <v>0</v>
      </c>
      <c r="F132">
        <v>0</v>
      </c>
      <c r="G132">
        <v>0</v>
      </c>
      <c r="H132">
        <v>0</v>
      </c>
      <c r="I132">
        <v>0</v>
      </c>
      <c r="J132" s="92">
        <v>0</v>
      </c>
    </row>
    <row r="133" spans="1:10" x14ac:dyDescent="0.3">
      <c r="A133" s="92">
        <v>5100</v>
      </c>
      <c r="B133">
        <v>5100</v>
      </c>
      <c r="C133">
        <v>0</v>
      </c>
      <c r="D133">
        <v>0</v>
      </c>
      <c r="E133">
        <v>0</v>
      </c>
      <c r="F133">
        <v>0</v>
      </c>
      <c r="G133">
        <v>0</v>
      </c>
      <c r="H133">
        <v>0</v>
      </c>
      <c r="I133">
        <v>0</v>
      </c>
      <c r="J133" s="92">
        <v>0</v>
      </c>
    </row>
    <row r="134" spans="1:10" x14ac:dyDescent="0.3">
      <c r="A134" s="92">
        <v>5125</v>
      </c>
      <c r="B134">
        <v>5125</v>
      </c>
      <c r="C134">
        <v>0</v>
      </c>
      <c r="D134">
        <v>0</v>
      </c>
      <c r="E134">
        <v>0</v>
      </c>
      <c r="F134">
        <v>0</v>
      </c>
      <c r="G134">
        <v>0</v>
      </c>
      <c r="H134">
        <v>0</v>
      </c>
      <c r="I134">
        <v>0</v>
      </c>
      <c r="J134" s="92">
        <v>0</v>
      </c>
    </row>
    <row r="135" spans="1:10" x14ac:dyDescent="0.3">
      <c r="A135" s="92">
        <v>5150</v>
      </c>
      <c r="B135">
        <v>5150</v>
      </c>
      <c r="C135">
        <v>0</v>
      </c>
      <c r="D135">
        <v>0</v>
      </c>
      <c r="E135">
        <v>0</v>
      </c>
      <c r="F135">
        <v>0</v>
      </c>
      <c r="G135">
        <v>0</v>
      </c>
      <c r="H135">
        <v>0</v>
      </c>
      <c r="I135">
        <v>0</v>
      </c>
      <c r="J135" s="92">
        <v>0</v>
      </c>
    </row>
    <row r="136" spans="1:10" x14ac:dyDescent="0.3">
      <c r="A136" s="92">
        <v>5175</v>
      </c>
      <c r="B136">
        <v>5175</v>
      </c>
      <c r="C136">
        <v>0</v>
      </c>
      <c r="D136">
        <v>0</v>
      </c>
      <c r="E136">
        <v>0</v>
      </c>
      <c r="F136">
        <v>0</v>
      </c>
      <c r="G136">
        <v>0</v>
      </c>
      <c r="H136">
        <v>0</v>
      </c>
      <c r="I136">
        <v>0</v>
      </c>
      <c r="J136" s="92">
        <v>0</v>
      </c>
    </row>
    <row r="137" spans="1:10" x14ac:dyDescent="0.3">
      <c r="A137" s="92">
        <v>5200</v>
      </c>
      <c r="B137">
        <v>5200</v>
      </c>
      <c r="C137">
        <v>0</v>
      </c>
      <c r="D137">
        <v>0</v>
      </c>
      <c r="E137">
        <v>0</v>
      </c>
      <c r="F137">
        <v>0</v>
      </c>
      <c r="G137">
        <v>0</v>
      </c>
      <c r="H137">
        <v>0</v>
      </c>
      <c r="I137">
        <v>0</v>
      </c>
      <c r="J137" s="92">
        <v>0</v>
      </c>
    </row>
    <row r="138" spans="1:10" x14ac:dyDescent="0.3">
      <c r="A138" s="92">
        <v>5300</v>
      </c>
      <c r="B138">
        <v>5300</v>
      </c>
      <c r="C138">
        <v>0</v>
      </c>
      <c r="D138">
        <v>0</v>
      </c>
      <c r="E138">
        <v>0</v>
      </c>
      <c r="F138">
        <v>0</v>
      </c>
      <c r="G138">
        <v>0</v>
      </c>
      <c r="H138">
        <v>0</v>
      </c>
      <c r="I138">
        <v>0</v>
      </c>
      <c r="J138" s="92">
        <v>0</v>
      </c>
    </row>
    <row r="139" spans="1:10" x14ac:dyDescent="0.3">
      <c r="A139" s="92">
        <v>5400</v>
      </c>
      <c r="B139">
        <v>5400</v>
      </c>
      <c r="C139">
        <v>0</v>
      </c>
      <c r="D139">
        <v>0</v>
      </c>
      <c r="E139">
        <v>0</v>
      </c>
      <c r="F139">
        <v>0</v>
      </c>
      <c r="G139">
        <v>0</v>
      </c>
      <c r="H139">
        <v>0</v>
      </c>
      <c r="I139">
        <v>0</v>
      </c>
      <c r="J139" s="92">
        <v>0</v>
      </c>
    </row>
    <row r="140" spans="1:10" x14ac:dyDescent="0.3">
      <c r="A140" s="92">
        <v>5500</v>
      </c>
      <c r="B140">
        <v>5500</v>
      </c>
      <c r="C140">
        <v>0</v>
      </c>
      <c r="D140">
        <v>0</v>
      </c>
      <c r="E140">
        <v>0</v>
      </c>
      <c r="F140">
        <v>0</v>
      </c>
      <c r="G140">
        <v>0</v>
      </c>
      <c r="H140">
        <v>0</v>
      </c>
      <c r="I140">
        <v>0</v>
      </c>
      <c r="J140" s="92">
        <v>0</v>
      </c>
    </row>
    <row r="141" spans="1:10" x14ac:dyDescent="0.3">
      <c r="A141" s="92">
        <v>5600</v>
      </c>
      <c r="B141">
        <v>5600</v>
      </c>
      <c r="C141">
        <v>0</v>
      </c>
      <c r="D141">
        <v>0</v>
      </c>
      <c r="E141">
        <v>0</v>
      </c>
      <c r="F141">
        <v>0</v>
      </c>
      <c r="G141">
        <v>0</v>
      </c>
      <c r="H141">
        <v>0</v>
      </c>
      <c r="I141">
        <v>0</v>
      </c>
      <c r="J141" s="92">
        <v>0</v>
      </c>
    </row>
    <row r="142" spans="1:10" x14ac:dyDescent="0.3">
      <c r="A142" s="92">
        <v>5700</v>
      </c>
      <c r="B142">
        <v>5700</v>
      </c>
      <c r="C142">
        <v>0</v>
      </c>
      <c r="D142">
        <v>0</v>
      </c>
      <c r="E142">
        <v>0</v>
      </c>
      <c r="F142">
        <v>0</v>
      </c>
      <c r="G142">
        <v>0</v>
      </c>
      <c r="H142">
        <v>0</v>
      </c>
      <c r="I142">
        <v>0</v>
      </c>
      <c r="J142" s="92">
        <v>0</v>
      </c>
    </row>
    <row r="143" spans="1:10" x14ac:dyDescent="0.3">
      <c r="A143" s="92">
        <v>5800</v>
      </c>
      <c r="B143">
        <v>5800</v>
      </c>
      <c r="C143">
        <v>0</v>
      </c>
      <c r="D143">
        <v>0</v>
      </c>
      <c r="E143">
        <v>0</v>
      </c>
      <c r="F143">
        <v>0</v>
      </c>
      <c r="G143">
        <v>0</v>
      </c>
      <c r="H143">
        <v>0</v>
      </c>
      <c r="I143">
        <v>0</v>
      </c>
      <c r="J143" s="92">
        <v>0</v>
      </c>
    </row>
    <row r="144" spans="1:10" x14ac:dyDescent="0.3">
      <c r="A144" s="92">
        <v>5900</v>
      </c>
      <c r="B144">
        <v>5900</v>
      </c>
      <c r="C144">
        <v>0</v>
      </c>
      <c r="D144">
        <v>0</v>
      </c>
      <c r="E144">
        <v>0</v>
      </c>
      <c r="F144">
        <v>0</v>
      </c>
      <c r="G144">
        <v>0</v>
      </c>
      <c r="H144">
        <v>0</v>
      </c>
      <c r="I144">
        <v>0</v>
      </c>
      <c r="J144" s="92">
        <v>0</v>
      </c>
    </row>
    <row r="145" spans="1:10" x14ac:dyDescent="0.3">
      <c r="A145" s="92">
        <v>6000</v>
      </c>
      <c r="B145">
        <v>6000</v>
      </c>
      <c r="C145">
        <v>0</v>
      </c>
      <c r="D145">
        <v>0</v>
      </c>
      <c r="E145">
        <v>0</v>
      </c>
      <c r="F145">
        <v>0</v>
      </c>
      <c r="G145">
        <v>0</v>
      </c>
      <c r="H145">
        <v>0</v>
      </c>
      <c r="I145">
        <v>0</v>
      </c>
      <c r="J145" s="92">
        <v>0</v>
      </c>
    </row>
    <row r="146" spans="1:10" x14ac:dyDescent="0.3">
      <c r="A146" s="92">
        <v>7000</v>
      </c>
      <c r="B146">
        <v>7000</v>
      </c>
      <c r="C146">
        <v>0</v>
      </c>
      <c r="D146">
        <v>0</v>
      </c>
      <c r="E146">
        <v>0</v>
      </c>
      <c r="F146">
        <v>0</v>
      </c>
      <c r="G146">
        <v>0</v>
      </c>
      <c r="H146">
        <v>0</v>
      </c>
      <c r="I146">
        <v>0</v>
      </c>
      <c r="J146" s="92">
        <v>0</v>
      </c>
    </row>
    <row r="147" spans="1:10" x14ac:dyDescent="0.3">
      <c r="A147" s="92">
        <v>8000</v>
      </c>
      <c r="B147">
        <v>8000</v>
      </c>
      <c r="C147">
        <v>0</v>
      </c>
      <c r="D147">
        <v>0</v>
      </c>
      <c r="E147">
        <v>0</v>
      </c>
      <c r="F147">
        <v>0</v>
      </c>
      <c r="G147">
        <v>0</v>
      </c>
      <c r="H147">
        <v>0</v>
      </c>
      <c r="I147">
        <v>0</v>
      </c>
      <c r="J147" s="92">
        <v>0</v>
      </c>
    </row>
    <row r="148" spans="1:10" x14ac:dyDescent="0.3">
      <c r="A148" s="92">
        <v>9000</v>
      </c>
      <c r="B148">
        <v>9000</v>
      </c>
      <c r="C148">
        <v>0</v>
      </c>
      <c r="D148">
        <v>0</v>
      </c>
      <c r="E148">
        <v>0</v>
      </c>
      <c r="F148">
        <v>0</v>
      </c>
      <c r="G148">
        <v>0</v>
      </c>
      <c r="H148">
        <v>0</v>
      </c>
      <c r="I148">
        <v>0</v>
      </c>
      <c r="J148" s="92">
        <v>0</v>
      </c>
    </row>
    <row r="149" spans="1:10" x14ac:dyDescent="0.3">
      <c r="A149" t="s">
        <v>277</v>
      </c>
      <c r="B149">
        <v>10000</v>
      </c>
      <c r="C149">
        <v>0</v>
      </c>
      <c r="D149">
        <v>0</v>
      </c>
      <c r="E149">
        <v>0</v>
      </c>
      <c r="F149">
        <v>0</v>
      </c>
      <c r="G149">
        <v>0</v>
      </c>
      <c r="H149">
        <v>0</v>
      </c>
      <c r="I149">
        <v>0</v>
      </c>
      <c r="J149">
        <v>5817.7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157F5-D26F-4527-9E01-78ADFC7C1056}">
  <sheetPr codeName="Tabelle13"/>
  <dimension ref="A2:I47"/>
  <sheetViews>
    <sheetView view="pageBreakPreview" topLeftCell="A19" zoomScaleNormal="100" zoomScaleSheetLayoutView="100" workbookViewId="0">
      <selection activeCell="J55" sqref="J55"/>
    </sheetView>
  </sheetViews>
  <sheetFormatPr baseColWidth="10" defaultRowHeight="14.4" x14ac:dyDescent="0.3"/>
  <sheetData>
    <row r="2" spans="1:6" ht="28.8" x14ac:dyDescent="0.55000000000000004">
      <c r="A2" s="84" t="s">
        <v>141</v>
      </c>
    </row>
    <row r="4" spans="1:6" ht="21" x14ac:dyDescent="0.3">
      <c r="A4" s="81" t="s">
        <v>142</v>
      </c>
    </row>
    <row r="5" spans="1:6" ht="18" x14ac:dyDescent="0.35">
      <c r="A5" s="82" t="s">
        <v>143</v>
      </c>
      <c r="E5" s="85" t="s">
        <v>163</v>
      </c>
      <c r="F5" s="85"/>
    </row>
    <row r="7" spans="1:6" ht="23.4" x14ac:dyDescent="0.45">
      <c r="E7" s="86" t="s">
        <v>151</v>
      </c>
    </row>
    <row r="8" spans="1:6" ht="23.4" x14ac:dyDescent="0.45">
      <c r="E8" s="86" t="s">
        <v>152</v>
      </c>
    </row>
    <row r="9" spans="1:6" ht="23.4" x14ac:dyDescent="0.45">
      <c r="E9" s="86" t="s">
        <v>153</v>
      </c>
    </row>
    <row r="11" spans="1:6" ht="23.4" x14ac:dyDescent="0.45">
      <c r="E11" s="86" t="s">
        <v>144</v>
      </c>
    </row>
    <row r="12" spans="1:6" ht="23.4" x14ac:dyDescent="0.45">
      <c r="E12" s="86" t="s">
        <v>154</v>
      </c>
    </row>
    <row r="15" spans="1:6" ht="23.4" x14ac:dyDescent="0.45">
      <c r="A15" s="82" t="s">
        <v>145</v>
      </c>
      <c r="E15" s="86" t="s">
        <v>155</v>
      </c>
    </row>
    <row r="16" spans="1:6" ht="23.4" x14ac:dyDescent="0.45">
      <c r="E16" s="86" t="s">
        <v>156</v>
      </c>
    </row>
    <row r="17" spans="1:5" ht="23.4" x14ac:dyDescent="0.45">
      <c r="E17" s="86" t="s">
        <v>157</v>
      </c>
    </row>
    <row r="18" spans="1:5" ht="23.4" x14ac:dyDescent="0.45">
      <c r="E18" s="86" t="s">
        <v>158</v>
      </c>
    </row>
    <row r="20" spans="1:5" ht="23.4" x14ac:dyDescent="0.45">
      <c r="E20" s="86" t="s">
        <v>144</v>
      </c>
    </row>
    <row r="21" spans="1:5" ht="23.4" x14ac:dyDescent="0.45">
      <c r="E21" s="86" t="s">
        <v>154</v>
      </c>
    </row>
    <row r="24" spans="1:5" x14ac:dyDescent="0.3">
      <c r="A24" t="s">
        <v>146</v>
      </c>
    </row>
    <row r="27" spans="1:5" ht="18" x14ac:dyDescent="0.35">
      <c r="A27" s="82" t="s">
        <v>147</v>
      </c>
    </row>
    <row r="29" spans="1:5" ht="23.4" x14ac:dyDescent="0.3">
      <c r="A29" s="83" t="s">
        <v>148</v>
      </c>
    </row>
    <row r="30" spans="1:5" ht="23.4" x14ac:dyDescent="0.45">
      <c r="A30" s="83" t="s">
        <v>159</v>
      </c>
      <c r="E30" s="86" t="s">
        <v>161</v>
      </c>
    </row>
    <row r="31" spans="1:5" ht="23.4" x14ac:dyDescent="0.3">
      <c r="A31" s="83" t="s">
        <v>160</v>
      </c>
    </row>
    <row r="32" spans="1:5" ht="23.4" x14ac:dyDescent="0.3">
      <c r="A32" s="83" t="s">
        <v>149</v>
      </c>
    </row>
    <row r="35" spans="1:9" x14ac:dyDescent="0.3">
      <c r="A35" s="87" t="s">
        <v>150</v>
      </c>
    </row>
    <row r="40" spans="1:9" x14ac:dyDescent="0.3">
      <c r="A40" s="105"/>
      <c r="B40" s="105"/>
      <c r="C40" s="105"/>
      <c r="D40" s="105"/>
      <c r="E40" s="105"/>
      <c r="F40" s="105"/>
      <c r="G40" s="105"/>
      <c r="H40" s="105"/>
      <c r="I40" s="105"/>
    </row>
    <row r="47" spans="1:9" x14ac:dyDescent="0.3">
      <c r="A47" s="105" t="s">
        <v>162</v>
      </c>
      <c r="B47" s="105"/>
      <c r="C47" s="105"/>
      <c r="D47" s="105"/>
      <c r="E47" s="105"/>
      <c r="F47" s="105"/>
      <c r="G47" s="105"/>
      <c r="H47" s="105"/>
      <c r="I47" s="105"/>
    </row>
  </sheetData>
  <mergeCells count="2">
    <mergeCell ref="A40:I40"/>
    <mergeCell ref="A47:I47"/>
  </mergeCells>
  <pageMargins left="0.7" right="0.7" top="0.78740157499999996" bottom="0.78740157499999996" header="0.3" footer="0.3"/>
  <pageSetup paperSize="9" scale="85"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02E4C-9905-4F9A-A321-32DACF94E9B9}">
  <sheetPr codeName="Tabelle18"/>
  <dimension ref="A2:I48"/>
  <sheetViews>
    <sheetView view="pageBreakPreview" zoomScaleNormal="100" zoomScaleSheetLayoutView="100" workbookViewId="0">
      <selection activeCell="J55" sqref="J55"/>
    </sheetView>
  </sheetViews>
  <sheetFormatPr baseColWidth="10" defaultRowHeight="14.4" x14ac:dyDescent="0.3"/>
  <sheetData>
    <row r="2" spans="1:6" ht="28.8" x14ac:dyDescent="0.55000000000000004">
      <c r="A2" s="84" t="s">
        <v>141</v>
      </c>
    </row>
    <row r="4" spans="1:6" ht="21" x14ac:dyDescent="0.3">
      <c r="A4" s="81" t="s">
        <v>142</v>
      </c>
    </row>
    <row r="5" spans="1:6" ht="18" x14ac:dyDescent="0.35">
      <c r="A5" s="82" t="s">
        <v>143</v>
      </c>
      <c r="E5" s="85" t="s">
        <v>164</v>
      </c>
      <c r="F5" s="85"/>
    </row>
    <row r="7" spans="1:6" ht="23.4" x14ac:dyDescent="0.45">
      <c r="E7" s="86" t="s">
        <v>151</v>
      </c>
    </row>
    <row r="8" spans="1:6" ht="23.4" x14ac:dyDescent="0.45">
      <c r="E8" s="86" t="s">
        <v>152</v>
      </c>
    </row>
    <row r="9" spans="1:6" ht="23.4" x14ac:dyDescent="0.45">
      <c r="E9" s="86" t="s">
        <v>165</v>
      </c>
    </row>
    <row r="11" spans="1:6" ht="23.4" x14ac:dyDescent="0.45">
      <c r="E11" s="86" t="s">
        <v>144</v>
      </c>
    </row>
    <row r="12" spans="1:6" ht="23.4" x14ac:dyDescent="0.45">
      <c r="E12" s="86" t="s">
        <v>154</v>
      </c>
    </row>
    <row r="15" spans="1:6" ht="18" x14ac:dyDescent="0.35">
      <c r="A15" s="82" t="s">
        <v>145</v>
      </c>
      <c r="E15" s="85" t="s">
        <v>166</v>
      </c>
    </row>
    <row r="16" spans="1:6" ht="18" x14ac:dyDescent="0.35">
      <c r="A16" s="82"/>
      <c r="E16" s="85"/>
    </row>
    <row r="17" spans="1:5" ht="23.4" x14ac:dyDescent="0.45">
      <c r="E17" s="86" t="s">
        <v>155</v>
      </c>
    </row>
    <row r="18" spans="1:5" ht="23.4" x14ac:dyDescent="0.45">
      <c r="E18" s="86" t="s">
        <v>156</v>
      </c>
    </row>
    <row r="19" spans="1:5" ht="23.4" x14ac:dyDescent="0.45">
      <c r="E19" s="86" t="s">
        <v>157</v>
      </c>
    </row>
    <row r="20" spans="1:5" ht="23.4" x14ac:dyDescent="0.45">
      <c r="E20" s="86" t="s">
        <v>167</v>
      </c>
    </row>
    <row r="22" spans="1:5" ht="23.4" x14ac:dyDescent="0.45">
      <c r="E22" s="86" t="s">
        <v>144</v>
      </c>
    </row>
    <row r="23" spans="1:5" ht="23.4" x14ac:dyDescent="0.45">
      <c r="E23" s="86" t="s">
        <v>154</v>
      </c>
    </row>
    <row r="25" spans="1:5" x14ac:dyDescent="0.3">
      <c r="A25" t="s">
        <v>146</v>
      </c>
    </row>
    <row r="28" spans="1:5" ht="18" x14ac:dyDescent="0.35">
      <c r="A28" s="82" t="s">
        <v>147</v>
      </c>
    </row>
    <row r="30" spans="1:5" ht="23.4" x14ac:dyDescent="0.3">
      <c r="A30" s="83" t="s">
        <v>148</v>
      </c>
    </row>
    <row r="31" spans="1:5" ht="23.4" x14ac:dyDescent="0.45">
      <c r="A31" s="83" t="s">
        <v>159</v>
      </c>
      <c r="E31" s="86" t="s">
        <v>161</v>
      </c>
    </row>
    <row r="32" spans="1:5" ht="23.4" x14ac:dyDescent="0.3">
      <c r="A32" s="83" t="s">
        <v>160</v>
      </c>
    </row>
    <row r="33" spans="1:9" ht="23.4" x14ac:dyDescent="0.3">
      <c r="A33" s="83" t="s">
        <v>149</v>
      </c>
    </row>
    <row r="36" spans="1:9" x14ac:dyDescent="0.3">
      <c r="A36" s="87" t="s">
        <v>150</v>
      </c>
    </row>
    <row r="41" spans="1:9" x14ac:dyDescent="0.3">
      <c r="A41" s="105"/>
      <c r="B41" s="105"/>
      <c r="C41" s="105"/>
      <c r="D41" s="105"/>
      <c r="E41" s="105"/>
      <c r="F41" s="105"/>
      <c r="G41" s="105"/>
      <c r="H41" s="105"/>
      <c r="I41" s="105"/>
    </row>
    <row r="48" spans="1:9" x14ac:dyDescent="0.3">
      <c r="A48" s="105" t="s">
        <v>162</v>
      </c>
      <c r="B48" s="105"/>
      <c r="C48" s="105"/>
      <c r="D48" s="105"/>
      <c r="E48" s="105"/>
      <c r="F48" s="105"/>
      <c r="G48" s="105"/>
      <c r="H48" s="105"/>
      <c r="I48" s="105"/>
    </row>
  </sheetData>
  <mergeCells count="2">
    <mergeCell ref="A41:I41"/>
    <mergeCell ref="A48:I48"/>
  </mergeCells>
  <pageMargins left="0.7" right="0.7" top="0.78740157499999996" bottom="0.78740157499999996" header="0.3" footer="0.3"/>
  <pageSetup paperSize="9" scale="85"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8770-B58B-4E5F-A0AE-6909F0BE0D10}">
  <sheetPr codeName="Tabelle17"/>
  <dimension ref="A1:AD66"/>
  <sheetViews>
    <sheetView topLeftCell="F10" zoomScale="80" zoomScaleNormal="80" workbookViewId="0">
      <selection activeCell="K41" sqref="K41"/>
    </sheetView>
  </sheetViews>
  <sheetFormatPr baseColWidth="10" defaultRowHeight="14.4" x14ac:dyDescent="0.3"/>
  <cols>
    <col min="1" max="1" width="20.109375" customWidth="1"/>
    <col min="14" max="14" width="15.5546875" customWidth="1"/>
  </cols>
  <sheetData>
    <row r="1" spans="1:30" x14ac:dyDescent="0.3">
      <c r="A1" t="s">
        <v>14</v>
      </c>
      <c r="B1" s="46" t="s">
        <v>90</v>
      </c>
      <c r="N1" t="s">
        <v>91</v>
      </c>
      <c r="AD1" s="80" t="s">
        <v>136</v>
      </c>
    </row>
    <row r="2" spans="1:30" x14ac:dyDescent="0.3">
      <c r="A2" t="s">
        <v>92</v>
      </c>
      <c r="B2" s="46" t="s">
        <v>96</v>
      </c>
      <c r="AD2" s="79" t="s">
        <v>135</v>
      </c>
    </row>
    <row r="3" spans="1:30" x14ac:dyDescent="0.3">
      <c r="B3" s="46"/>
      <c r="AD3" s="79" t="s">
        <v>133</v>
      </c>
    </row>
    <row r="6" spans="1:30" x14ac:dyDescent="0.3">
      <c r="N6" t="s">
        <v>168</v>
      </c>
      <c r="O6" t="s">
        <v>171</v>
      </c>
    </row>
    <row r="7" spans="1:30" x14ac:dyDescent="0.3">
      <c r="N7" t="s">
        <v>169</v>
      </c>
      <c r="O7" t="s">
        <v>172</v>
      </c>
    </row>
    <row r="8" spans="1:30" x14ac:dyDescent="0.3">
      <c r="N8" t="s">
        <v>170</v>
      </c>
      <c r="O8" t="s">
        <v>172</v>
      </c>
    </row>
    <row r="22" spans="1:20" x14ac:dyDescent="0.3">
      <c r="O22" t="s">
        <v>189</v>
      </c>
      <c r="P22" t="s">
        <v>298</v>
      </c>
    </row>
    <row r="23" spans="1:20" ht="18" x14ac:dyDescent="0.3">
      <c r="A23" s="54" t="s">
        <v>33</v>
      </c>
    </row>
    <row r="24" spans="1:20" x14ac:dyDescent="0.3">
      <c r="A24" t="str">
        <f>"STOXX "&amp;A23 &amp; " - " &amp;STOXX_Summery!C3 &amp; " Tage bis Verfall  - " &amp; (DAY(STOXX_Summery!C9) &amp; "."&amp; MONTH(STOXX_Summery!C9) &amp;"."&amp;YEAR(STOXX_Summery!C9))</f>
        <v>STOXX Änderung des Hedgebedarfs für den Frontmonat (Kontrakte/P) - 3 Tage bis Verfall  - 17.10.2023</v>
      </c>
    </row>
    <row r="26" spans="1:20" x14ac:dyDescent="0.3">
      <c r="A26" t="s">
        <v>38</v>
      </c>
    </row>
    <row r="28" spans="1:20" x14ac:dyDescent="0.3">
      <c r="A28" t="str">
        <f>"STOXX "&amp;A26 &amp; " - " &amp;STOXX_Summery!C3 &amp; " days until expiration    -   " &amp; (YEAR(STOXX_Summery!C9)&amp;"-"&amp;MONTH(STOXX_Summery!C9)&amp;"-"&amp;DAY(STOXX_Summery!C9))&amp;" (last trading day closing:  "&amp;Ueberhaenge!X4&amp;")"</f>
        <v>STOXX Change in hedge requirement for front and following month (contracts/P, estimated) - 3 days until expiration    -   2023-10-17 (last trading day closing:  4159,19)</v>
      </c>
    </row>
    <row r="30" spans="1:20" x14ac:dyDescent="0.3">
      <c r="N30" t="s">
        <v>134</v>
      </c>
      <c r="O30" s="79" t="s">
        <v>133</v>
      </c>
    </row>
    <row r="31" spans="1:20" x14ac:dyDescent="0.3">
      <c r="A31" t="s">
        <v>3</v>
      </c>
      <c r="B31" t="str">
        <f>O34&amp;"-"&amp;P34</f>
        <v>2023-10</v>
      </c>
    </row>
    <row r="32" spans="1:20" x14ac:dyDescent="0.3">
      <c r="A32" t="s">
        <v>40</v>
      </c>
      <c r="B32" t="str">
        <f>O36&amp;"-"&amp;P36</f>
        <v>2023-11</v>
      </c>
      <c r="N32" s="110" t="s">
        <v>73</v>
      </c>
      <c r="O32" s="109" t="s">
        <v>22</v>
      </c>
      <c r="P32" s="109"/>
      <c r="S32" s="109" t="s">
        <v>176</v>
      </c>
      <c r="T32" s="109"/>
    </row>
    <row r="33" spans="1:20" x14ac:dyDescent="0.3">
      <c r="A33" t="s">
        <v>41</v>
      </c>
      <c r="B33" t="str">
        <f>B31&amp;"+"&amp;B32</f>
        <v>2023-10+2023-11</v>
      </c>
      <c r="N33" s="110"/>
      <c r="O33" s="47" t="s">
        <v>74</v>
      </c>
      <c r="P33" s="47" t="s">
        <v>75</v>
      </c>
    </row>
    <row r="34" spans="1:20" x14ac:dyDescent="0.3">
      <c r="N34" t="s">
        <v>97</v>
      </c>
      <c r="O34" s="49">
        <v>2023</v>
      </c>
      <c r="P34" s="48" t="s">
        <v>265</v>
      </c>
      <c r="Q34" t="s">
        <v>201</v>
      </c>
      <c r="R34" s="52"/>
      <c r="S34" s="41">
        <v>45219</v>
      </c>
      <c r="T34" t="s">
        <v>202</v>
      </c>
    </row>
    <row r="35" spans="1:20" x14ac:dyDescent="0.3">
      <c r="A35" t="s">
        <v>42</v>
      </c>
      <c r="N35" t="s">
        <v>98</v>
      </c>
      <c r="O35" s="49">
        <v>2023</v>
      </c>
      <c r="P35" s="48" t="s">
        <v>265</v>
      </c>
      <c r="Q35" t="s">
        <v>201</v>
      </c>
      <c r="R35" s="52"/>
      <c r="S35" s="41"/>
    </row>
    <row r="36" spans="1:20" x14ac:dyDescent="0.3">
      <c r="N36" t="s">
        <v>108</v>
      </c>
      <c r="O36" s="49">
        <v>2023</v>
      </c>
      <c r="P36" s="48" t="s">
        <v>296</v>
      </c>
      <c r="Q36" t="s">
        <v>201</v>
      </c>
      <c r="R36" s="52"/>
      <c r="S36" s="41">
        <v>45248</v>
      </c>
      <c r="T36" t="s">
        <v>202</v>
      </c>
    </row>
    <row r="37" spans="1:20" x14ac:dyDescent="0.3">
      <c r="N37" t="s">
        <v>109</v>
      </c>
      <c r="O37" s="49">
        <v>2023</v>
      </c>
      <c r="P37" s="48" t="s">
        <v>296</v>
      </c>
      <c r="Q37" t="s">
        <v>201</v>
      </c>
      <c r="R37" s="52"/>
      <c r="S37" s="41"/>
    </row>
    <row r="38" spans="1:20" x14ac:dyDescent="0.3">
      <c r="N38" t="s">
        <v>173</v>
      </c>
      <c r="O38" s="49">
        <v>2023</v>
      </c>
      <c r="P38" s="48" t="s">
        <v>265</v>
      </c>
      <c r="Q38" t="s">
        <v>201</v>
      </c>
      <c r="R38" s="52"/>
    </row>
    <row r="39" spans="1:20" x14ac:dyDescent="0.3">
      <c r="A39" t="s">
        <v>54</v>
      </c>
      <c r="B39" t="s">
        <v>216</v>
      </c>
      <c r="N39" t="s">
        <v>174</v>
      </c>
      <c r="O39" s="49">
        <v>2023</v>
      </c>
      <c r="P39" s="48" t="s">
        <v>265</v>
      </c>
      <c r="Q39" t="s">
        <v>201</v>
      </c>
      <c r="R39" s="52"/>
    </row>
    <row r="40" spans="1:20" x14ac:dyDescent="0.3">
      <c r="A40" t="s">
        <v>55</v>
      </c>
      <c r="B40" t="s">
        <v>103</v>
      </c>
      <c r="O40" s="49">
        <v>2023</v>
      </c>
      <c r="P40" s="48" t="s">
        <v>265</v>
      </c>
      <c r="Q40" t="s">
        <v>201</v>
      </c>
      <c r="R40" s="39"/>
    </row>
    <row r="41" spans="1:20" x14ac:dyDescent="0.3">
      <c r="O41" s="49">
        <v>2023</v>
      </c>
      <c r="P41" s="48" t="s">
        <v>265</v>
      </c>
      <c r="Q41" t="s">
        <v>201</v>
      </c>
      <c r="R41" s="39"/>
    </row>
    <row r="42" spans="1:20" x14ac:dyDescent="0.3">
      <c r="A42" t="s">
        <v>85</v>
      </c>
      <c r="O42" s="49">
        <v>2023</v>
      </c>
      <c r="P42" s="48" t="s">
        <v>265</v>
      </c>
      <c r="Q42" t="s">
        <v>201</v>
      </c>
      <c r="R42" s="39"/>
    </row>
    <row r="43" spans="1:20" x14ac:dyDescent="0.3">
      <c r="A43" t="s">
        <v>81</v>
      </c>
      <c r="B43" t="s">
        <v>86</v>
      </c>
      <c r="C43" t="s">
        <v>87</v>
      </c>
      <c r="O43" s="49">
        <v>2023</v>
      </c>
      <c r="P43" s="48" t="s">
        <v>265</v>
      </c>
      <c r="Q43" t="s">
        <v>201</v>
      </c>
      <c r="R43" s="39"/>
    </row>
    <row r="44" spans="1:20" x14ac:dyDescent="0.3">
      <c r="B44" t="s">
        <v>37</v>
      </c>
      <c r="C44" s="46" t="s">
        <v>88</v>
      </c>
      <c r="O44" s="49"/>
      <c r="P44" s="48"/>
      <c r="R44" s="39"/>
    </row>
    <row r="45" spans="1:20" x14ac:dyDescent="0.3">
      <c r="A45" t="s">
        <v>58</v>
      </c>
      <c r="B45" t="s">
        <v>81</v>
      </c>
      <c r="C45" t="s">
        <v>89</v>
      </c>
      <c r="O45" s="49"/>
      <c r="P45" s="48"/>
      <c r="R45" s="39"/>
    </row>
    <row r="46" spans="1:20" x14ac:dyDescent="0.3">
      <c r="O46" s="49"/>
      <c r="P46" s="48"/>
      <c r="R46" s="52"/>
    </row>
    <row r="47" spans="1:20" x14ac:dyDescent="0.3">
      <c r="O47" s="49"/>
      <c r="P47" s="48"/>
      <c r="R47" s="52"/>
    </row>
    <row r="49" spans="1:26" x14ac:dyDescent="0.3">
      <c r="A49" s="107" t="s">
        <v>71</v>
      </c>
      <c r="B49" s="107"/>
      <c r="C49" s="107"/>
      <c r="D49" s="107"/>
      <c r="E49" s="107"/>
      <c r="F49" s="107"/>
      <c r="G49" s="107"/>
      <c r="H49" s="107"/>
      <c r="I49" s="107"/>
      <c r="J49" s="107"/>
      <c r="K49" s="107"/>
      <c r="L49" s="107"/>
      <c r="M49" s="107"/>
      <c r="N49" s="107"/>
    </row>
    <row r="50" spans="1:26" ht="110.25" customHeight="1" x14ac:dyDescent="0.3">
      <c r="A50" t="s">
        <v>97</v>
      </c>
      <c r="B50" s="106" t="s">
        <v>239</v>
      </c>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row>
    <row r="51" spans="1:26" ht="114.9" customHeight="1" x14ac:dyDescent="0.3">
      <c r="A51" t="s">
        <v>98</v>
      </c>
      <c r="B51" s="106" t="s">
        <v>240</v>
      </c>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row>
    <row r="52" spans="1:26" ht="114.9" customHeight="1" x14ac:dyDescent="0.3">
      <c r="A52" t="s">
        <v>108</v>
      </c>
      <c r="B52" s="106" t="s">
        <v>241</v>
      </c>
      <c r="C52" s="106"/>
      <c r="D52" s="106"/>
      <c r="E52" s="106"/>
      <c r="F52" s="106"/>
      <c r="G52" s="106"/>
      <c r="H52" s="106"/>
      <c r="I52" s="106"/>
      <c r="J52" s="106"/>
      <c r="K52" s="106"/>
      <c r="L52" s="106"/>
      <c r="M52" s="106"/>
      <c r="N52" s="106"/>
      <c r="O52" s="106"/>
      <c r="P52" s="106"/>
      <c r="Q52" s="106"/>
      <c r="R52" s="106"/>
      <c r="S52" s="106"/>
      <c r="T52" s="106"/>
      <c r="U52" s="106"/>
      <c r="V52" s="106"/>
      <c r="W52" s="106"/>
      <c r="X52" s="106"/>
      <c r="Y52" s="106"/>
      <c r="Z52" s="106"/>
    </row>
    <row r="53" spans="1:26" ht="114.9" customHeight="1" x14ac:dyDescent="0.3">
      <c r="A53" t="s">
        <v>109</v>
      </c>
      <c r="B53" s="106" t="s">
        <v>242</v>
      </c>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row>
    <row r="54" spans="1:26" ht="114.9" customHeight="1" x14ac:dyDescent="0.3">
      <c r="A54" t="s">
        <v>173</v>
      </c>
      <c r="B54" s="106" t="s">
        <v>243</v>
      </c>
      <c r="C54" s="106"/>
      <c r="D54" s="106"/>
      <c r="E54" s="106"/>
      <c r="F54" s="106"/>
      <c r="G54" s="106"/>
      <c r="H54" s="106"/>
      <c r="I54" s="106"/>
      <c r="J54" s="106"/>
      <c r="K54" s="106"/>
      <c r="L54" s="106"/>
      <c r="M54" s="106"/>
      <c r="N54" s="106"/>
      <c r="O54" s="106"/>
      <c r="P54" s="106"/>
      <c r="Q54" s="106"/>
      <c r="R54" s="106"/>
      <c r="S54" s="106"/>
      <c r="T54" s="106"/>
      <c r="U54" s="106"/>
      <c r="V54" s="106"/>
      <c r="W54" s="106"/>
      <c r="X54" s="106"/>
      <c r="Y54" s="106"/>
      <c r="Z54" s="106"/>
    </row>
    <row r="55" spans="1:26" ht="114.9" customHeight="1" x14ac:dyDescent="0.3">
      <c r="A55" t="s">
        <v>174</v>
      </c>
      <c r="B55" s="106" t="s">
        <v>244</v>
      </c>
      <c r="C55" s="106"/>
      <c r="D55" s="106"/>
      <c r="E55" s="106"/>
      <c r="F55" s="106"/>
      <c r="G55" s="106"/>
      <c r="H55" s="106"/>
      <c r="I55" s="106"/>
      <c r="J55" s="106"/>
      <c r="K55" s="106"/>
      <c r="L55" s="106"/>
      <c r="M55" s="106"/>
      <c r="N55" s="106"/>
      <c r="O55" s="106"/>
      <c r="P55" s="106"/>
      <c r="Q55" s="106"/>
      <c r="R55" s="106"/>
      <c r="S55" s="106"/>
      <c r="T55" s="106"/>
      <c r="U55" s="106"/>
      <c r="V55" s="106"/>
      <c r="W55" s="106"/>
      <c r="X55" s="106"/>
      <c r="Y55" s="106"/>
      <c r="Z55" s="106"/>
    </row>
    <row r="56" spans="1:26" ht="114.9" customHeight="1" x14ac:dyDescent="0.3">
      <c r="B56" s="106"/>
      <c r="C56" s="106"/>
      <c r="D56" s="106"/>
      <c r="E56" s="106"/>
      <c r="F56" s="106"/>
      <c r="G56" s="106"/>
      <c r="H56" s="106"/>
      <c r="I56" s="106"/>
      <c r="J56" s="106"/>
      <c r="K56" s="106"/>
      <c r="L56" s="106"/>
      <c r="M56" s="106"/>
      <c r="N56" s="106"/>
      <c r="O56" s="106"/>
      <c r="P56" s="106"/>
      <c r="Q56" s="106"/>
      <c r="R56" s="106"/>
      <c r="S56" s="106"/>
      <c r="T56" s="106"/>
      <c r="U56" s="106"/>
      <c r="V56" s="106"/>
      <c r="W56" s="106"/>
      <c r="X56" s="106"/>
      <c r="Y56" s="106"/>
      <c r="Z56" s="106"/>
    </row>
    <row r="57" spans="1:26" ht="114.9" customHeight="1" x14ac:dyDescent="0.3">
      <c r="B57" s="108"/>
      <c r="C57" s="106"/>
      <c r="D57" s="106"/>
      <c r="E57" s="106"/>
      <c r="F57" s="106"/>
      <c r="G57" s="106"/>
      <c r="H57" s="106"/>
      <c r="I57" s="106"/>
      <c r="J57" s="106"/>
      <c r="K57" s="106"/>
      <c r="L57" s="106"/>
      <c r="M57" s="106"/>
      <c r="N57" s="106"/>
      <c r="O57" s="106"/>
      <c r="P57" s="106"/>
      <c r="Q57" s="106"/>
      <c r="R57" s="106"/>
      <c r="S57" s="106"/>
      <c r="T57" s="106"/>
      <c r="U57" s="106"/>
      <c r="V57" s="106"/>
      <c r="W57" s="106"/>
      <c r="X57" s="106"/>
      <c r="Y57" s="106"/>
      <c r="Z57" s="106"/>
    </row>
    <row r="58" spans="1:26" ht="22.5" customHeight="1" x14ac:dyDescent="0.3">
      <c r="B58" s="108"/>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row>
    <row r="59" spans="1:26" ht="114.9" customHeight="1" x14ac:dyDescent="0.3">
      <c r="B59" s="106"/>
      <c r="C59" s="106"/>
      <c r="D59" s="106"/>
      <c r="E59" s="106"/>
      <c r="F59" s="106"/>
      <c r="G59" s="106"/>
      <c r="H59" s="106"/>
      <c r="I59" s="106"/>
      <c r="J59" s="106"/>
      <c r="K59" s="106"/>
      <c r="L59" s="106"/>
      <c r="M59" s="106"/>
      <c r="N59" s="106"/>
      <c r="O59" s="106"/>
      <c r="P59" s="106"/>
      <c r="Q59" s="106"/>
      <c r="R59" s="106"/>
      <c r="S59" s="106"/>
      <c r="T59" s="106"/>
      <c r="U59" s="106"/>
      <c r="V59" s="106"/>
      <c r="W59" s="106"/>
      <c r="X59" s="106"/>
      <c r="Y59" s="106"/>
      <c r="Z59" s="106"/>
    </row>
    <row r="60" spans="1:26" ht="114.9" customHeight="1" x14ac:dyDescent="0.3">
      <c r="B60" s="106"/>
      <c r="C60" s="106"/>
      <c r="D60" s="106"/>
      <c r="E60" s="106"/>
      <c r="F60" s="106"/>
      <c r="G60" s="106"/>
      <c r="H60" s="106"/>
      <c r="I60" s="106"/>
      <c r="J60" s="106"/>
      <c r="K60" s="106"/>
      <c r="L60" s="106"/>
      <c r="M60" s="106"/>
      <c r="N60" s="106"/>
      <c r="O60" s="106"/>
      <c r="P60" s="106"/>
      <c r="Q60" s="106"/>
      <c r="R60" s="106"/>
      <c r="S60" s="106"/>
      <c r="T60" s="106"/>
      <c r="U60" s="106"/>
      <c r="V60" s="106"/>
      <c r="W60" s="106"/>
      <c r="X60" s="106"/>
      <c r="Y60" s="106"/>
      <c r="Z60" s="106"/>
    </row>
    <row r="61" spans="1:26" ht="114.9" customHeight="1" x14ac:dyDescent="0.3">
      <c r="B61" s="106"/>
      <c r="C61" s="106"/>
      <c r="D61" s="106"/>
      <c r="E61" s="106"/>
      <c r="F61" s="106"/>
      <c r="G61" s="106"/>
      <c r="H61" s="106"/>
      <c r="I61" s="106"/>
      <c r="J61" s="106"/>
      <c r="K61" s="106"/>
      <c r="L61" s="106"/>
      <c r="M61" s="106"/>
      <c r="N61" s="106"/>
      <c r="O61" s="106"/>
      <c r="P61" s="106"/>
      <c r="Q61" s="106"/>
      <c r="R61" s="106"/>
      <c r="S61" s="106"/>
      <c r="T61" s="106"/>
      <c r="U61" s="106"/>
      <c r="V61" s="106"/>
      <c r="W61" s="106"/>
      <c r="X61" s="106"/>
      <c r="Y61" s="106"/>
      <c r="Z61" s="106"/>
    </row>
    <row r="62" spans="1:26" ht="114.9" customHeight="1" x14ac:dyDescent="0.3">
      <c r="B62" s="106"/>
      <c r="C62" s="106"/>
      <c r="D62" s="106"/>
      <c r="E62" s="106"/>
      <c r="F62" s="106"/>
      <c r="G62" s="106"/>
      <c r="H62" s="106"/>
      <c r="I62" s="106"/>
      <c r="J62" s="106"/>
      <c r="K62" s="106"/>
      <c r="L62" s="106"/>
      <c r="M62" s="106"/>
      <c r="N62" s="106"/>
      <c r="O62" s="106"/>
      <c r="P62" s="106"/>
      <c r="Q62" s="106"/>
      <c r="R62" s="106"/>
      <c r="S62" s="106"/>
      <c r="T62" s="106"/>
      <c r="U62" s="106"/>
      <c r="V62" s="106"/>
      <c r="W62" s="106"/>
      <c r="X62" s="106"/>
      <c r="Y62" s="106"/>
      <c r="Z62" s="106"/>
    </row>
    <row r="63" spans="1:26" ht="114.9" customHeight="1" x14ac:dyDescent="0.3">
      <c r="B63" s="106"/>
      <c r="C63" s="106"/>
      <c r="D63" s="106"/>
      <c r="E63" s="106"/>
      <c r="F63" s="106"/>
      <c r="G63" s="106"/>
      <c r="H63" s="106"/>
      <c r="I63" s="106"/>
      <c r="J63" s="106"/>
      <c r="K63" s="106"/>
      <c r="L63" s="106"/>
      <c r="M63" s="106"/>
      <c r="N63" s="106"/>
      <c r="O63" s="106"/>
      <c r="P63" s="106"/>
      <c r="Q63" s="106"/>
      <c r="R63" s="106"/>
      <c r="S63" s="106"/>
      <c r="T63" s="106"/>
      <c r="U63" s="106"/>
      <c r="V63" s="106"/>
      <c r="W63" s="106"/>
      <c r="X63" s="106"/>
      <c r="Y63" s="106"/>
      <c r="Z63" s="106"/>
    </row>
    <row r="66" spans="1:2" ht="409.6" x14ac:dyDescent="0.3">
      <c r="A66" t="s">
        <v>93</v>
      </c>
      <c r="B66" s="25" t="s">
        <v>95</v>
      </c>
    </row>
  </sheetData>
  <mergeCells count="18">
    <mergeCell ref="O32:P32"/>
    <mergeCell ref="N32:N33"/>
    <mergeCell ref="B62:Z62"/>
    <mergeCell ref="S32:T32"/>
    <mergeCell ref="B63:Z63"/>
    <mergeCell ref="A49:N49"/>
    <mergeCell ref="B56:Z56"/>
    <mergeCell ref="B57:Z57"/>
    <mergeCell ref="B58:Z58"/>
    <mergeCell ref="B59:Z59"/>
    <mergeCell ref="B60:Z60"/>
    <mergeCell ref="B61:Z61"/>
    <mergeCell ref="B50:Z50"/>
    <mergeCell ref="B51:Z51"/>
    <mergeCell ref="B52:Z52"/>
    <mergeCell ref="B53:Z53"/>
    <mergeCell ref="B54:Z54"/>
    <mergeCell ref="B55:Z55"/>
  </mergeCells>
  <dataValidations count="1">
    <dataValidation type="list" allowBlank="1" showInputMessage="1" showErrorMessage="1" sqref="O30" xr:uid="{24828781-BBCC-4224-9093-F9D4D66D3F56}">
      <formula1>$AD$2:$AD$3</formula1>
    </dataValidation>
  </dataValidations>
  <hyperlinks>
    <hyperlink ref="C44" r:id="rId1" xr:uid="{13AC0715-F374-445E-A314-83D1C782352C}"/>
    <hyperlink ref="B1" r:id="rId2" xr:uid="{0E2D53BC-B9E7-4F6C-AC07-1D7B09D3D37F}"/>
    <hyperlink ref="B2" r:id="rId3" xr:uid="{FB1C85F9-4D1B-4A63-9753-083F016C21E8}"/>
  </hyperlinks>
  <pageMargins left="0.7" right="0.7" top="0.78740157499999996" bottom="0.78740157499999996" header="0.3" footer="0.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7F080-70CC-42BA-AE63-9C808AAEA095}">
  <sheetPr codeName="Tabelle20">
    <pageSetUpPr fitToPage="1"/>
  </sheetPr>
  <dimension ref="A1:V193"/>
  <sheetViews>
    <sheetView view="pageBreakPreview" zoomScaleNormal="70" zoomScaleSheetLayoutView="100" workbookViewId="0">
      <selection activeCell="A2" sqref="A2:K47"/>
    </sheetView>
  </sheetViews>
  <sheetFormatPr baseColWidth="10" defaultRowHeight="14.4" x14ac:dyDescent="0.3"/>
  <cols>
    <col min="1" max="1" width="11.44140625" style="18"/>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80.25" customHeight="1" x14ac:dyDescent="0.3">
      <c r="A1" s="111" t="s">
        <v>101</v>
      </c>
      <c r="B1" s="112"/>
      <c r="C1" s="112"/>
      <c r="D1" s="112"/>
      <c r="E1" s="112"/>
      <c r="F1" s="112"/>
      <c r="G1" s="113">
        <f>Ueberhaenge!G1</f>
        <v>45216</v>
      </c>
      <c r="H1" s="113"/>
      <c r="I1" s="55"/>
      <c r="J1" s="59"/>
      <c r="K1" s="59"/>
    </row>
    <row r="2" spans="1:22" ht="21" customHeight="1" x14ac:dyDescent="0.3">
      <c r="A2" s="61"/>
      <c r="B2" s="62"/>
      <c r="C2" s="62"/>
      <c r="D2" s="62"/>
      <c r="E2" s="62"/>
      <c r="F2" s="62"/>
      <c r="G2" s="62"/>
      <c r="H2" s="62"/>
      <c r="I2" s="62"/>
      <c r="J2" s="62"/>
      <c r="K2" s="62"/>
    </row>
    <row r="3" spans="1:22" ht="18" x14ac:dyDescent="0.35">
      <c r="A3" s="63" t="s">
        <v>27</v>
      </c>
      <c r="B3" s="62"/>
      <c r="C3" s="65">
        <f>Ueberhaenge!G2</f>
        <v>3</v>
      </c>
      <c r="D3" s="62"/>
      <c r="E3" s="64" t="s">
        <v>31</v>
      </c>
      <c r="F3" s="64">
        <v>0.5</v>
      </c>
      <c r="G3" s="62"/>
      <c r="H3" s="67"/>
      <c r="I3" s="67"/>
      <c r="J3" s="62"/>
      <c r="K3" s="62"/>
    </row>
    <row r="4" spans="1:22" x14ac:dyDescent="0.3">
      <c r="A4" s="61"/>
      <c r="B4" s="62"/>
      <c r="C4" s="62"/>
      <c r="D4" s="62"/>
      <c r="E4" s="62"/>
      <c r="F4" s="62"/>
      <c r="G4" s="62"/>
      <c r="H4" s="62"/>
      <c r="I4" s="62"/>
      <c r="J4" s="62"/>
      <c r="K4" s="62"/>
      <c r="L4" s="1"/>
      <c r="M4" s="1"/>
      <c r="N4" s="1"/>
      <c r="O4" s="1"/>
      <c r="P4" s="1"/>
      <c r="Q4" s="1"/>
      <c r="R4" s="1"/>
      <c r="S4" s="1"/>
    </row>
    <row r="5" spans="1:22" ht="5.25" customHeight="1" x14ac:dyDescent="0.3">
      <c r="A5" s="61"/>
      <c r="B5" s="62"/>
      <c r="C5" s="62"/>
      <c r="D5" s="62"/>
      <c r="E5" s="62"/>
      <c r="F5" s="62"/>
      <c r="G5" s="62"/>
      <c r="H5" s="62"/>
      <c r="I5" s="62"/>
      <c r="J5" s="62"/>
      <c r="K5" s="62"/>
      <c r="L5" s="1"/>
      <c r="M5" s="1"/>
      <c r="N5" s="1"/>
      <c r="O5" s="1"/>
      <c r="P5" s="1"/>
      <c r="Q5" s="1"/>
      <c r="R5" s="1"/>
      <c r="S5" s="1"/>
    </row>
    <row r="6" spans="1:22" ht="63.75" customHeight="1" thickBot="1" x14ac:dyDescent="0.35">
      <c r="A6" s="114" t="s">
        <v>104</v>
      </c>
      <c r="B6" s="115"/>
      <c r="C6" s="115"/>
      <c r="D6" s="115"/>
      <c r="E6" s="115"/>
      <c r="F6" s="115"/>
      <c r="G6" s="115"/>
      <c r="H6" s="115"/>
      <c r="I6" s="115"/>
      <c r="J6" s="59"/>
      <c r="K6" s="59"/>
      <c r="L6" s="1"/>
      <c r="M6" s="1"/>
      <c r="N6" s="116" t="s">
        <v>32</v>
      </c>
      <c r="O6" s="116"/>
      <c r="P6" s="116"/>
      <c r="Q6" s="116"/>
      <c r="R6" s="1"/>
      <c r="S6" s="1"/>
    </row>
    <row r="7" spans="1:22" ht="32.25" customHeight="1" thickBot="1" x14ac:dyDescent="0.65">
      <c r="A7" s="117" t="s">
        <v>1</v>
      </c>
      <c r="B7" s="120" t="str">
        <f xml:space="preserve"> "Front: " &amp; Ueberhaenge!D8</f>
        <v>Front: 2023-10</v>
      </c>
      <c r="C7" s="121"/>
      <c r="D7" s="122"/>
      <c r="E7" s="58"/>
      <c r="F7" s="58"/>
      <c r="G7" s="58"/>
      <c r="H7" s="59"/>
      <c r="I7" s="59"/>
      <c r="J7" s="59"/>
      <c r="K7" s="59"/>
      <c r="L7" s="1"/>
      <c r="M7" s="1"/>
      <c r="N7" s="116"/>
      <c r="O7" s="116"/>
      <c r="P7" s="116"/>
      <c r="Q7" s="116"/>
      <c r="R7" s="38"/>
      <c r="S7" s="38"/>
      <c r="T7" s="37"/>
      <c r="U7" s="37"/>
      <c r="V7" s="37"/>
    </row>
    <row r="8" spans="1:22" ht="21.6" thickBot="1" x14ac:dyDescent="0.45">
      <c r="A8" s="118"/>
      <c r="B8" s="123"/>
      <c r="C8" s="124"/>
      <c r="D8" s="125"/>
      <c r="E8" s="60"/>
      <c r="F8" s="59"/>
      <c r="G8" s="59"/>
      <c r="H8" s="59"/>
      <c r="I8" s="59"/>
      <c r="J8" s="59"/>
      <c r="K8" s="59"/>
      <c r="L8" s="1"/>
      <c r="M8" s="1"/>
      <c r="N8" s="35"/>
      <c r="O8" s="126" t="str">
        <f xml:space="preserve"> "Summe: " &amp; Ueberhaenge!D8 &amp; " bis " &amp; Ueberhaenge!I8</f>
        <v>Summe: 2023-10 bis -</v>
      </c>
      <c r="P8" s="127"/>
      <c r="Q8" s="128"/>
      <c r="R8" s="1"/>
      <c r="S8" s="1"/>
    </row>
    <row r="9" spans="1:22" ht="18.600000000000001" thickBot="1" x14ac:dyDescent="0.4">
      <c r="A9" s="119"/>
      <c r="B9" s="56" t="s">
        <v>26</v>
      </c>
      <c r="C9" s="57">
        <f>Ueberhaenge!G5</f>
        <v>45216</v>
      </c>
      <c r="D9" s="57">
        <f>IF(WEEKDAY(C9,2)=1,C9-3,C9-1)</f>
        <v>45215</v>
      </c>
      <c r="E9" s="60"/>
      <c r="F9" s="59"/>
      <c r="G9" s="59"/>
      <c r="H9" s="59"/>
      <c r="I9" s="59"/>
      <c r="J9" s="59"/>
      <c r="K9" s="59"/>
      <c r="L9" s="1"/>
      <c r="M9" s="1"/>
      <c r="N9" s="36" t="s">
        <v>1</v>
      </c>
      <c r="O9" s="22" t="s">
        <v>26</v>
      </c>
      <c r="P9" s="21">
        <f>C9</f>
        <v>45216</v>
      </c>
      <c r="Q9" s="21">
        <f>D9</f>
        <v>45215</v>
      </c>
      <c r="R9" s="1"/>
      <c r="S9" s="1"/>
    </row>
    <row r="10" spans="1:22" ht="23.1" customHeight="1" x14ac:dyDescent="0.35">
      <c r="A10" s="26">
        <v>4500</v>
      </c>
      <c r="B10" s="27">
        <f>STOXX_Summery!B10</f>
        <v>-1.5</v>
      </c>
      <c r="C10" s="28">
        <v>-19654</v>
      </c>
      <c r="D10" s="28">
        <v>-19654</v>
      </c>
      <c r="E10" s="1"/>
      <c r="F10" s="1"/>
      <c r="G10" s="1"/>
      <c r="H10" s="1"/>
      <c r="I10" s="1"/>
      <c r="J10" s="1"/>
      <c r="K10" s="1"/>
      <c r="L10" s="1"/>
      <c r="M10" s="1"/>
      <c r="N10" s="26">
        <v>4500</v>
      </c>
      <c r="O10" s="29">
        <v>12777</v>
      </c>
      <c r="P10" s="30">
        <v>-33985</v>
      </c>
      <c r="Q10" s="31">
        <v>-46762</v>
      </c>
      <c r="R10" s="1"/>
      <c r="S10" s="1"/>
      <c r="T10" s="23">
        <v>-46762</v>
      </c>
    </row>
    <row r="11" spans="1:22" ht="23.1" customHeight="1" x14ac:dyDescent="0.35">
      <c r="A11" s="26">
        <v>4475</v>
      </c>
      <c r="B11" s="29">
        <v>-195</v>
      </c>
      <c r="C11" s="30">
        <v>-4219.5</v>
      </c>
      <c r="D11" s="30">
        <v>-4024.5</v>
      </c>
      <c r="E11" s="1"/>
      <c r="F11" s="1"/>
      <c r="G11" s="1"/>
      <c r="H11" s="1"/>
      <c r="I11" s="1"/>
      <c r="J11" s="1"/>
      <c r="K11" s="1"/>
      <c r="L11" s="1"/>
      <c r="M11" s="1"/>
      <c r="N11" s="26">
        <v>4475</v>
      </c>
      <c r="O11" s="29">
        <v>419</v>
      </c>
      <c r="P11" s="30">
        <v>-4931</v>
      </c>
      <c r="Q11" s="31">
        <v>-5350</v>
      </c>
      <c r="R11" s="1"/>
      <c r="S11" s="1"/>
      <c r="T11" s="23">
        <v>-5350</v>
      </c>
    </row>
    <row r="12" spans="1:22" ht="23.1" customHeight="1" x14ac:dyDescent="0.35">
      <c r="A12" s="26">
        <v>4450</v>
      </c>
      <c r="B12" s="29">
        <v>-1.5</v>
      </c>
      <c r="C12" s="30">
        <v>-6306</v>
      </c>
      <c r="D12" s="30">
        <v>-6304.5</v>
      </c>
      <c r="E12" s="1"/>
      <c r="F12" s="1"/>
      <c r="G12" s="1"/>
      <c r="H12" s="1"/>
      <c r="I12" s="1"/>
      <c r="J12" s="1"/>
      <c r="K12" s="1"/>
      <c r="L12" s="1"/>
      <c r="M12" s="1"/>
      <c r="N12" s="26">
        <v>4450</v>
      </c>
      <c r="O12" s="29">
        <v>36031.5</v>
      </c>
      <c r="P12" s="30">
        <v>-21315</v>
      </c>
      <c r="Q12" s="31">
        <v>-57346.5</v>
      </c>
      <c r="R12" s="1"/>
      <c r="S12" s="1"/>
      <c r="T12" s="23">
        <v>-57346.5</v>
      </c>
    </row>
    <row r="13" spans="1:22" ht="23.1" customHeight="1" x14ac:dyDescent="0.35">
      <c r="A13" s="26">
        <v>4425</v>
      </c>
      <c r="B13" s="29">
        <v>0</v>
      </c>
      <c r="C13" s="30">
        <v>-3982.5</v>
      </c>
      <c r="D13" s="30">
        <v>-3982.5</v>
      </c>
      <c r="E13" s="1"/>
      <c r="F13" s="1"/>
      <c r="G13" s="1"/>
      <c r="H13" s="1"/>
      <c r="I13" s="1"/>
      <c r="J13" s="1"/>
      <c r="K13" s="1"/>
      <c r="L13" s="1"/>
      <c r="M13" s="1"/>
      <c r="N13" s="26">
        <v>4425</v>
      </c>
      <c r="O13" s="29">
        <v>29932</v>
      </c>
      <c r="P13" s="30">
        <v>-6835.5</v>
      </c>
      <c r="Q13" s="31">
        <v>-36767.5</v>
      </c>
      <c r="R13" s="1"/>
      <c r="S13" s="1"/>
      <c r="T13" s="23">
        <v>-36767.5</v>
      </c>
    </row>
    <row r="14" spans="1:22" ht="23.1" customHeight="1" x14ac:dyDescent="0.35">
      <c r="A14" s="26">
        <v>4400</v>
      </c>
      <c r="B14" s="29">
        <v>437.5</v>
      </c>
      <c r="C14" s="30">
        <v>-24460.5</v>
      </c>
      <c r="D14" s="30">
        <v>-24898</v>
      </c>
      <c r="E14" s="1"/>
      <c r="F14" s="1"/>
      <c r="G14" s="1"/>
      <c r="H14" s="1"/>
      <c r="I14" s="1"/>
      <c r="J14" s="1"/>
      <c r="K14" s="1"/>
      <c r="L14" s="1"/>
      <c r="M14" s="1"/>
      <c r="N14" s="26">
        <v>4400</v>
      </c>
      <c r="O14" s="29">
        <v>46206.5</v>
      </c>
      <c r="P14" s="30">
        <v>-45740.5</v>
      </c>
      <c r="Q14" s="31">
        <v>-91947</v>
      </c>
      <c r="R14" s="1"/>
      <c r="S14" s="1"/>
      <c r="T14" s="23">
        <v>-91947</v>
      </c>
    </row>
    <row r="15" spans="1:22" ht="23.1" customHeight="1" x14ac:dyDescent="0.35">
      <c r="A15" s="26">
        <v>4375</v>
      </c>
      <c r="B15" s="29">
        <v>127</v>
      </c>
      <c r="C15" s="30">
        <v>-17958</v>
      </c>
      <c r="D15" s="30">
        <v>-18085</v>
      </c>
      <c r="E15" s="1"/>
      <c r="F15" s="1"/>
      <c r="G15" s="1"/>
      <c r="H15" s="1"/>
      <c r="I15" s="1"/>
      <c r="J15" s="1"/>
      <c r="K15" s="1"/>
      <c r="L15" s="1"/>
      <c r="M15" s="1"/>
      <c r="N15" s="26">
        <v>4375</v>
      </c>
      <c r="O15" s="29">
        <v>8017</v>
      </c>
      <c r="P15" s="30">
        <v>-25381</v>
      </c>
      <c r="Q15" s="31">
        <v>-33398</v>
      </c>
      <c r="R15" s="1"/>
      <c r="S15" s="1"/>
      <c r="T15" s="23">
        <v>-33398</v>
      </c>
    </row>
    <row r="16" spans="1:22" ht="23.1" customHeight="1" x14ac:dyDescent="0.35">
      <c r="A16" s="26">
        <v>4350</v>
      </c>
      <c r="B16" s="29">
        <v>944.5</v>
      </c>
      <c r="C16" s="30">
        <v>-47051</v>
      </c>
      <c r="D16" s="30">
        <v>-47995.5</v>
      </c>
      <c r="E16" s="1"/>
      <c r="F16" s="1"/>
      <c r="G16" s="1"/>
      <c r="H16" s="1"/>
      <c r="I16" s="1"/>
      <c r="J16" s="1"/>
      <c r="K16" s="1"/>
      <c r="L16" s="1"/>
      <c r="M16" s="1"/>
      <c r="N16" s="26">
        <v>4350</v>
      </c>
      <c r="O16" s="29">
        <v>-11789.601999999999</v>
      </c>
      <c r="P16" s="30">
        <v>-86232.5</v>
      </c>
      <c r="Q16" s="31">
        <v>-74442.898000000001</v>
      </c>
      <c r="R16" s="1"/>
      <c r="S16" s="1"/>
      <c r="T16" s="23">
        <v>-74442.898000000001</v>
      </c>
    </row>
    <row r="17" spans="1:20" ht="23.1" customHeight="1" x14ac:dyDescent="0.35">
      <c r="A17" s="26">
        <v>4325</v>
      </c>
      <c r="B17" s="29">
        <v>859.5</v>
      </c>
      <c r="C17" s="30">
        <v>-20984</v>
      </c>
      <c r="D17" s="30">
        <v>-21843.5</v>
      </c>
      <c r="E17" s="1"/>
      <c r="F17" s="1"/>
      <c r="G17" s="1"/>
      <c r="H17" s="1"/>
      <c r="I17" s="1"/>
      <c r="J17" s="1"/>
      <c r="K17" s="1"/>
      <c r="L17" s="1"/>
      <c r="M17" s="1"/>
      <c r="N17" s="26">
        <v>4325</v>
      </c>
      <c r="O17" s="29">
        <v>-8107.8439999999973</v>
      </c>
      <c r="P17" s="30">
        <v>-31454</v>
      </c>
      <c r="Q17" s="31">
        <v>-23346.156000000003</v>
      </c>
      <c r="R17" s="1"/>
      <c r="S17" s="1"/>
      <c r="T17" s="23">
        <v>-23346.156000000003</v>
      </c>
    </row>
    <row r="18" spans="1:20" ht="23.1" customHeight="1" x14ac:dyDescent="0.35">
      <c r="A18" s="26">
        <v>4300</v>
      </c>
      <c r="B18" s="29">
        <v>2175</v>
      </c>
      <c r="C18" s="30">
        <v>-46155.5</v>
      </c>
      <c r="D18" s="30">
        <v>-48330.5</v>
      </c>
      <c r="E18" s="1"/>
      <c r="F18" s="1"/>
      <c r="G18" s="1"/>
      <c r="H18" s="1"/>
      <c r="I18" s="1"/>
      <c r="J18" s="1"/>
      <c r="K18" s="1"/>
      <c r="L18" s="1"/>
      <c r="M18" s="1"/>
      <c r="N18" s="26">
        <v>4300</v>
      </c>
      <c r="O18" s="29">
        <v>-21065.434999999998</v>
      </c>
      <c r="P18" s="30">
        <v>-84479.454499999993</v>
      </c>
      <c r="Q18" s="31">
        <v>-63414.019499999995</v>
      </c>
      <c r="R18" s="1"/>
      <c r="S18" s="1"/>
      <c r="T18" s="23">
        <v>-63414.019499999995</v>
      </c>
    </row>
    <row r="19" spans="1:20" ht="23.1" customHeight="1" x14ac:dyDescent="0.35">
      <c r="A19" s="26">
        <v>4275</v>
      </c>
      <c r="B19" s="29">
        <v>1355.5</v>
      </c>
      <c r="C19" s="30">
        <v>-23114.5</v>
      </c>
      <c r="D19" s="30">
        <v>-24470</v>
      </c>
      <c r="E19" s="1"/>
      <c r="F19" s="1"/>
      <c r="G19" s="1"/>
      <c r="H19" s="1"/>
      <c r="I19" s="1"/>
      <c r="J19" s="1"/>
      <c r="K19" s="1"/>
      <c r="L19" s="1"/>
      <c r="M19" s="1"/>
      <c r="N19" s="26">
        <v>4275</v>
      </c>
      <c r="O19" s="29">
        <v>-23201.556499999999</v>
      </c>
      <c r="P19" s="30">
        <v>-31271.5</v>
      </c>
      <c r="Q19" s="31">
        <v>-8069.9435000000003</v>
      </c>
      <c r="R19" s="1"/>
      <c r="S19" s="1"/>
      <c r="T19" s="23">
        <v>-8069.9435000000003</v>
      </c>
    </row>
    <row r="20" spans="1:20" ht="23.1" customHeight="1" x14ac:dyDescent="0.35">
      <c r="A20" s="26">
        <v>4250</v>
      </c>
      <c r="B20" s="29">
        <v>307</v>
      </c>
      <c r="C20" s="30">
        <v>-19845</v>
      </c>
      <c r="D20" s="30">
        <v>-20152</v>
      </c>
      <c r="E20" s="1"/>
      <c r="F20" s="1"/>
      <c r="G20" s="1"/>
      <c r="H20" s="1"/>
      <c r="I20" s="1"/>
      <c r="J20" s="1"/>
      <c r="K20" s="1"/>
      <c r="L20" s="1"/>
      <c r="M20" s="1"/>
      <c r="N20" s="26">
        <v>4250</v>
      </c>
      <c r="O20" s="29">
        <v>-6307.320000000007</v>
      </c>
      <c r="P20" s="30">
        <v>-49813.317500000005</v>
      </c>
      <c r="Q20" s="31">
        <v>-43505.997499999998</v>
      </c>
      <c r="R20" s="1"/>
      <c r="S20" s="1"/>
      <c r="T20" s="23">
        <v>-43505.997499999998</v>
      </c>
    </row>
    <row r="21" spans="1:20" ht="23.1" customHeight="1" x14ac:dyDescent="0.35">
      <c r="A21" s="26">
        <v>4225</v>
      </c>
      <c r="B21" s="29">
        <v>-328</v>
      </c>
      <c r="C21" s="30">
        <v>-15341</v>
      </c>
      <c r="D21" s="30">
        <v>-15013</v>
      </c>
      <c r="E21" s="1"/>
      <c r="F21" s="1"/>
      <c r="G21" s="1"/>
      <c r="H21" s="1"/>
      <c r="I21" s="1"/>
      <c r="J21" s="1"/>
      <c r="K21" s="1"/>
      <c r="L21" s="1"/>
      <c r="M21" s="1"/>
      <c r="N21" s="26">
        <v>4225</v>
      </c>
      <c r="O21" s="29">
        <v>-16048.421000000002</v>
      </c>
      <c r="P21" s="30">
        <v>-18631.435000000001</v>
      </c>
      <c r="Q21" s="31">
        <v>-2583.0140000000001</v>
      </c>
      <c r="R21" s="1"/>
      <c r="S21" s="1"/>
      <c r="T21" s="23">
        <v>-2583.0140000000001</v>
      </c>
    </row>
    <row r="22" spans="1:20" ht="23.1" customHeight="1" x14ac:dyDescent="0.35">
      <c r="A22" s="26">
        <v>4200</v>
      </c>
      <c r="B22" s="29">
        <v>1831</v>
      </c>
      <c r="C22" s="30">
        <v>-13410.5</v>
      </c>
      <c r="D22" s="30">
        <v>-15241.5</v>
      </c>
      <c r="E22" s="1"/>
      <c r="F22" s="1"/>
      <c r="G22" s="1"/>
      <c r="H22" s="1"/>
      <c r="I22" s="1"/>
      <c r="J22" s="1"/>
      <c r="K22" s="1"/>
      <c r="L22" s="1"/>
      <c r="M22" s="1"/>
      <c r="N22" s="26">
        <v>4200</v>
      </c>
      <c r="O22" s="29">
        <v>327.80900000000111</v>
      </c>
      <c r="P22" s="30">
        <v>-33765.199000000001</v>
      </c>
      <c r="Q22" s="31">
        <v>-34093.008000000002</v>
      </c>
      <c r="R22" s="1"/>
      <c r="S22" s="1"/>
      <c r="T22" s="23">
        <v>-34093.008000000002</v>
      </c>
    </row>
    <row r="23" spans="1:20" ht="23.1" customHeight="1" x14ac:dyDescent="0.35">
      <c r="A23" s="26">
        <v>4175</v>
      </c>
      <c r="B23" s="29">
        <v>-1594.5</v>
      </c>
      <c r="C23" s="30">
        <v>3353.5</v>
      </c>
      <c r="D23" s="30">
        <v>4948</v>
      </c>
      <c r="E23" s="1"/>
      <c r="F23" s="1"/>
      <c r="G23" s="1"/>
      <c r="H23" s="1"/>
      <c r="I23" s="1"/>
      <c r="J23" s="1"/>
      <c r="K23" s="1"/>
      <c r="L23" s="1"/>
      <c r="M23" s="1"/>
      <c r="N23" s="26">
        <v>4175</v>
      </c>
      <c r="O23" s="29">
        <v>24579.261499999997</v>
      </c>
      <c r="P23" s="30">
        <v>-551.98050000000012</v>
      </c>
      <c r="Q23" s="31">
        <v>-25131.241999999998</v>
      </c>
      <c r="R23" s="1"/>
      <c r="S23" s="1"/>
      <c r="T23" s="23">
        <v>-25131.241999999998</v>
      </c>
    </row>
    <row r="24" spans="1:20" ht="23.1" customHeight="1" x14ac:dyDescent="0.35">
      <c r="A24" s="26">
        <v>4150</v>
      </c>
      <c r="B24" s="29">
        <v>354.5</v>
      </c>
      <c r="C24" s="30">
        <v>6343.5</v>
      </c>
      <c r="D24" s="30">
        <v>5989</v>
      </c>
      <c r="E24" s="1"/>
      <c r="F24" s="1"/>
      <c r="G24" s="1"/>
      <c r="H24" s="1"/>
      <c r="I24" s="1"/>
      <c r="J24" s="1"/>
      <c r="K24" s="1"/>
      <c r="L24" s="1"/>
      <c r="M24" s="1"/>
      <c r="N24" s="26">
        <v>4150</v>
      </c>
      <c r="O24" s="29">
        <v>19158.531999999999</v>
      </c>
      <c r="P24" s="30">
        <v>-4575.6650000000009</v>
      </c>
      <c r="Q24" s="31">
        <v>-23734.197</v>
      </c>
      <c r="R24" s="1"/>
      <c r="S24" s="1"/>
      <c r="T24" s="23">
        <v>-23734.197</v>
      </c>
    </row>
    <row r="25" spans="1:20" ht="23.1" customHeight="1" x14ac:dyDescent="0.35">
      <c r="A25" s="26">
        <v>4125</v>
      </c>
      <c r="B25" s="29">
        <v>375</v>
      </c>
      <c r="C25" s="30">
        <v>2909.5</v>
      </c>
      <c r="D25" s="30">
        <v>2534.5</v>
      </c>
      <c r="E25" s="1"/>
      <c r="F25" s="1"/>
      <c r="G25" s="1"/>
      <c r="H25" s="1"/>
      <c r="I25" s="1"/>
      <c r="J25" s="1"/>
      <c r="K25" s="1"/>
      <c r="L25" s="1"/>
      <c r="M25" s="1"/>
      <c r="N25" s="26">
        <v>4125</v>
      </c>
      <c r="O25" s="29">
        <v>-1118.7754999999997</v>
      </c>
      <c r="P25" s="30">
        <v>1291.8420000000001</v>
      </c>
      <c r="Q25" s="31">
        <v>2410.6174999999998</v>
      </c>
      <c r="R25" s="1"/>
      <c r="S25" s="1"/>
      <c r="T25" s="23">
        <v>2410.6174999999998</v>
      </c>
    </row>
    <row r="26" spans="1:20" ht="23.1" customHeight="1" x14ac:dyDescent="0.35">
      <c r="A26" s="26">
        <v>4100</v>
      </c>
      <c r="B26" s="29">
        <v>-5958.5</v>
      </c>
      <c r="C26" s="30">
        <v>12529</v>
      </c>
      <c r="D26" s="30">
        <v>18487.5</v>
      </c>
      <c r="E26" s="1"/>
      <c r="F26" s="1"/>
      <c r="G26" s="1"/>
      <c r="H26" s="1"/>
      <c r="I26" s="1"/>
      <c r="J26" s="1"/>
      <c r="K26" s="1"/>
      <c r="L26" s="1"/>
      <c r="M26" s="1"/>
      <c r="N26" s="26">
        <v>4100</v>
      </c>
      <c r="O26" s="29">
        <v>-7630.0349999999999</v>
      </c>
      <c r="P26" s="30">
        <v>680.26649999999972</v>
      </c>
      <c r="Q26" s="31">
        <v>8310.3014999999996</v>
      </c>
      <c r="R26" s="1"/>
      <c r="S26" s="1"/>
      <c r="T26" s="23">
        <v>8310.3014999999996</v>
      </c>
    </row>
    <row r="27" spans="1:20" ht="23.1" customHeight="1" x14ac:dyDescent="0.35">
      <c r="A27" s="26">
        <v>4075</v>
      </c>
      <c r="B27" s="29">
        <v>353.5</v>
      </c>
      <c r="C27" s="30">
        <v>11004.5</v>
      </c>
      <c r="D27" s="30">
        <v>10651</v>
      </c>
      <c r="E27" s="1"/>
      <c r="F27" s="1"/>
      <c r="G27" s="1"/>
      <c r="H27" s="1"/>
      <c r="I27" s="1"/>
      <c r="J27" s="1"/>
      <c r="K27" s="1"/>
      <c r="L27" s="1"/>
      <c r="M27" s="1"/>
      <c r="N27" s="26">
        <v>4075</v>
      </c>
      <c r="O27" s="29">
        <v>-24953.145500000006</v>
      </c>
      <c r="P27" s="30">
        <v>10311.139499999999</v>
      </c>
      <c r="Q27" s="31">
        <v>35264.285000000003</v>
      </c>
      <c r="R27" s="1"/>
      <c r="S27" s="1"/>
      <c r="T27" s="23">
        <v>35264.285000000003</v>
      </c>
    </row>
    <row r="28" spans="1:20" ht="23.1" customHeight="1" x14ac:dyDescent="0.35">
      <c r="A28" s="26">
        <v>4050</v>
      </c>
      <c r="B28" s="29">
        <v>4420.5</v>
      </c>
      <c r="C28" s="30">
        <v>3930</v>
      </c>
      <c r="D28" s="30">
        <v>-490.5</v>
      </c>
      <c r="E28" s="1"/>
      <c r="F28" s="1"/>
      <c r="G28" s="1"/>
      <c r="H28" s="1"/>
      <c r="I28" s="1"/>
      <c r="J28" s="1"/>
      <c r="K28" s="1"/>
      <c r="L28" s="1"/>
      <c r="M28" s="1"/>
      <c r="N28" s="26">
        <v>4050</v>
      </c>
      <c r="O28" s="29">
        <v>-3392.3254999999999</v>
      </c>
      <c r="P28" s="30">
        <v>187.47749999999996</v>
      </c>
      <c r="Q28" s="31">
        <v>3579.8029999999999</v>
      </c>
      <c r="R28" s="1"/>
      <c r="S28" s="1"/>
      <c r="T28" s="23">
        <v>3579.8029999999999</v>
      </c>
    </row>
    <row r="29" spans="1:20" ht="23.1" customHeight="1" x14ac:dyDescent="0.35">
      <c r="A29" s="26">
        <v>4025</v>
      </c>
      <c r="B29" s="29">
        <v>305.5</v>
      </c>
      <c r="C29" s="30">
        <v>4650</v>
      </c>
      <c r="D29" s="30">
        <v>4344.5</v>
      </c>
      <c r="E29" s="1"/>
      <c r="F29" s="1"/>
      <c r="G29" s="1"/>
      <c r="H29" s="1"/>
      <c r="I29" s="1"/>
      <c r="J29" s="1"/>
      <c r="K29" s="1"/>
      <c r="L29" s="1"/>
      <c r="M29" s="1"/>
      <c r="N29" s="26">
        <v>4025</v>
      </c>
      <c r="O29" s="29">
        <v>6908.5304999999998</v>
      </c>
      <c r="P29" s="30">
        <v>3007.1594999999998</v>
      </c>
      <c r="Q29" s="31">
        <v>-3901.3710000000001</v>
      </c>
      <c r="R29" s="1"/>
      <c r="S29" s="1"/>
      <c r="T29" s="23">
        <v>-3901.3710000000001</v>
      </c>
    </row>
    <row r="30" spans="1:20" ht="23.1" customHeight="1" x14ac:dyDescent="0.35">
      <c r="A30" s="26">
        <v>4000</v>
      </c>
      <c r="B30" s="29">
        <v>2593</v>
      </c>
      <c r="C30" s="30">
        <v>37111</v>
      </c>
      <c r="D30" s="30">
        <v>34518</v>
      </c>
      <c r="E30" s="1"/>
      <c r="F30" s="1"/>
      <c r="G30" s="1"/>
      <c r="H30" s="1"/>
      <c r="I30" s="1"/>
      <c r="J30" s="1"/>
      <c r="K30" s="1"/>
      <c r="L30" s="1"/>
      <c r="M30" s="1"/>
      <c r="N30" s="26">
        <v>4000</v>
      </c>
      <c r="O30" s="29">
        <v>-4582.2805000000008</v>
      </c>
      <c r="P30" s="30">
        <v>32922.656999999999</v>
      </c>
      <c r="Q30" s="31">
        <v>37504.9375</v>
      </c>
      <c r="R30" s="1"/>
      <c r="S30" s="1"/>
      <c r="T30" s="23">
        <v>37504.9375</v>
      </c>
    </row>
    <row r="31" spans="1:20" ht="23.1" customHeight="1" x14ac:dyDescent="0.35">
      <c r="A31" s="26">
        <v>3975</v>
      </c>
      <c r="B31" s="29">
        <v>-205</v>
      </c>
      <c r="C31" s="30">
        <v>14409</v>
      </c>
      <c r="D31" s="30">
        <v>14614</v>
      </c>
      <c r="E31" s="1"/>
      <c r="F31" s="1"/>
      <c r="G31" s="1"/>
      <c r="H31" s="1"/>
      <c r="I31" s="1"/>
      <c r="J31" s="1"/>
      <c r="K31" s="1"/>
      <c r="L31" s="1"/>
      <c r="M31" s="1"/>
      <c r="N31" s="26">
        <v>3975</v>
      </c>
      <c r="O31" s="29">
        <v>9521.9294999999984</v>
      </c>
      <c r="P31" s="30">
        <v>14036.2215</v>
      </c>
      <c r="Q31" s="31">
        <v>4514.2920000000004</v>
      </c>
      <c r="R31" s="1"/>
      <c r="S31" s="1"/>
      <c r="T31" s="23">
        <v>4514.2920000000004</v>
      </c>
    </row>
    <row r="32" spans="1:20" ht="23.1" customHeight="1" x14ac:dyDescent="0.35">
      <c r="A32" s="26">
        <v>3950</v>
      </c>
      <c r="B32" s="29">
        <v>-2838</v>
      </c>
      <c r="C32" s="30">
        <v>30750</v>
      </c>
      <c r="D32" s="30">
        <v>33588</v>
      </c>
      <c r="E32" s="1"/>
      <c r="F32" s="1"/>
      <c r="G32" s="1"/>
      <c r="H32" s="1"/>
      <c r="I32" s="1"/>
      <c r="J32" s="1"/>
      <c r="K32" s="1"/>
      <c r="L32" s="1"/>
      <c r="M32" s="1"/>
      <c r="N32" s="26">
        <v>3950</v>
      </c>
      <c r="O32" s="29">
        <v>20109.335500000001</v>
      </c>
      <c r="P32" s="30">
        <v>25390.210999999999</v>
      </c>
      <c r="Q32" s="31">
        <v>5280.8755000000001</v>
      </c>
      <c r="R32" s="1"/>
      <c r="S32" s="1"/>
      <c r="T32" s="23">
        <v>5280.8755000000001</v>
      </c>
    </row>
    <row r="33" spans="1:20" ht="23.1" customHeight="1" x14ac:dyDescent="0.35">
      <c r="A33" s="26">
        <v>3925</v>
      </c>
      <c r="B33" s="29">
        <v>99.5</v>
      </c>
      <c r="C33" s="30">
        <v>7718.5</v>
      </c>
      <c r="D33" s="30">
        <v>7619</v>
      </c>
      <c r="E33" s="1"/>
      <c r="F33" s="1"/>
      <c r="G33" s="1"/>
      <c r="H33" s="1"/>
      <c r="I33" s="1"/>
      <c r="J33" s="1"/>
      <c r="K33" s="1"/>
      <c r="L33" s="1"/>
      <c r="M33" s="1"/>
      <c r="N33" s="26">
        <v>3925</v>
      </c>
      <c r="O33" s="29">
        <v>-1055.3644999999997</v>
      </c>
      <c r="P33" s="30">
        <v>7443.6175000000003</v>
      </c>
      <c r="Q33" s="31">
        <v>8498.982</v>
      </c>
      <c r="R33" s="1"/>
      <c r="S33" s="1"/>
      <c r="T33" s="23">
        <v>8498.982</v>
      </c>
    </row>
    <row r="34" spans="1:20" ht="23.1" customHeight="1" x14ac:dyDescent="0.35">
      <c r="A34" s="26">
        <v>3900</v>
      </c>
      <c r="B34" s="29">
        <v>-2117</v>
      </c>
      <c r="C34" s="30">
        <v>88423</v>
      </c>
      <c r="D34" s="30">
        <v>90540</v>
      </c>
      <c r="E34" s="1"/>
      <c r="F34" s="1"/>
      <c r="G34" s="1"/>
      <c r="H34" s="1"/>
      <c r="I34" s="1"/>
      <c r="J34" s="1"/>
      <c r="K34" s="1"/>
      <c r="L34" s="1"/>
      <c r="M34" s="1"/>
      <c r="N34" s="26">
        <v>3900</v>
      </c>
      <c r="O34" s="29">
        <v>76252.282000000007</v>
      </c>
      <c r="P34" s="30">
        <v>88132.131500000003</v>
      </c>
      <c r="Q34" s="31">
        <v>11879.8495</v>
      </c>
      <c r="R34" s="1"/>
      <c r="S34" s="1"/>
      <c r="T34" s="23">
        <v>11879.8495</v>
      </c>
    </row>
    <row r="35" spans="1:20" ht="23.1" customHeight="1" x14ac:dyDescent="0.35">
      <c r="A35" s="26">
        <v>3875</v>
      </c>
      <c r="B35" s="29">
        <v>-22</v>
      </c>
      <c r="C35" s="30">
        <v>9722.5</v>
      </c>
      <c r="D35" s="30">
        <v>9744.5</v>
      </c>
      <c r="E35" s="1"/>
      <c r="F35" s="1"/>
      <c r="G35" s="1"/>
      <c r="H35" s="1"/>
      <c r="I35" s="1"/>
      <c r="J35" s="1"/>
      <c r="K35" s="1"/>
      <c r="L35" s="1"/>
      <c r="M35" s="1"/>
      <c r="N35" s="26">
        <v>3875</v>
      </c>
      <c r="O35" s="29">
        <v>5489.4985000000006</v>
      </c>
      <c r="P35" s="30">
        <v>9723.1370000000006</v>
      </c>
      <c r="Q35" s="31">
        <v>4233.6385</v>
      </c>
      <c r="R35" s="1"/>
      <c r="S35" s="1"/>
      <c r="T35" s="23">
        <v>4233.6385</v>
      </c>
    </row>
    <row r="36" spans="1:20" ht="23.1" customHeight="1" x14ac:dyDescent="0.35">
      <c r="A36" s="26">
        <v>3850</v>
      </c>
      <c r="B36" s="29">
        <v>-1112</v>
      </c>
      <c r="C36" s="30">
        <v>61165.5</v>
      </c>
      <c r="D36" s="30">
        <v>62277.5</v>
      </c>
      <c r="E36" s="1"/>
      <c r="F36" s="1"/>
      <c r="G36" s="1"/>
      <c r="H36" s="1"/>
      <c r="I36" s="1"/>
      <c r="J36" s="1"/>
      <c r="K36" s="1"/>
      <c r="L36" s="1"/>
      <c r="M36" s="1"/>
      <c r="N36" s="26">
        <v>3850</v>
      </c>
      <c r="O36" s="29">
        <v>45431.172999999995</v>
      </c>
      <c r="P36" s="30">
        <v>61149.875999999997</v>
      </c>
      <c r="Q36" s="31">
        <v>15718.703</v>
      </c>
      <c r="R36" s="1"/>
      <c r="S36" s="1"/>
      <c r="T36" s="23">
        <v>15718.703</v>
      </c>
    </row>
    <row r="37" spans="1:20" ht="23.1" customHeight="1" x14ac:dyDescent="0.35">
      <c r="A37" s="26">
        <v>3825</v>
      </c>
      <c r="B37" s="29">
        <v>507</v>
      </c>
      <c r="C37" s="30">
        <v>11707.5</v>
      </c>
      <c r="D37" s="30">
        <v>11200.5</v>
      </c>
      <c r="E37" s="1"/>
      <c r="F37" s="1"/>
      <c r="G37" s="1"/>
      <c r="H37" s="1"/>
      <c r="I37" s="1"/>
      <c r="J37" s="1"/>
      <c r="K37" s="1"/>
      <c r="L37" s="1"/>
      <c r="M37" s="1"/>
      <c r="N37" s="26">
        <v>3825</v>
      </c>
      <c r="O37" s="29">
        <v>5517.4219999999996</v>
      </c>
      <c r="P37" s="30">
        <v>11508.906499999999</v>
      </c>
      <c r="Q37" s="31">
        <v>5991.4844999999996</v>
      </c>
      <c r="R37" s="1"/>
      <c r="S37" s="1"/>
      <c r="T37" s="23">
        <v>5991.4844999999996</v>
      </c>
    </row>
    <row r="38" spans="1:20" ht="23.1" customHeight="1" thickBot="1" x14ac:dyDescent="0.4">
      <c r="A38" s="32">
        <v>3800</v>
      </c>
      <c r="B38" s="29">
        <v>-4099</v>
      </c>
      <c r="C38" s="30">
        <v>50505.5</v>
      </c>
      <c r="D38" s="30">
        <v>54604.5</v>
      </c>
      <c r="E38" s="1"/>
      <c r="F38" s="1"/>
      <c r="G38" s="1"/>
      <c r="H38" s="1"/>
      <c r="I38" s="1"/>
      <c r="J38" s="1"/>
      <c r="K38" s="1"/>
      <c r="L38" s="1"/>
      <c r="M38" s="1"/>
      <c r="N38" s="26">
        <v>3800</v>
      </c>
      <c r="O38" s="29">
        <v>11765.2785</v>
      </c>
      <c r="P38" s="30">
        <v>50189.614999999998</v>
      </c>
      <c r="Q38" s="31">
        <v>38424.336499999998</v>
      </c>
      <c r="R38" s="1"/>
      <c r="S38" s="1"/>
      <c r="T38" s="23">
        <v>38424.336499999998</v>
      </c>
    </row>
    <row r="39" spans="1:20" ht="18" x14ac:dyDescent="0.35">
      <c r="A39" s="71"/>
      <c r="B39" s="30"/>
      <c r="C39" s="30"/>
      <c r="D39" s="30"/>
      <c r="E39" s="1"/>
      <c r="F39" s="1"/>
      <c r="G39" s="1"/>
      <c r="H39" s="1"/>
      <c r="I39" s="1"/>
      <c r="J39" s="1"/>
      <c r="K39" s="1"/>
      <c r="L39" s="1"/>
      <c r="M39" s="1"/>
      <c r="N39" s="26"/>
      <c r="O39" s="29"/>
      <c r="P39" s="30"/>
      <c r="Q39" s="31"/>
      <c r="R39" s="1"/>
      <c r="S39" s="1"/>
      <c r="T39" s="23">
        <v>17666.5</v>
      </c>
    </row>
    <row r="40" spans="1:20" ht="18" x14ac:dyDescent="0.35">
      <c r="A40" s="69"/>
      <c r="B40" s="30"/>
      <c r="C40" s="30"/>
      <c r="D40" s="30"/>
      <c r="E40" s="1"/>
      <c r="F40" s="1"/>
      <c r="G40" s="1"/>
      <c r="H40" s="1"/>
      <c r="I40" s="1"/>
      <c r="J40" s="1"/>
      <c r="K40" s="1"/>
      <c r="L40" s="1"/>
      <c r="M40" s="1"/>
      <c r="N40" s="26"/>
      <c r="O40" s="29"/>
      <c r="P40" s="30"/>
      <c r="Q40" s="31"/>
      <c r="R40" s="1"/>
      <c r="S40" s="1"/>
      <c r="T40" s="23">
        <v>38576</v>
      </c>
    </row>
    <row r="41" spans="1:20" ht="18.600000000000001" thickBot="1" x14ac:dyDescent="0.4">
      <c r="A41" s="69"/>
      <c r="B41" s="30"/>
      <c r="C41" s="30"/>
      <c r="D41" s="30"/>
      <c r="E41" s="1"/>
      <c r="F41" s="1"/>
      <c r="G41" s="1"/>
      <c r="H41" s="1"/>
      <c r="I41" s="1"/>
      <c r="J41" s="1"/>
      <c r="K41" s="1"/>
      <c r="L41" s="1"/>
      <c r="M41" s="1"/>
      <c r="N41" s="26"/>
      <c r="O41" s="29"/>
      <c r="P41" s="30"/>
      <c r="Q41" s="31"/>
      <c r="R41" s="1"/>
      <c r="S41" s="1"/>
      <c r="T41" s="23"/>
    </row>
    <row r="42" spans="1:20" ht="49.5" customHeight="1" thickBot="1" x14ac:dyDescent="0.4">
      <c r="A42" s="69"/>
      <c r="B42" s="131" t="s">
        <v>30</v>
      </c>
      <c r="C42" s="132"/>
      <c r="D42" s="133"/>
      <c r="E42" s="1"/>
      <c r="F42" s="1"/>
      <c r="G42" s="1"/>
      <c r="H42" s="1"/>
      <c r="I42" s="1"/>
      <c r="J42" s="1"/>
      <c r="K42" s="1"/>
      <c r="L42" s="1"/>
      <c r="M42" s="1"/>
      <c r="N42" s="26"/>
      <c r="O42" s="29"/>
      <c r="P42" s="30"/>
      <c r="Q42" s="31"/>
      <c r="R42" s="1"/>
      <c r="S42" s="1"/>
      <c r="T42" s="23"/>
    </row>
    <row r="43" spans="1:20" ht="49.5" customHeight="1" x14ac:dyDescent="0.35">
      <c r="A43" s="69"/>
      <c r="B43" s="72"/>
      <c r="C43" s="72"/>
      <c r="D43" s="72"/>
      <c r="E43" s="1"/>
      <c r="F43" s="1"/>
      <c r="G43" s="1"/>
      <c r="H43" s="1"/>
      <c r="I43" s="1"/>
      <c r="J43" s="1"/>
      <c r="K43" s="1"/>
      <c r="L43" s="1"/>
      <c r="M43" s="1"/>
      <c r="N43" s="26"/>
      <c r="O43" s="29"/>
      <c r="P43" s="30"/>
      <c r="Q43" s="31"/>
      <c r="R43" s="1"/>
      <c r="S43" s="1"/>
      <c r="T43" s="23"/>
    </row>
    <row r="44" spans="1:20" ht="18" x14ac:dyDescent="0.35">
      <c r="A44" s="69"/>
      <c r="B44" s="30"/>
      <c r="C44" s="30"/>
      <c r="D44" s="30"/>
      <c r="E44" s="1"/>
      <c r="F44" s="1"/>
      <c r="G44" s="1"/>
      <c r="H44" s="1"/>
      <c r="I44" s="1"/>
      <c r="J44" s="1"/>
      <c r="K44" s="1"/>
      <c r="L44" s="1"/>
      <c r="M44" s="1"/>
      <c r="N44" s="26"/>
      <c r="O44" s="29"/>
      <c r="P44" s="30"/>
      <c r="Q44" s="31"/>
      <c r="R44" s="1"/>
      <c r="S44" s="1"/>
      <c r="T44" s="23"/>
    </row>
    <row r="45" spans="1:20" ht="18" x14ac:dyDescent="0.35">
      <c r="A45" s="33" t="s">
        <v>28</v>
      </c>
      <c r="B45" s="33"/>
      <c r="C45" s="33"/>
      <c r="D45" s="33"/>
      <c r="E45" s="1"/>
      <c r="F45" s="1"/>
      <c r="G45" s="1" t="str">
        <f>STOXX_Infos!B33</f>
        <v>2023-10+2023-11</v>
      </c>
      <c r="H45" s="1"/>
      <c r="I45" s="1"/>
      <c r="J45" s="1"/>
      <c r="K45" s="1"/>
      <c r="L45" s="1"/>
      <c r="M45" s="1"/>
      <c r="N45" s="26"/>
      <c r="O45" s="29"/>
      <c r="P45" s="30"/>
      <c r="Q45" s="31"/>
      <c r="R45" s="1"/>
      <c r="S45" s="1"/>
      <c r="T45" s="23"/>
    </row>
    <row r="46" spans="1:20" ht="18" x14ac:dyDescent="0.35">
      <c r="A46" s="34" t="s">
        <v>29</v>
      </c>
      <c r="B46" s="34"/>
      <c r="C46" s="34"/>
      <c r="D46" s="34"/>
      <c r="E46" s="1"/>
      <c r="F46" s="1"/>
      <c r="G46" s="1" t="str">
        <f>STOXX_Infos!B32</f>
        <v>2023-11</v>
      </c>
      <c r="H46" s="1"/>
      <c r="I46" s="1"/>
      <c r="J46" s="1"/>
      <c r="K46" s="1"/>
      <c r="L46" s="1"/>
      <c r="M46" s="1"/>
      <c r="N46" s="26"/>
      <c r="O46" s="29"/>
      <c r="P46" s="30"/>
      <c r="Q46" s="31"/>
      <c r="R46" s="1"/>
      <c r="S46" s="1"/>
      <c r="T46" s="23"/>
    </row>
    <row r="47" spans="1:20" ht="18" x14ac:dyDescent="0.35">
      <c r="A47" s="69"/>
      <c r="B47" s="30"/>
      <c r="C47" s="30"/>
      <c r="D47" s="30"/>
      <c r="E47" s="1"/>
      <c r="F47" s="1"/>
      <c r="G47" s="1"/>
      <c r="H47" s="1"/>
      <c r="I47" s="1"/>
      <c r="J47" s="1"/>
      <c r="K47" s="1"/>
      <c r="L47" s="1"/>
      <c r="M47" s="1"/>
      <c r="N47" s="26"/>
      <c r="O47" s="29"/>
      <c r="P47" s="30"/>
      <c r="Q47" s="31"/>
      <c r="R47" s="1"/>
      <c r="S47" s="1"/>
      <c r="T47" s="23"/>
    </row>
    <row r="48" spans="1:20" ht="18" x14ac:dyDescent="0.35">
      <c r="A48" s="69"/>
      <c r="B48" s="30"/>
      <c r="C48" s="30"/>
      <c r="D48" s="30"/>
      <c r="E48" s="1"/>
      <c r="F48" s="1"/>
      <c r="G48" s="1"/>
      <c r="H48" s="1"/>
      <c r="I48" s="1"/>
      <c r="J48" s="1"/>
      <c r="K48" s="1"/>
      <c r="L48" s="1"/>
      <c r="M48" s="1"/>
      <c r="N48" s="26"/>
      <c r="O48" s="29"/>
      <c r="P48" s="30"/>
      <c r="Q48" s="31"/>
      <c r="R48" s="1"/>
      <c r="S48" s="1"/>
      <c r="T48" s="23"/>
    </row>
    <row r="49" spans="1:19" x14ac:dyDescent="0.3">
      <c r="A49" s="24"/>
      <c r="B49" s="24"/>
      <c r="C49" s="24"/>
      <c r="D49" s="24"/>
      <c r="E49" s="24"/>
      <c r="F49" s="24"/>
      <c r="G49" s="24"/>
      <c r="H49" s="24"/>
      <c r="I49" s="1"/>
      <c r="J49" s="1"/>
      <c r="K49" s="1"/>
      <c r="L49" s="1"/>
      <c r="M49" s="1"/>
      <c r="N49" s="1"/>
      <c r="O49" s="1"/>
      <c r="P49" s="1"/>
      <c r="Q49" s="1"/>
      <c r="R49" s="1"/>
      <c r="S49" s="1"/>
    </row>
    <row r="50" spans="1:19" ht="200.25" customHeight="1" x14ac:dyDescent="0.3">
      <c r="A50" s="134" t="str">
        <f>Disclaimer!A2</f>
        <v>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v>
      </c>
      <c r="B50" s="134"/>
      <c r="C50" s="134"/>
      <c r="D50" s="134"/>
      <c r="E50" s="134"/>
      <c r="F50" s="134"/>
      <c r="G50" s="134"/>
      <c r="H50" s="134"/>
      <c r="I50" s="134"/>
      <c r="J50" s="134"/>
      <c r="K50" s="1"/>
      <c r="L50" s="1"/>
      <c r="M50" s="1"/>
      <c r="N50" s="135"/>
      <c r="O50" s="135"/>
      <c r="P50" s="135"/>
      <c r="Q50" s="135"/>
      <c r="R50" s="1"/>
      <c r="S50" s="1"/>
    </row>
    <row r="51" spans="1:19" x14ac:dyDescent="0.3">
      <c r="A51" s="129"/>
      <c r="B51" s="130"/>
      <c r="C51" s="130"/>
      <c r="D51" s="130"/>
      <c r="E51" s="130"/>
      <c r="F51" s="130"/>
      <c r="G51" s="130"/>
      <c r="H51" s="130"/>
      <c r="I51" s="130"/>
      <c r="J51" s="1"/>
      <c r="K51" s="1"/>
      <c r="L51" s="1"/>
      <c r="M51" s="1"/>
      <c r="N51" s="1"/>
      <c r="O51" s="1"/>
      <c r="P51" s="1"/>
      <c r="Q51" s="1"/>
      <c r="R51" s="1"/>
      <c r="S51" s="1"/>
    </row>
    <row r="52" spans="1:19" x14ac:dyDescent="0.3">
      <c r="A52" s="129"/>
      <c r="B52" s="130"/>
      <c r="C52" s="130"/>
      <c r="D52" s="130"/>
      <c r="E52" s="130"/>
      <c r="F52" s="130"/>
      <c r="G52" s="130"/>
      <c r="H52" s="130"/>
      <c r="I52" s="130"/>
      <c r="J52" s="1"/>
      <c r="K52" s="1"/>
      <c r="L52" s="1"/>
      <c r="M52" s="1"/>
      <c r="N52" s="1"/>
      <c r="O52" s="1"/>
      <c r="P52" s="1"/>
      <c r="Q52" s="1"/>
      <c r="R52" s="1"/>
      <c r="S52" s="1"/>
    </row>
    <row r="53" spans="1:19" x14ac:dyDescent="0.3">
      <c r="A53" s="129"/>
      <c r="B53" s="130"/>
      <c r="C53" s="130"/>
      <c r="D53" s="130"/>
      <c r="E53" s="130"/>
      <c r="F53" s="130"/>
      <c r="G53" s="130"/>
      <c r="H53" s="130"/>
      <c r="I53" s="130"/>
      <c r="J53" s="1"/>
      <c r="K53" s="1"/>
      <c r="L53" s="1"/>
      <c r="M53" s="1"/>
      <c r="N53" s="1"/>
      <c r="O53" s="1"/>
      <c r="P53" s="1"/>
      <c r="Q53" s="1"/>
      <c r="R53" s="1"/>
      <c r="S53" s="1"/>
    </row>
    <row r="54" spans="1:19" x14ac:dyDescent="0.3">
      <c r="A54" s="129"/>
      <c r="B54" s="130"/>
      <c r="C54" s="130"/>
      <c r="D54" s="130"/>
      <c r="E54" s="130"/>
      <c r="F54" s="130"/>
      <c r="G54" s="130"/>
      <c r="H54" s="130"/>
      <c r="I54" s="130"/>
      <c r="J54" s="1"/>
      <c r="K54" s="1"/>
      <c r="L54" s="1"/>
      <c r="M54" s="1"/>
      <c r="N54" s="1"/>
      <c r="O54" s="1"/>
      <c r="P54" s="1"/>
      <c r="Q54" s="1"/>
      <c r="R54" s="1"/>
      <c r="S54" s="1"/>
    </row>
    <row r="55" spans="1:19" x14ac:dyDescent="0.3">
      <c r="A55" s="24"/>
      <c r="B55" s="24"/>
      <c r="C55" s="24"/>
      <c r="D55" s="24"/>
      <c r="E55" s="24"/>
      <c r="F55" s="24"/>
      <c r="G55" s="24"/>
      <c r="H55" s="24"/>
      <c r="I55" s="1"/>
      <c r="J55" s="1"/>
      <c r="K55" s="1"/>
      <c r="L55" s="1"/>
      <c r="M55" s="1"/>
      <c r="N55" s="1"/>
      <c r="O55" s="1"/>
      <c r="P55" s="1"/>
      <c r="Q55" s="1"/>
      <c r="R55" s="1"/>
      <c r="S55" s="1"/>
    </row>
    <row r="56" spans="1:19" x14ac:dyDescent="0.3">
      <c r="A56" s="24"/>
      <c r="B56" s="24"/>
      <c r="C56" s="24"/>
      <c r="D56" s="24"/>
      <c r="E56" s="24"/>
      <c r="F56" s="24"/>
      <c r="G56" s="24"/>
      <c r="H56" s="24"/>
      <c r="I56" s="1"/>
      <c r="J56" s="1"/>
      <c r="K56" s="1"/>
      <c r="L56" s="1"/>
      <c r="M56" s="1"/>
      <c r="N56" s="1"/>
      <c r="O56" s="1"/>
      <c r="P56" s="1"/>
      <c r="Q56" s="1"/>
      <c r="R56" s="1"/>
      <c r="S56" s="1"/>
    </row>
    <row r="57" spans="1:19" x14ac:dyDescent="0.3">
      <c r="A57" s="24"/>
      <c r="B57" s="24"/>
      <c r="C57" s="24"/>
      <c r="D57" s="24"/>
      <c r="E57" s="24"/>
      <c r="F57" s="24"/>
      <c r="G57" s="24"/>
      <c r="H57" s="24"/>
      <c r="I57" s="1"/>
      <c r="J57" s="1"/>
      <c r="K57" s="1"/>
      <c r="L57" s="1"/>
      <c r="M57" s="1"/>
      <c r="N57" s="1"/>
      <c r="O57" s="1"/>
      <c r="P57" s="1"/>
      <c r="Q57" s="1"/>
      <c r="R57" s="1"/>
      <c r="S57" s="1"/>
    </row>
    <row r="58" spans="1:19" x14ac:dyDescent="0.3">
      <c r="A58" s="20"/>
      <c r="B58" s="1"/>
      <c r="C58" s="1"/>
      <c r="D58" s="1"/>
      <c r="E58" s="1"/>
      <c r="F58" s="1"/>
      <c r="G58" s="1"/>
      <c r="H58" s="1"/>
      <c r="I58" s="1"/>
      <c r="J58" s="1"/>
      <c r="K58" s="1"/>
      <c r="L58" s="1"/>
      <c r="M58" s="1"/>
      <c r="N58" s="1"/>
      <c r="O58" s="1"/>
      <c r="P58" s="1"/>
      <c r="Q58" s="1"/>
      <c r="R58" s="1"/>
      <c r="S58" s="1"/>
    </row>
    <row r="59" spans="1:19" x14ac:dyDescent="0.3">
      <c r="A59" s="20"/>
      <c r="B59" s="1"/>
      <c r="C59" s="1"/>
      <c r="D59" s="1"/>
      <c r="E59" s="1"/>
      <c r="F59" s="1"/>
      <c r="G59" s="1"/>
      <c r="H59" s="1"/>
      <c r="I59" s="1"/>
      <c r="J59" s="1"/>
      <c r="K59" s="1"/>
      <c r="L59" s="1"/>
      <c r="M59" s="1"/>
      <c r="N59" s="1"/>
      <c r="O59" s="1"/>
      <c r="P59" s="1"/>
      <c r="Q59" s="1"/>
      <c r="R59" s="1"/>
      <c r="S59" s="1"/>
    </row>
    <row r="60" spans="1:19" x14ac:dyDescent="0.3">
      <c r="A60" s="20"/>
      <c r="B60" s="1"/>
      <c r="C60" s="1"/>
      <c r="D60" s="1"/>
      <c r="E60" s="1"/>
      <c r="F60" s="1"/>
      <c r="G60" s="1"/>
      <c r="H60" s="1"/>
      <c r="I60" s="1"/>
      <c r="J60" s="1"/>
      <c r="K60" s="1"/>
      <c r="L60" s="1"/>
      <c r="M60" s="1"/>
      <c r="N60" s="1"/>
      <c r="O60" s="1"/>
      <c r="P60" s="1"/>
      <c r="Q60" s="1"/>
      <c r="R60" s="1"/>
      <c r="S60" s="1"/>
    </row>
    <row r="61" spans="1:19" x14ac:dyDescent="0.3">
      <c r="A61" s="20"/>
      <c r="B61" s="1"/>
      <c r="C61" s="1"/>
      <c r="D61" s="1"/>
      <c r="E61" s="1"/>
      <c r="F61" s="1"/>
      <c r="G61" s="1"/>
      <c r="H61" s="1"/>
      <c r="I61" s="1"/>
      <c r="J61" s="1"/>
      <c r="K61" s="1"/>
      <c r="L61" s="1"/>
      <c r="M61" s="1"/>
      <c r="N61" s="1"/>
      <c r="O61" s="1"/>
      <c r="P61" s="1"/>
      <c r="Q61" s="1"/>
      <c r="R61" s="1"/>
      <c r="S61" s="1"/>
    </row>
    <row r="62" spans="1:19" x14ac:dyDescent="0.3">
      <c r="A62" s="20"/>
      <c r="B62" s="1"/>
      <c r="C62" s="1"/>
      <c r="D62" s="1"/>
      <c r="E62" s="1"/>
      <c r="F62" s="1"/>
      <c r="G62" s="1"/>
      <c r="H62" s="1"/>
      <c r="I62" s="1"/>
      <c r="J62" s="1"/>
      <c r="K62" s="1"/>
      <c r="L62" s="1"/>
      <c r="M62" s="1"/>
      <c r="N62" s="1"/>
      <c r="O62" s="1"/>
      <c r="P62" s="1"/>
      <c r="Q62" s="1"/>
      <c r="R62" s="1"/>
      <c r="S62" s="1"/>
    </row>
    <row r="63" spans="1:19" x14ac:dyDescent="0.3">
      <c r="A63" s="20"/>
      <c r="B63" s="1"/>
      <c r="C63" s="1"/>
      <c r="D63" s="1"/>
      <c r="E63" s="1"/>
      <c r="F63" s="1"/>
      <c r="G63" s="1"/>
      <c r="H63" s="1"/>
      <c r="I63" s="1"/>
      <c r="J63" s="1"/>
      <c r="K63" s="1"/>
      <c r="L63" s="1"/>
      <c r="M63" s="1"/>
      <c r="N63" s="1"/>
      <c r="O63" s="1"/>
      <c r="P63" s="1"/>
      <c r="Q63" s="1"/>
      <c r="R63" s="1"/>
      <c r="S63" s="1"/>
    </row>
    <row r="64" spans="1:19" x14ac:dyDescent="0.3">
      <c r="A64" s="20"/>
      <c r="B64" s="1"/>
      <c r="C64" s="1"/>
      <c r="D64" s="1"/>
      <c r="E64" s="1"/>
      <c r="F64" s="1"/>
      <c r="G64" s="1"/>
      <c r="H64" s="1"/>
      <c r="I64" s="1"/>
      <c r="J64" s="1"/>
      <c r="K64" s="1"/>
      <c r="L64" s="1"/>
      <c r="M64" s="1"/>
      <c r="N64" s="1"/>
      <c r="O64" s="1"/>
      <c r="P64" s="1"/>
      <c r="Q64" s="1"/>
      <c r="R64" s="1"/>
      <c r="S64" s="1"/>
    </row>
    <row r="65" spans="1:19" x14ac:dyDescent="0.3">
      <c r="A65" s="20"/>
      <c r="B65" s="1"/>
      <c r="C65" s="1"/>
      <c r="D65" s="1"/>
      <c r="E65" s="1"/>
      <c r="F65" s="1"/>
      <c r="G65" s="1"/>
      <c r="H65" s="1"/>
      <c r="I65" s="1"/>
      <c r="J65" s="1"/>
      <c r="K65" s="1"/>
      <c r="L65" s="1"/>
      <c r="M65" s="1"/>
      <c r="N65" s="1"/>
      <c r="O65" s="1"/>
      <c r="P65" s="1"/>
      <c r="Q65" s="1"/>
      <c r="R65" s="1"/>
      <c r="S65" s="1"/>
    </row>
    <row r="66" spans="1:19" x14ac:dyDescent="0.3">
      <c r="A66" s="20"/>
      <c r="B66" s="1"/>
      <c r="C66" s="1"/>
      <c r="D66" s="1"/>
      <c r="E66" s="1"/>
      <c r="F66" s="1"/>
      <c r="G66" s="1"/>
      <c r="H66" s="1"/>
      <c r="I66" s="1"/>
      <c r="J66" s="1"/>
      <c r="K66" s="1"/>
      <c r="L66" s="1"/>
      <c r="M66" s="1"/>
      <c r="N66" s="1"/>
      <c r="O66" s="1"/>
      <c r="P66" s="1"/>
      <c r="Q66" s="1"/>
      <c r="R66" s="1"/>
      <c r="S66" s="1"/>
    </row>
    <row r="67" spans="1:19" x14ac:dyDescent="0.3">
      <c r="A67" s="20"/>
      <c r="B67" s="1"/>
      <c r="C67" s="1"/>
      <c r="D67" s="1"/>
      <c r="E67" s="1"/>
      <c r="F67" s="1"/>
      <c r="G67" s="1"/>
      <c r="H67" s="1"/>
      <c r="I67" s="1"/>
      <c r="J67" s="1"/>
      <c r="K67" s="1"/>
      <c r="L67" s="1"/>
      <c r="M67" s="1"/>
      <c r="N67" s="1"/>
      <c r="O67" s="1"/>
      <c r="P67" s="1"/>
      <c r="Q67" s="1"/>
      <c r="R67" s="1"/>
      <c r="S67" s="1"/>
    </row>
    <row r="68" spans="1:19" x14ac:dyDescent="0.3">
      <c r="A68" s="20"/>
      <c r="B68" s="1"/>
      <c r="C68" s="1"/>
      <c r="D68" s="1"/>
      <c r="E68" s="1"/>
      <c r="F68" s="1"/>
      <c r="G68" s="1"/>
      <c r="H68" s="1"/>
      <c r="I68" s="1"/>
      <c r="J68" s="1"/>
      <c r="K68" s="1"/>
      <c r="L68" s="1"/>
      <c r="M68" s="1"/>
      <c r="N68" s="1"/>
      <c r="O68" s="1"/>
      <c r="P68" s="1"/>
      <c r="Q68" s="1"/>
      <c r="R68" s="1"/>
      <c r="S68" s="1"/>
    </row>
    <row r="69" spans="1:19" x14ac:dyDescent="0.3">
      <c r="A69" s="20"/>
      <c r="B69" s="1"/>
      <c r="C69" s="1"/>
      <c r="D69" s="1"/>
      <c r="E69" s="1"/>
      <c r="F69" s="1"/>
      <c r="G69" s="1"/>
      <c r="H69" s="1"/>
      <c r="I69" s="1"/>
      <c r="J69" s="1"/>
      <c r="K69" s="1"/>
      <c r="L69" s="1"/>
      <c r="M69" s="1"/>
      <c r="N69" s="1"/>
      <c r="O69" s="1"/>
      <c r="P69" s="1"/>
      <c r="Q69" s="1"/>
      <c r="R69" s="1"/>
      <c r="S69" s="1"/>
    </row>
    <row r="70" spans="1:19" x14ac:dyDescent="0.3">
      <c r="A70" s="20"/>
      <c r="B70" s="1"/>
      <c r="C70" s="1"/>
      <c r="D70" s="1"/>
      <c r="E70" s="1"/>
      <c r="F70" s="1"/>
      <c r="G70" s="1"/>
      <c r="H70" s="1"/>
      <c r="I70" s="1"/>
      <c r="J70" s="1"/>
      <c r="K70" s="1"/>
      <c r="L70" s="1"/>
      <c r="M70" s="1"/>
      <c r="N70" s="1"/>
      <c r="O70" s="1"/>
      <c r="P70" s="1"/>
      <c r="Q70" s="1"/>
      <c r="R70" s="1"/>
      <c r="S70" s="1"/>
    </row>
    <row r="71" spans="1:19" x14ac:dyDescent="0.3">
      <c r="A71" s="20"/>
      <c r="B71" s="1"/>
      <c r="C71" s="1"/>
      <c r="D71" s="1"/>
      <c r="E71" s="1"/>
      <c r="F71" s="1"/>
      <c r="G71" s="1"/>
      <c r="H71" s="1"/>
      <c r="I71" s="1"/>
      <c r="J71" s="1"/>
      <c r="K71" s="1"/>
      <c r="L71" s="1"/>
      <c r="M71" s="1"/>
      <c r="N71" s="1"/>
      <c r="O71" s="1"/>
      <c r="P71" s="1"/>
      <c r="Q71" s="1"/>
      <c r="R71" s="1"/>
      <c r="S71" s="1"/>
    </row>
    <row r="72" spans="1:19" x14ac:dyDescent="0.3">
      <c r="A72" s="20"/>
      <c r="B72" s="1"/>
      <c r="C72" s="1"/>
      <c r="D72" s="1"/>
      <c r="E72" s="1"/>
      <c r="F72" s="1"/>
      <c r="G72" s="1"/>
      <c r="H72" s="1"/>
      <c r="I72" s="1"/>
      <c r="J72" s="1"/>
      <c r="K72" s="1"/>
      <c r="L72" s="1"/>
      <c r="M72" s="1"/>
      <c r="N72" s="1"/>
      <c r="O72" s="1"/>
      <c r="P72" s="1"/>
      <c r="Q72" s="1"/>
      <c r="R72" s="1"/>
      <c r="S72" s="1"/>
    </row>
    <row r="73" spans="1:19" x14ac:dyDescent="0.3">
      <c r="A73" s="20"/>
      <c r="B73" s="1"/>
      <c r="C73" s="1"/>
      <c r="D73" s="1"/>
      <c r="E73" s="1"/>
      <c r="F73" s="1"/>
      <c r="G73" s="1"/>
      <c r="H73" s="1"/>
      <c r="I73" s="1"/>
      <c r="J73" s="1"/>
      <c r="K73" s="1"/>
      <c r="L73" s="1"/>
      <c r="M73" s="1"/>
      <c r="N73" s="1"/>
      <c r="O73" s="1"/>
      <c r="P73" s="1"/>
      <c r="Q73" s="1"/>
      <c r="R73" s="1"/>
      <c r="S73" s="1"/>
    </row>
    <row r="74" spans="1:19" x14ac:dyDescent="0.3">
      <c r="A74" s="20"/>
      <c r="B74" s="1"/>
      <c r="C74" s="1"/>
      <c r="D74" s="1"/>
      <c r="E74" s="1"/>
      <c r="F74" s="1"/>
      <c r="G74" s="1"/>
      <c r="H74" s="1"/>
      <c r="I74" s="1"/>
      <c r="J74" s="1"/>
      <c r="K74" s="1"/>
      <c r="L74" s="1"/>
      <c r="M74" s="1"/>
      <c r="N74" s="1"/>
      <c r="O74" s="1"/>
      <c r="P74" s="1"/>
      <c r="Q74" s="1"/>
      <c r="R74" s="1"/>
      <c r="S74" s="1"/>
    </row>
    <row r="75" spans="1:19" x14ac:dyDescent="0.3">
      <c r="A75" s="20"/>
      <c r="B75" s="1"/>
      <c r="C75" s="1"/>
      <c r="D75" s="1"/>
      <c r="E75" s="1"/>
      <c r="F75" s="1"/>
      <c r="G75" s="1"/>
      <c r="H75" s="1"/>
      <c r="I75" s="1"/>
      <c r="J75" s="1"/>
      <c r="K75" s="1"/>
      <c r="L75" s="1"/>
      <c r="M75" s="1"/>
      <c r="N75" s="1"/>
      <c r="O75" s="1"/>
      <c r="P75" s="1"/>
      <c r="Q75" s="1"/>
      <c r="R75" s="1"/>
      <c r="S75" s="1"/>
    </row>
    <row r="76" spans="1:19" x14ac:dyDescent="0.3">
      <c r="A76" s="20"/>
      <c r="B76" s="1"/>
      <c r="C76" s="1"/>
      <c r="D76" s="1"/>
      <c r="E76" s="1"/>
      <c r="F76" s="1"/>
      <c r="G76" s="1"/>
      <c r="H76" s="1"/>
      <c r="I76" s="1"/>
      <c r="J76" s="1"/>
      <c r="K76" s="1"/>
      <c r="L76" s="1"/>
      <c r="M76" s="1"/>
      <c r="N76" s="1"/>
      <c r="O76" s="1"/>
      <c r="P76" s="1"/>
      <c r="Q76" s="1"/>
      <c r="R76" s="1"/>
      <c r="S76" s="1"/>
    </row>
    <row r="77" spans="1:19" x14ac:dyDescent="0.3">
      <c r="A77" s="20"/>
      <c r="B77" s="1"/>
      <c r="C77" s="1"/>
      <c r="D77" s="1"/>
      <c r="E77" s="1"/>
      <c r="F77" s="1"/>
      <c r="G77" s="1"/>
      <c r="H77" s="1"/>
      <c r="I77" s="1"/>
      <c r="J77" s="1"/>
      <c r="K77" s="1"/>
      <c r="L77" s="1"/>
      <c r="M77" s="1"/>
      <c r="N77" s="1"/>
      <c r="O77" s="1"/>
      <c r="P77" s="1"/>
      <c r="Q77" s="1"/>
      <c r="R77" s="1"/>
      <c r="S77" s="1"/>
    </row>
    <row r="78" spans="1:19" x14ac:dyDescent="0.3">
      <c r="A78" s="20"/>
      <c r="B78" s="1"/>
      <c r="C78" s="1"/>
      <c r="D78" s="1"/>
      <c r="E78" s="1"/>
      <c r="F78" s="1"/>
      <c r="G78" s="1"/>
      <c r="H78" s="1"/>
      <c r="I78" s="1"/>
      <c r="J78" s="1"/>
      <c r="K78" s="1"/>
      <c r="L78" s="1"/>
      <c r="M78" s="1"/>
      <c r="N78" s="1"/>
      <c r="O78" s="1"/>
      <c r="P78" s="1"/>
      <c r="Q78" s="1"/>
      <c r="R78" s="1"/>
      <c r="S78" s="1"/>
    </row>
    <row r="79" spans="1:19" x14ac:dyDescent="0.3">
      <c r="A79" s="20"/>
      <c r="B79" s="1"/>
      <c r="C79" s="1"/>
      <c r="D79" s="1"/>
      <c r="E79" s="1"/>
      <c r="F79" s="1"/>
      <c r="G79" s="1"/>
      <c r="H79" s="1"/>
      <c r="I79" s="1"/>
      <c r="J79" s="1"/>
      <c r="K79" s="1"/>
      <c r="L79" s="1"/>
      <c r="M79" s="1"/>
      <c r="N79" s="1"/>
      <c r="O79" s="1"/>
      <c r="P79" s="1"/>
      <c r="Q79" s="1"/>
      <c r="R79" s="1"/>
      <c r="S79" s="1"/>
    </row>
    <row r="80" spans="1:19" x14ac:dyDescent="0.3">
      <c r="A80" s="20"/>
      <c r="B80" s="1"/>
      <c r="C80" s="1"/>
      <c r="D80" s="1"/>
      <c r="E80" s="1"/>
      <c r="F80" s="1"/>
      <c r="G80" s="1"/>
      <c r="H80" s="1"/>
      <c r="I80" s="1"/>
      <c r="J80" s="1"/>
      <c r="K80" s="1"/>
      <c r="L80" s="1"/>
      <c r="M80" s="1"/>
      <c r="N80" s="1"/>
      <c r="O80" s="1"/>
      <c r="P80" s="1"/>
      <c r="Q80" s="1"/>
      <c r="R80" s="1"/>
      <c r="S80" s="1"/>
    </row>
    <row r="81" spans="1:19" x14ac:dyDescent="0.3">
      <c r="A81" s="20"/>
      <c r="B81" s="1"/>
      <c r="C81" s="1"/>
      <c r="D81" s="1"/>
      <c r="E81" s="1"/>
      <c r="F81" s="1"/>
      <c r="G81" s="1"/>
      <c r="H81" s="1"/>
      <c r="I81" s="1"/>
      <c r="J81" s="1"/>
      <c r="K81" s="1"/>
      <c r="L81" s="1"/>
      <c r="M81" s="1"/>
      <c r="N81" s="1"/>
      <c r="O81" s="1"/>
      <c r="P81" s="1"/>
      <c r="Q81" s="1"/>
      <c r="R81" s="1"/>
      <c r="S81" s="1"/>
    </row>
    <row r="82" spans="1:19" x14ac:dyDescent="0.3">
      <c r="A82" s="20"/>
      <c r="B82" s="1"/>
      <c r="C82" s="1"/>
      <c r="D82" s="1"/>
      <c r="E82" s="1"/>
      <c r="F82" s="1"/>
      <c r="G82" s="1"/>
      <c r="H82" s="1"/>
      <c r="I82" s="1"/>
      <c r="J82" s="1"/>
      <c r="K82" s="1"/>
      <c r="L82" s="1"/>
      <c r="M82" s="1"/>
      <c r="N82" s="1"/>
      <c r="O82" s="1"/>
      <c r="P82" s="1"/>
      <c r="Q82" s="1"/>
      <c r="R82" s="1"/>
      <c r="S82" s="1"/>
    </row>
    <row r="83" spans="1:19" x14ac:dyDescent="0.3">
      <c r="A83" s="20"/>
      <c r="B83" s="1"/>
      <c r="C83" s="1"/>
      <c r="D83" s="1"/>
      <c r="E83" s="1"/>
      <c r="F83" s="1"/>
      <c r="G83" s="1"/>
      <c r="H83" s="1"/>
      <c r="I83" s="1"/>
      <c r="J83" s="1"/>
      <c r="K83" s="1"/>
      <c r="L83" s="1"/>
      <c r="M83" s="1"/>
      <c r="N83" s="1"/>
      <c r="O83" s="1"/>
      <c r="P83" s="1"/>
      <c r="Q83" s="1"/>
      <c r="R83" s="1"/>
      <c r="S83" s="1"/>
    </row>
    <row r="84" spans="1:19" x14ac:dyDescent="0.3">
      <c r="A84" s="20"/>
      <c r="B84" s="1"/>
      <c r="C84" s="1"/>
      <c r="D84" s="1"/>
      <c r="E84" s="1"/>
      <c r="F84" s="1"/>
      <c r="G84" s="1"/>
      <c r="H84" s="1"/>
      <c r="I84" s="1"/>
      <c r="J84" s="1"/>
      <c r="K84" s="1"/>
      <c r="L84" s="1"/>
      <c r="M84" s="1"/>
      <c r="N84" s="1"/>
      <c r="O84" s="1"/>
      <c r="P84" s="1"/>
      <c r="Q84" s="1"/>
      <c r="R84" s="1"/>
      <c r="S84" s="1"/>
    </row>
    <row r="85" spans="1:19" x14ac:dyDescent="0.3">
      <c r="A85" s="20"/>
      <c r="B85" s="1"/>
      <c r="C85" s="1"/>
      <c r="D85" s="1"/>
      <c r="E85" s="1"/>
      <c r="F85" s="1"/>
      <c r="G85" s="1"/>
      <c r="H85" s="1"/>
      <c r="I85" s="1"/>
      <c r="J85" s="1"/>
      <c r="K85" s="1"/>
      <c r="L85" s="1"/>
      <c r="M85" s="1"/>
      <c r="N85" s="1"/>
      <c r="O85" s="1"/>
      <c r="P85" s="1"/>
      <c r="Q85" s="1"/>
      <c r="R85" s="1"/>
      <c r="S85" s="1"/>
    </row>
    <row r="86" spans="1:19" x14ac:dyDescent="0.3">
      <c r="A86" s="20"/>
      <c r="B86" s="1"/>
      <c r="C86" s="1"/>
      <c r="D86" s="1"/>
      <c r="E86" s="1"/>
      <c r="F86" s="1"/>
      <c r="G86" s="1"/>
      <c r="H86" s="1"/>
      <c r="I86" s="1"/>
      <c r="J86" s="1"/>
      <c r="K86" s="1"/>
      <c r="L86" s="1"/>
      <c r="M86" s="1"/>
      <c r="N86" s="1"/>
      <c r="O86" s="1"/>
      <c r="P86" s="1"/>
      <c r="Q86" s="1"/>
      <c r="R86" s="1"/>
      <c r="S86" s="1"/>
    </row>
    <row r="87" spans="1:19" x14ac:dyDescent="0.3">
      <c r="A87" s="20"/>
      <c r="B87" s="1"/>
      <c r="C87" s="1"/>
      <c r="D87" s="1"/>
      <c r="E87" s="1"/>
      <c r="F87" s="1"/>
      <c r="G87" s="1"/>
      <c r="H87" s="1"/>
      <c r="I87" s="1"/>
      <c r="J87" s="1"/>
      <c r="K87" s="1"/>
      <c r="L87" s="1"/>
      <c r="M87" s="1"/>
      <c r="N87" s="1"/>
      <c r="O87" s="1"/>
      <c r="P87" s="1"/>
      <c r="Q87" s="1"/>
      <c r="R87" s="1"/>
      <c r="S87" s="1"/>
    </row>
    <row r="88" spans="1:19" x14ac:dyDescent="0.3">
      <c r="A88" s="20"/>
      <c r="B88" s="1"/>
      <c r="C88" s="1"/>
      <c r="D88" s="1"/>
      <c r="E88" s="1"/>
      <c r="F88" s="1"/>
      <c r="G88" s="1"/>
      <c r="H88" s="1"/>
      <c r="I88" s="1"/>
      <c r="J88" s="1"/>
      <c r="K88" s="1"/>
      <c r="L88" s="1"/>
      <c r="M88" s="1"/>
      <c r="N88" s="1"/>
      <c r="O88" s="1"/>
      <c r="P88" s="1"/>
      <c r="Q88" s="1"/>
      <c r="R88" s="1"/>
      <c r="S88" s="1"/>
    </row>
    <row r="89" spans="1:19" x14ac:dyDescent="0.3">
      <c r="A89" s="20"/>
      <c r="B89" s="1"/>
      <c r="C89" s="1"/>
      <c r="D89" s="1"/>
      <c r="E89" s="1"/>
      <c r="F89" s="1"/>
      <c r="G89" s="1"/>
      <c r="H89" s="1"/>
      <c r="I89" s="1"/>
      <c r="J89" s="1"/>
      <c r="K89" s="1"/>
      <c r="L89" s="1"/>
      <c r="M89" s="1"/>
      <c r="N89" s="1"/>
      <c r="O89" s="1"/>
      <c r="P89" s="1"/>
      <c r="Q89" s="1"/>
      <c r="R89" s="1"/>
      <c r="S89" s="1"/>
    </row>
    <row r="90" spans="1:19" x14ac:dyDescent="0.3">
      <c r="A90" s="20"/>
      <c r="B90" s="1"/>
      <c r="C90" s="1"/>
      <c r="D90" s="1"/>
      <c r="E90" s="1"/>
      <c r="F90" s="1"/>
      <c r="G90" s="1"/>
      <c r="H90" s="1"/>
      <c r="I90" s="1"/>
      <c r="J90" s="1"/>
      <c r="K90" s="1"/>
      <c r="L90" s="1"/>
      <c r="M90" s="1"/>
      <c r="N90" s="1"/>
      <c r="O90" s="1"/>
      <c r="P90" s="1"/>
      <c r="Q90" s="1"/>
      <c r="R90" s="1"/>
      <c r="S90" s="1"/>
    </row>
    <row r="91" spans="1:19" x14ac:dyDescent="0.3">
      <c r="A91" s="20"/>
      <c r="B91" s="1"/>
      <c r="C91" s="1"/>
      <c r="D91" s="1"/>
      <c r="E91" s="1"/>
      <c r="F91" s="1"/>
      <c r="G91" s="1"/>
      <c r="H91" s="1"/>
      <c r="I91" s="1"/>
      <c r="J91" s="1"/>
      <c r="K91" s="1"/>
      <c r="L91" s="1"/>
      <c r="M91" s="1"/>
      <c r="N91" s="1"/>
      <c r="O91" s="1"/>
      <c r="P91" s="1"/>
      <c r="Q91" s="1"/>
      <c r="R91" s="1"/>
      <c r="S91" s="1"/>
    </row>
    <row r="92" spans="1:19" x14ac:dyDescent="0.3">
      <c r="A92" s="20"/>
      <c r="B92" s="1"/>
      <c r="C92" s="1"/>
      <c r="D92" s="1"/>
      <c r="E92" s="1"/>
      <c r="F92" s="1"/>
      <c r="G92" s="1"/>
      <c r="H92" s="1"/>
      <c r="I92" s="1"/>
      <c r="J92" s="1"/>
      <c r="K92" s="1"/>
      <c r="L92" s="1"/>
      <c r="M92" s="1"/>
      <c r="N92" s="1"/>
      <c r="O92" s="1"/>
      <c r="P92" s="1"/>
      <c r="Q92" s="1"/>
      <c r="R92" s="1"/>
      <c r="S92" s="1"/>
    </row>
    <row r="93" spans="1:19" x14ac:dyDescent="0.3">
      <c r="A93" s="20"/>
      <c r="B93" s="1"/>
      <c r="C93" s="1"/>
      <c r="D93" s="1"/>
      <c r="E93" s="1"/>
      <c r="F93" s="1"/>
      <c r="G93" s="1"/>
      <c r="H93" s="1"/>
      <c r="I93" s="1"/>
      <c r="J93" s="1"/>
      <c r="K93" s="1"/>
      <c r="L93" s="1"/>
      <c r="M93" s="1"/>
      <c r="N93" s="1"/>
      <c r="O93" s="1"/>
      <c r="P93" s="1"/>
      <c r="Q93" s="1"/>
      <c r="R93" s="1"/>
      <c r="S93" s="1"/>
    </row>
    <row r="94" spans="1:19" x14ac:dyDescent="0.3">
      <c r="A94" s="20"/>
      <c r="B94" s="1"/>
      <c r="C94" s="1"/>
      <c r="D94" s="1"/>
      <c r="E94" s="1"/>
      <c r="F94" s="1"/>
      <c r="G94" s="1"/>
      <c r="H94" s="1"/>
      <c r="I94" s="1"/>
      <c r="J94" s="1"/>
      <c r="K94" s="1"/>
      <c r="L94" s="1"/>
      <c r="M94" s="1"/>
      <c r="N94" s="1"/>
      <c r="O94" s="1"/>
      <c r="P94" s="1"/>
      <c r="Q94" s="1"/>
      <c r="R94" s="1"/>
      <c r="S94" s="1"/>
    </row>
    <row r="95" spans="1:19" x14ac:dyDescent="0.3">
      <c r="A95" s="20"/>
      <c r="B95" s="1"/>
      <c r="C95" s="1"/>
      <c r="D95" s="1"/>
      <c r="E95" s="1"/>
      <c r="F95" s="1"/>
      <c r="G95" s="1"/>
      <c r="H95" s="1"/>
      <c r="I95" s="1"/>
      <c r="J95" s="1"/>
      <c r="K95" s="1"/>
      <c r="L95" s="1"/>
      <c r="M95" s="1"/>
      <c r="N95" s="1"/>
      <c r="O95" s="1"/>
      <c r="P95" s="1"/>
      <c r="Q95" s="1"/>
      <c r="R95" s="1"/>
      <c r="S95" s="1"/>
    </row>
    <row r="96" spans="1:19" x14ac:dyDescent="0.3">
      <c r="A96" s="20"/>
      <c r="B96" s="1"/>
      <c r="C96" s="1"/>
      <c r="D96" s="1"/>
      <c r="E96" s="1"/>
      <c r="F96" s="1"/>
      <c r="G96" s="1"/>
      <c r="H96" s="1"/>
      <c r="I96" s="1"/>
      <c r="J96" s="1"/>
      <c r="K96" s="1"/>
      <c r="L96" s="1"/>
      <c r="M96" s="1"/>
      <c r="N96" s="1"/>
      <c r="O96" s="1"/>
      <c r="P96" s="1"/>
      <c r="Q96" s="1"/>
      <c r="R96" s="1"/>
      <c r="S96" s="1"/>
    </row>
    <row r="97" spans="1:19" x14ac:dyDescent="0.3">
      <c r="A97" s="20"/>
      <c r="B97" s="1"/>
      <c r="C97" s="1"/>
      <c r="D97" s="1"/>
      <c r="E97" s="1"/>
      <c r="F97" s="1"/>
      <c r="G97" s="1"/>
      <c r="H97" s="1"/>
      <c r="I97" s="1"/>
      <c r="J97" s="1"/>
      <c r="K97" s="1"/>
      <c r="L97" s="1"/>
      <c r="M97" s="1"/>
      <c r="N97" s="1"/>
      <c r="O97" s="1"/>
      <c r="P97" s="1"/>
      <c r="Q97" s="1"/>
      <c r="R97" s="1"/>
      <c r="S97" s="1"/>
    </row>
    <row r="98" spans="1:19" x14ac:dyDescent="0.3">
      <c r="A98" s="20"/>
      <c r="B98" s="1"/>
      <c r="C98" s="1"/>
      <c r="D98" s="1"/>
      <c r="E98" s="1"/>
      <c r="F98" s="1"/>
      <c r="G98" s="1"/>
      <c r="H98" s="1"/>
      <c r="I98" s="1"/>
      <c r="J98" s="1"/>
      <c r="K98" s="1"/>
      <c r="L98" s="1"/>
      <c r="M98" s="1"/>
      <c r="N98" s="1"/>
      <c r="O98" s="1"/>
      <c r="P98" s="1"/>
      <c r="Q98" s="1"/>
      <c r="R98" s="1"/>
      <c r="S98" s="1"/>
    </row>
    <row r="99" spans="1:19" x14ac:dyDescent="0.3">
      <c r="A99" s="20"/>
      <c r="B99" s="1"/>
      <c r="C99" s="1"/>
      <c r="D99" s="1"/>
      <c r="E99" s="1"/>
      <c r="F99" s="1"/>
      <c r="G99" s="1"/>
      <c r="H99" s="1"/>
      <c r="I99" s="1"/>
      <c r="J99" s="1"/>
      <c r="K99" s="1"/>
      <c r="L99" s="1"/>
      <c r="M99" s="1"/>
      <c r="N99" s="1"/>
      <c r="O99" s="1"/>
      <c r="P99" s="1"/>
      <c r="Q99" s="1"/>
      <c r="R99" s="1"/>
      <c r="S99" s="1"/>
    </row>
    <row r="100" spans="1:19" x14ac:dyDescent="0.3">
      <c r="A100" s="20"/>
      <c r="B100" s="1"/>
      <c r="C100" s="1"/>
      <c r="D100" s="1"/>
      <c r="E100" s="1"/>
      <c r="F100" s="1"/>
      <c r="G100" s="1"/>
      <c r="H100" s="1"/>
      <c r="I100" s="1"/>
      <c r="J100" s="1"/>
      <c r="K100" s="1"/>
      <c r="L100" s="1"/>
      <c r="M100" s="1"/>
      <c r="N100" s="1"/>
      <c r="O100" s="1"/>
      <c r="P100" s="1"/>
      <c r="Q100" s="1"/>
      <c r="R100" s="1"/>
      <c r="S100" s="1"/>
    </row>
    <row r="101" spans="1:19" x14ac:dyDescent="0.3">
      <c r="A101" s="20"/>
      <c r="B101" s="1"/>
      <c r="C101" s="1"/>
      <c r="D101" s="1"/>
      <c r="E101" s="1"/>
      <c r="F101" s="1"/>
      <c r="G101" s="1"/>
      <c r="H101" s="1"/>
      <c r="I101" s="1"/>
      <c r="J101" s="1"/>
      <c r="K101" s="1"/>
      <c r="L101" s="1"/>
      <c r="M101" s="1"/>
      <c r="N101" s="1"/>
      <c r="O101" s="1"/>
      <c r="P101" s="1"/>
      <c r="Q101" s="1"/>
      <c r="R101" s="1"/>
      <c r="S101" s="1"/>
    </row>
    <row r="102" spans="1:19" x14ac:dyDescent="0.3">
      <c r="A102" s="20"/>
      <c r="B102" s="1"/>
      <c r="C102" s="1"/>
      <c r="D102" s="1"/>
      <c r="E102" s="1"/>
      <c r="F102" s="1"/>
      <c r="G102" s="1"/>
      <c r="H102" s="1"/>
      <c r="I102" s="1"/>
      <c r="J102" s="1"/>
      <c r="K102" s="1"/>
      <c r="L102" s="1"/>
      <c r="M102" s="1"/>
      <c r="N102" s="1"/>
      <c r="O102" s="1"/>
      <c r="P102" s="1"/>
      <c r="Q102" s="1"/>
      <c r="R102" s="1"/>
      <c r="S102" s="1"/>
    </row>
    <row r="103" spans="1:19" x14ac:dyDescent="0.3">
      <c r="A103" s="20"/>
      <c r="B103" s="1"/>
      <c r="C103" s="1"/>
      <c r="D103" s="1"/>
      <c r="E103" s="1"/>
      <c r="F103" s="1"/>
      <c r="G103" s="1"/>
      <c r="H103" s="1"/>
      <c r="I103" s="1"/>
      <c r="J103" s="1"/>
      <c r="K103" s="1"/>
      <c r="L103" s="1"/>
      <c r="M103" s="1"/>
      <c r="N103" s="1"/>
      <c r="O103" s="1"/>
      <c r="P103" s="1"/>
      <c r="Q103" s="1"/>
      <c r="R103" s="1"/>
      <c r="S103" s="1"/>
    </row>
    <row r="104" spans="1:19" x14ac:dyDescent="0.3">
      <c r="A104" s="20"/>
      <c r="B104" s="1"/>
      <c r="C104" s="1"/>
      <c r="D104" s="1"/>
      <c r="E104" s="1"/>
      <c r="F104" s="1"/>
      <c r="G104" s="1"/>
      <c r="H104" s="1"/>
      <c r="I104" s="1"/>
      <c r="J104" s="1"/>
      <c r="K104" s="1"/>
      <c r="L104" s="1"/>
      <c r="M104" s="1"/>
      <c r="N104" s="1"/>
      <c r="O104" s="1"/>
      <c r="P104" s="1"/>
      <c r="Q104" s="1"/>
      <c r="R104" s="1"/>
      <c r="S104" s="1"/>
    </row>
    <row r="105" spans="1:19" x14ac:dyDescent="0.3">
      <c r="A105" s="20"/>
      <c r="B105" s="1"/>
      <c r="C105" s="1"/>
      <c r="D105" s="1"/>
      <c r="E105" s="1"/>
      <c r="F105" s="1"/>
      <c r="G105" s="1"/>
      <c r="H105" s="1"/>
      <c r="I105" s="1"/>
      <c r="J105" s="1"/>
      <c r="K105" s="1"/>
      <c r="L105" s="1"/>
      <c r="M105" s="1"/>
      <c r="N105" s="1"/>
      <c r="O105" s="1"/>
      <c r="P105" s="1"/>
      <c r="Q105" s="1"/>
      <c r="R105" s="1"/>
      <c r="S105" s="1"/>
    </row>
    <row r="106" spans="1:19" x14ac:dyDescent="0.3">
      <c r="A106" s="20"/>
      <c r="B106" s="1"/>
      <c r="C106" s="1"/>
      <c r="D106" s="1"/>
      <c r="E106" s="1"/>
      <c r="F106" s="1"/>
      <c r="G106" s="1"/>
      <c r="H106" s="1"/>
      <c r="I106" s="1"/>
      <c r="J106" s="1"/>
      <c r="K106" s="1"/>
      <c r="L106" s="1"/>
      <c r="M106" s="1"/>
      <c r="N106" s="1"/>
      <c r="O106" s="1"/>
      <c r="P106" s="1"/>
      <c r="Q106" s="1"/>
      <c r="R106" s="1"/>
      <c r="S106" s="1"/>
    </row>
    <row r="107" spans="1:19" x14ac:dyDescent="0.3">
      <c r="A107" s="20"/>
      <c r="B107" s="1"/>
      <c r="C107" s="1"/>
      <c r="D107" s="1"/>
      <c r="E107" s="1"/>
      <c r="F107" s="1"/>
      <c r="G107" s="1"/>
      <c r="H107" s="1"/>
      <c r="I107" s="1"/>
      <c r="J107" s="1"/>
      <c r="K107" s="1"/>
      <c r="L107" s="1"/>
      <c r="M107" s="1"/>
      <c r="N107" s="1"/>
      <c r="O107" s="1"/>
      <c r="P107" s="1"/>
      <c r="Q107" s="1"/>
      <c r="R107" s="1"/>
      <c r="S107" s="1"/>
    </row>
    <row r="108" spans="1:19" x14ac:dyDescent="0.3">
      <c r="A108" s="20"/>
      <c r="B108" s="1"/>
      <c r="C108" s="1"/>
      <c r="D108" s="1"/>
      <c r="E108" s="1"/>
      <c r="F108" s="1"/>
      <c r="G108" s="1"/>
      <c r="H108" s="1"/>
      <c r="I108" s="1"/>
      <c r="J108" s="1"/>
      <c r="K108" s="1"/>
      <c r="L108" s="1"/>
      <c r="M108" s="1"/>
      <c r="N108" s="1"/>
      <c r="O108" s="1"/>
      <c r="P108" s="1"/>
      <c r="Q108" s="1"/>
      <c r="R108" s="1"/>
      <c r="S108" s="1"/>
    </row>
    <row r="109" spans="1:19" x14ac:dyDescent="0.3">
      <c r="A109" s="20"/>
      <c r="B109" s="1"/>
      <c r="C109" s="1"/>
      <c r="D109" s="1"/>
      <c r="E109" s="1"/>
      <c r="F109" s="1"/>
      <c r="G109" s="1"/>
      <c r="H109" s="1"/>
      <c r="I109" s="1"/>
      <c r="J109" s="1"/>
      <c r="K109" s="1"/>
      <c r="L109" s="1"/>
      <c r="M109" s="1"/>
      <c r="N109" s="1"/>
      <c r="O109" s="1"/>
      <c r="P109" s="1"/>
      <c r="Q109" s="1"/>
      <c r="R109" s="1"/>
      <c r="S109" s="1"/>
    </row>
    <row r="110" spans="1:19" x14ac:dyDescent="0.3">
      <c r="A110" s="20"/>
      <c r="B110" s="1"/>
      <c r="C110" s="1"/>
      <c r="D110" s="1"/>
      <c r="E110" s="1"/>
      <c r="F110" s="1"/>
      <c r="G110" s="1"/>
      <c r="H110" s="1"/>
      <c r="I110" s="1"/>
      <c r="J110" s="1"/>
      <c r="K110" s="1"/>
      <c r="L110" s="1"/>
      <c r="M110" s="1"/>
      <c r="N110" s="1"/>
      <c r="O110" s="1"/>
      <c r="P110" s="1"/>
      <c r="Q110" s="1"/>
      <c r="R110" s="1"/>
      <c r="S110" s="1"/>
    </row>
    <row r="111" spans="1:19" x14ac:dyDescent="0.3">
      <c r="A111" s="20"/>
      <c r="B111" s="1"/>
      <c r="C111" s="1"/>
      <c r="D111" s="1"/>
      <c r="E111" s="1"/>
      <c r="F111" s="1"/>
      <c r="G111" s="1"/>
      <c r="H111" s="1"/>
      <c r="I111" s="1"/>
      <c r="J111" s="1"/>
      <c r="K111" s="1"/>
      <c r="L111" s="1"/>
      <c r="M111" s="1"/>
      <c r="N111" s="1"/>
      <c r="O111" s="1"/>
      <c r="P111" s="1"/>
      <c r="Q111" s="1"/>
      <c r="R111" s="1"/>
      <c r="S111" s="1"/>
    </row>
    <row r="112" spans="1:19" x14ac:dyDescent="0.3">
      <c r="A112" s="20"/>
      <c r="B112" s="1"/>
      <c r="C112" s="1"/>
      <c r="D112" s="1"/>
      <c r="E112" s="1"/>
      <c r="F112" s="1"/>
      <c r="G112" s="1"/>
      <c r="H112" s="1"/>
      <c r="I112" s="1"/>
      <c r="J112" s="1"/>
      <c r="K112" s="1"/>
      <c r="L112" s="1"/>
      <c r="M112" s="1"/>
      <c r="N112" s="1"/>
      <c r="O112" s="1"/>
      <c r="P112" s="1"/>
      <c r="Q112" s="1"/>
      <c r="R112" s="1"/>
      <c r="S112" s="1"/>
    </row>
    <row r="113" spans="1:19" x14ac:dyDescent="0.3">
      <c r="A113" s="20"/>
      <c r="B113" s="1"/>
      <c r="C113" s="1"/>
      <c r="D113" s="1"/>
      <c r="E113" s="1"/>
      <c r="F113" s="1"/>
      <c r="G113" s="1"/>
      <c r="H113" s="1"/>
      <c r="I113" s="1"/>
      <c r="J113" s="1"/>
      <c r="K113" s="1"/>
      <c r="L113" s="1"/>
      <c r="M113" s="1"/>
      <c r="N113" s="1"/>
      <c r="O113" s="1"/>
      <c r="P113" s="1"/>
      <c r="Q113" s="1"/>
      <c r="R113" s="1"/>
      <c r="S113" s="1"/>
    </row>
    <row r="114" spans="1:19" x14ac:dyDescent="0.3">
      <c r="A114" s="20"/>
      <c r="B114" s="1"/>
      <c r="C114" s="1"/>
      <c r="D114" s="1"/>
      <c r="E114" s="1"/>
      <c r="F114" s="1"/>
      <c r="G114" s="1"/>
      <c r="H114" s="1"/>
      <c r="I114" s="1"/>
      <c r="J114" s="1"/>
      <c r="K114" s="1"/>
      <c r="L114" s="1"/>
      <c r="M114" s="1"/>
      <c r="N114" s="1"/>
      <c r="O114" s="1"/>
      <c r="P114" s="1"/>
      <c r="Q114" s="1"/>
      <c r="R114" s="1"/>
      <c r="S114" s="1"/>
    </row>
    <row r="115" spans="1:19" x14ac:dyDescent="0.3">
      <c r="A115" s="20"/>
      <c r="B115" s="1"/>
      <c r="C115" s="1"/>
      <c r="D115" s="1"/>
      <c r="E115" s="1"/>
      <c r="F115" s="1"/>
      <c r="G115" s="1"/>
      <c r="H115" s="1"/>
      <c r="I115" s="1"/>
      <c r="J115" s="1"/>
      <c r="K115" s="1"/>
      <c r="L115" s="1"/>
      <c r="M115" s="1"/>
      <c r="N115" s="1"/>
      <c r="O115" s="1"/>
      <c r="P115" s="1"/>
      <c r="Q115" s="1"/>
      <c r="R115" s="1"/>
      <c r="S115" s="1"/>
    </row>
    <row r="116" spans="1:19" x14ac:dyDescent="0.3">
      <c r="A116" s="20"/>
      <c r="B116" s="1"/>
      <c r="C116" s="1"/>
      <c r="D116" s="1"/>
      <c r="E116" s="1"/>
      <c r="F116" s="1"/>
      <c r="G116" s="1"/>
      <c r="H116" s="1"/>
      <c r="I116" s="1"/>
      <c r="J116" s="1"/>
      <c r="K116" s="1"/>
      <c r="L116" s="1"/>
      <c r="M116" s="1"/>
      <c r="N116" s="1"/>
      <c r="O116" s="1"/>
      <c r="P116" s="1"/>
      <c r="Q116" s="1"/>
      <c r="R116" s="1"/>
      <c r="S116" s="1"/>
    </row>
    <row r="117" spans="1:19" x14ac:dyDescent="0.3">
      <c r="A117" s="20"/>
      <c r="B117" s="1"/>
      <c r="C117" s="1"/>
      <c r="D117" s="1"/>
      <c r="E117" s="1"/>
      <c r="F117" s="1"/>
      <c r="G117" s="1"/>
      <c r="H117" s="1"/>
      <c r="I117" s="1"/>
      <c r="J117" s="1"/>
      <c r="K117" s="1"/>
      <c r="L117" s="1"/>
      <c r="M117" s="1"/>
      <c r="N117" s="1"/>
      <c r="O117" s="1"/>
      <c r="P117" s="1"/>
      <c r="Q117" s="1"/>
      <c r="R117" s="1"/>
      <c r="S117" s="1"/>
    </row>
    <row r="118" spans="1:19" x14ac:dyDescent="0.3">
      <c r="A118" s="20"/>
      <c r="B118" s="1"/>
      <c r="C118" s="1"/>
      <c r="D118" s="1"/>
      <c r="E118" s="1"/>
      <c r="F118" s="1"/>
      <c r="G118" s="1"/>
      <c r="H118" s="1"/>
      <c r="I118" s="1"/>
      <c r="J118" s="1"/>
      <c r="K118" s="1"/>
      <c r="L118" s="1"/>
      <c r="M118" s="1"/>
      <c r="N118" s="1"/>
      <c r="O118" s="1"/>
      <c r="P118" s="1"/>
      <c r="Q118" s="1"/>
      <c r="R118" s="1"/>
      <c r="S118" s="1"/>
    </row>
    <row r="119" spans="1:19" x14ac:dyDescent="0.3">
      <c r="A119" s="20"/>
      <c r="B119" s="1"/>
      <c r="C119" s="1"/>
      <c r="D119" s="1"/>
      <c r="E119" s="1"/>
      <c r="F119" s="1"/>
      <c r="G119" s="1"/>
      <c r="H119" s="1"/>
      <c r="I119" s="1"/>
      <c r="J119" s="1"/>
      <c r="K119" s="1"/>
      <c r="L119" s="1"/>
      <c r="M119" s="1"/>
      <c r="N119" s="1"/>
      <c r="O119" s="1"/>
      <c r="P119" s="1"/>
      <c r="Q119" s="1"/>
      <c r="R119" s="1"/>
      <c r="S119" s="1"/>
    </row>
    <row r="120" spans="1:19" x14ac:dyDescent="0.3">
      <c r="A120" s="20"/>
      <c r="B120" s="1"/>
      <c r="C120" s="1"/>
      <c r="D120" s="1"/>
      <c r="E120" s="1"/>
      <c r="F120" s="1"/>
      <c r="G120" s="1"/>
      <c r="H120" s="1"/>
      <c r="I120" s="1"/>
      <c r="J120" s="1"/>
      <c r="K120" s="1"/>
      <c r="L120" s="1"/>
      <c r="M120" s="1"/>
      <c r="N120" s="1"/>
      <c r="O120" s="1"/>
      <c r="P120" s="1"/>
      <c r="Q120" s="1"/>
      <c r="R120" s="1"/>
      <c r="S120" s="1"/>
    </row>
    <row r="121" spans="1:19" x14ac:dyDescent="0.3">
      <c r="A121" s="20"/>
      <c r="B121" s="1"/>
      <c r="C121" s="1"/>
      <c r="D121" s="1"/>
      <c r="E121" s="1"/>
      <c r="F121" s="1"/>
      <c r="G121" s="1"/>
      <c r="H121" s="1"/>
      <c r="I121" s="1"/>
      <c r="J121" s="1"/>
      <c r="K121" s="1"/>
      <c r="L121" s="1"/>
      <c r="M121" s="1"/>
      <c r="N121" s="1"/>
      <c r="O121" s="1"/>
      <c r="P121" s="1"/>
      <c r="Q121" s="1"/>
      <c r="R121" s="1"/>
      <c r="S121" s="1"/>
    </row>
    <row r="122" spans="1:19" x14ac:dyDescent="0.3">
      <c r="A122" s="20"/>
      <c r="B122" s="1"/>
      <c r="C122" s="1"/>
      <c r="D122" s="1"/>
      <c r="E122" s="1"/>
      <c r="F122" s="1"/>
      <c r="G122" s="1"/>
      <c r="H122" s="1"/>
      <c r="I122" s="1"/>
      <c r="J122" s="1"/>
      <c r="K122" s="1"/>
      <c r="L122" s="1"/>
      <c r="M122" s="1"/>
      <c r="N122" s="1"/>
      <c r="O122" s="1"/>
      <c r="P122" s="1"/>
      <c r="Q122" s="1"/>
      <c r="R122" s="1"/>
      <c r="S122" s="1"/>
    </row>
    <row r="123" spans="1:19" x14ac:dyDescent="0.3">
      <c r="A123" s="20"/>
      <c r="B123" s="1"/>
      <c r="C123" s="1"/>
      <c r="D123" s="1"/>
      <c r="E123" s="1"/>
      <c r="F123" s="1"/>
      <c r="G123" s="1"/>
      <c r="H123" s="1"/>
      <c r="I123" s="1"/>
      <c r="J123" s="1"/>
      <c r="K123" s="1"/>
      <c r="L123" s="1"/>
      <c r="M123" s="1"/>
      <c r="N123" s="1"/>
      <c r="O123" s="1"/>
      <c r="P123" s="1"/>
      <c r="Q123" s="1"/>
      <c r="R123" s="1"/>
      <c r="S123" s="1"/>
    </row>
    <row r="124" spans="1:19" x14ac:dyDescent="0.3">
      <c r="A124" s="20"/>
      <c r="B124" s="1"/>
      <c r="C124" s="1"/>
      <c r="D124" s="1"/>
      <c r="E124" s="1"/>
      <c r="F124" s="1"/>
      <c r="G124" s="1"/>
      <c r="H124" s="1"/>
      <c r="I124" s="1"/>
      <c r="J124" s="1"/>
      <c r="K124" s="1"/>
      <c r="L124" s="1"/>
      <c r="M124" s="1"/>
      <c r="N124" s="1"/>
      <c r="O124" s="1"/>
      <c r="P124" s="1"/>
      <c r="Q124" s="1"/>
      <c r="R124" s="1"/>
      <c r="S124" s="1"/>
    </row>
    <row r="125" spans="1:19" x14ac:dyDescent="0.3">
      <c r="A125" s="20"/>
      <c r="B125" s="1"/>
      <c r="C125" s="1"/>
      <c r="D125" s="1"/>
      <c r="E125" s="1"/>
      <c r="F125" s="1"/>
      <c r="G125" s="1"/>
      <c r="H125" s="1"/>
      <c r="I125" s="1"/>
      <c r="J125" s="1"/>
      <c r="K125" s="1"/>
      <c r="L125" s="1"/>
      <c r="M125" s="1"/>
      <c r="N125" s="1"/>
      <c r="O125" s="1"/>
      <c r="P125" s="1"/>
      <c r="Q125" s="1"/>
      <c r="R125" s="1"/>
      <c r="S125" s="1"/>
    </row>
    <row r="126" spans="1:19" x14ac:dyDescent="0.3">
      <c r="A126" s="20"/>
      <c r="B126" s="1"/>
      <c r="C126" s="1"/>
      <c r="D126" s="1"/>
      <c r="E126" s="1"/>
      <c r="F126" s="1"/>
      <c r="G126" s="1"/>
      <c r="H126" s="1"/>
      <c r="I126" s="1"/>
      <c r="J126" s="1"/>
      <c r="K126" s="1"/>
      <c r="L126" s="1"/>
      <c r="M126" s="1"/>
      <c r="N126" s="1"/>
      <c r="O126" s="1"/>
      <c r="P126" s="1"/>
      <c r="Q126" s="1"/>
      <c r="R126" s="1"/>
      <c r="S126" s="1"/>
    </row>
    <row r="127" spans="1:19" x14ac:dyDescent="0.3">
      <c r="A127" s="20"/>
      <c r="B127" s="1"/>
      <c r="C127" s="1"/>
      <c r="D127" s="1"/>
      <c r="E127" s="1"/>
      <c r="F127" s="1"/>
      <c r="G127" s="1"/>
      <c r="H127" s="1"/>
      <c r="I127" s="1"/>
      <c r="J127" s="1"/>
      <c r="K127" s="1"/>
      <c r="L127" s="1"/>
      <c r="M127" s="1"/>
      <c r="N127" s="1"/>
      <c r="O127" s="1"/>
      <c r="P127" s="1"/>
      <c r="Q127" s="1"/>
      <c r="R127" s="1"/>
      <c r="S127" s="1"/>
    </row>
    <row r="128" spans="1:19" x14ac:dyDescent="0.3">
      <c r="A128" s="20"/>
      <c r="B128" s="1"/>
      <c r="C128" s="1"/>
      <c r="D128" s="1"/>
      <c r="E128" s="1"/>
      <c r="F128" s="1"/>
      <c r="G128" s="1"/>
      <c r="H128" s="1"/>
      <c r="I128" s="1"/>
      <c r="J128" s="1"/>
      <c r="K128" s="1"/>
      <c r="L128" s="1"/>
      <c r="M128" s="1"/>
      <c r="N128" s="1"/>
      <c r="O128" s="1"/>
      <c r="P128" s="1"/>
      <c r="Q128" s="1"/>
      <c r="R128" s="1"/>
      <c r="S128" s="1"/>
    </row>
    <row r="129" spans="1:19" x14ac:dyDescent="0.3">
      <c r="A129" s="20"/>
      <c r="B129" s="1"/>
      <c r="C129" s="1"/>
      <c r="D129" s="1"/>
      <c r="E129" s="1"/>
      <c r="F129" s="1"/>
      <c r="G129" s="1"/>
      <c r="H129" s="1"/>
      <c r="I129" s="1"/>
      <c r="J129" s="1"/>
      <c r="K129" s="1"/>
      <c r="L129" s="1"/>
      <c r="M129" s="1"/>
      <c r="N129" s="1"/>
      <c r="O129" s="1"/>
      <c r="P129" s="1"/>
      <c r="Q129" s="1"/>
      <c r="R129" s="1"/>
      <c r="S129" s="1"/>
    </row>
    <row r="130" spans="1:19" x14ac:dyDescent="0.3">
      <c r="A130" s="20"/>
      <c r="B130" s="1"/>
      <c r="C130" s="1"/>
      <c r="D130" s="1"/>
      <c r="E130" s="1"/>
      <c r="F130" s="1"/>
      <c r="G130" s="1"/>
      <c r="H130" s="1"/>
      <c r="I130" s="1"/>
      <c r="J130" s="1"/>
      <c r="K130" s="1"/>
      <c r="L130" s="1"/>
      <c r="M130" s="1"/>
      <c r="N130" s="1"/>
      <c r="O130" s="1"/>
      <c r="P130" s="1"/>
      <c r="Q130" s="1"/>
      <c r="R130" s="1"/>
      <c r="S130" s="1"/>
    </row>
    <row r="131" spans="1:19" x14ac:dyDescent="0.3">
      <c r="A131" s="20"/>
      <c r="B131" s="1"/>
      <c r="C131" s="1"/>
      <c r="D131" s="1"/>
      <c r="E131" s="1"/>
      <c r="F131" s="1"/>
      <c r="G131" s="1"/>
      <c r="H131" s="1"/>
      <c r="I131" s="1"/>
      <c r="J131" s="1"/>
      <c r="K131" s="1"/>
      <c r="L131" s="1"/>
      <c r="M131" s="1"/>
      <c r="N131" s="1"/>
      <c r="O131" s="1"/>
      <c r="P131" s="1"/>
      <c r="Q131" s="1"/>
      <c r="R131" s="1"/>
      <c r="S131" s="1"/>
    </row>
    <row r="132" spans="1:19" x14ac:dyDescent="0.3">
      <c r="A132" s="20"/>
      <c r="B132" s="1"/>
      <c r="C132" s="1"/>
      <c r="D132" s="1"/>
      <c r="E132" s="1"/>
      <c r="F132" s="1"/>
      <c r="G132" s="1"/>
      <c r="H132" s="1"/>
      <c r="I132" s="1"/>
      <c r="J132" s="1"/>
      <c r="K132" s="1"/>
      <c r="L132" s="1"/>
      <c r="M132" s="1"/>
      <c r="N132" s="1"/>
      <c r="O132" s="1"/>
      <c r="P132" s="1"/>
      <c r="Q132" s="1"/>
      <c r="R132" s="1"/>
      <c r="S132" s="1"/>
    </row>
    <row r="133" spans="1:19" x14ac:dyDescent="0.3">
      <c r="A133" s="20"/>
      <c r="B133" s="1"/>
      <c r="C133" s="1"/>
      <c r="D133" s="1"/>
      <c r="E133" s="1"/>
      <c r="F133" s="1"/>
      <c r="G133" s="1"/>
      <c r="H133" s="1"/>
      <c r="I133" s="1"/>
      <c r="J133" s="1"/>
      <c r="K133" s="1"/>
      <c r="L133" s="1"/>
      <c r="M133" s="1"/>
      <c r="N133" s="1"/>
      <c r="O133" s="1"/>
      <c r="P133" s="1"/>
      <c r="Q133" s="1"/>
      <c r="R133" s="1"/>
      <c r="S133" s="1"/>
    </row>
    <row r="134" spans="1:19" x14ac:dyDescent="0.3">
      <c r="A134" s="20"/>
      <c r="B134" s="1"/>
      <c r="C134" s="1"/>
      <c r="D134" s="1"/>
      <c r="E134" s="1"/>
      <c r="F134" s="1"/>
      <c r="G134" s="1"/>
      <c r="H134" s="1"/>
      <c r="I134" s="1"/>
      <c r="J134" s="1"/>
      <c r="K134" s="1"/>
      <c r="L134" s="1"/>
      <c r="M134" s="1"/>
      <c r="N134" s="1"/>
      <c r="O134" s="1"/>
      <c r="P134" s="1"/>
      <c r="Q134" s="1"/>
      <c r="R134" s="1"/>
      <c r="S134" s="1"/>
    </row>
    <row r="135" spans="1:19" x14ac:dyDescent="0.3">
      <c r="A135" s="20"/>
      <c r="B135" s="1"/>
      <c r="C135" s="1"/>
      <c r="D135" s="1"/>
      <c r="E135" s="1"/>
      <c r="F135" s="1"/>
      <c r="G135" s="1"/>
      <c r="H135" s="1"/>
      <c r="I135" s="1"/>
      <c r="J135" s="1"/>
      <c r="K135" s="1"/>
      <c r="L135" s="1"/>
      <c r="M135" s="1"/>
      <c r="N135" s="1"/>
      <c r="O135" s="1"/>
      <c r="P135" s="1"/>
      <c r="Q135" s="1"/>
      <c r="R135" s="1"/>
      <c r="S135" s="1"/>
    </row>
    <row r="136" spans="1:19" x14ac:dyDescent="0.3">
      <c r="A136" s="20"/>
      <c r="B136" s="1"/>
      <c r="C136" s="1"/>
      <c r="D136" s="1"/>
      <c r="E136" s="1"/>
      <c r="F136" s="1"/>
      <c r="G136" s="1"/>
      <c r="H136" s="1"/>
      <c r="I136" s="1"/>
      <c r="J136" s="1"/>
      <c r="K136" s="1"/>
      <c r="L136" s="1"/>
      <c r="M136" s="1"/>
      <c r="N136" s="1"/>
      <c r="O136" s="1"/>
      <c r="P136" s="1"/>
      <c r="Q136" s="1"/>
      <c r="R136" s="1"/>
      <c r="S136" s="1"/>
    </row>
    <row r="137" spans="1:19" x14ac:dyDescent="0.3">
      <c r="A137" s="20"/>
      <c r="B137" s="1"/>
      <c r="C137" s="1"/>
      <c r="D137" s="1"/>
      <c r="E137" s="1"/>
      <c r="F137" s="1"/>
      <c r="G137" s="1"/>
      <c r="H137" s="1"/>
      <c r="I137" s="1"/>
      <c r="J137" s="1"/>
      <c r="K137" s="1"/>
      <c r="L137" s="1"/>
      <c r="M137" s="1"/>
      <c r="N137" s="1"/>
      <c r="O137" s="1"/>
      <c r="P137" s="1"/>
      <c r="Q137" s="1"/>
      <c r="R137" s="1"/>
      <c r="S137" s="1"/>
    </row>
    <row r="138" spans="1:19" x14ac:dyDescent="0.3">
      <c r="A138" s="20"/>
      <c r="B138" s="1"/>
      <c r="C138" s="1"/>
      <c r="D138" s="1"/>
      <c r="E138" s="1"/>
      <c r="F138" s="1"/>
      <c r="G138" s="1"/>
      <c r="H138" s="1"/>
      <c r="I138" s="1"/>
      <c r="J138" s="1"/>
      <c r="K138" s="1"/>
      <c r="L138" s="1"/>
      <c r="M138" s="1"/>
      <c r="N138" s="1"/>
      <c r="O138" s="1"/>
      <c r="P138" s="1"/>
      <c r="Q138" s="1"/>
      <c r="R138" s="1"/>
      <c r="S138" s="1"/>
    </row>
    <row r="139" spans="1:19" x14ac:dyDescent="0.3">
      <c r="A139" s="20"/>
      <c r="B139" s="1"/>
      <c r="C139" s="1"/>
      <c r="D139" s="1"/>
      <c r="E139" s="1"/>
      <c r="F139" s="1"/>
      <c r="G139" s="1"/>
      <c r="H139" s="1"/>
      <c r="I139" s="1"/>
      <c r="J139" s="1"/>
      <c r="K139" s="1"/>
      <c r="L139" s="1"/>
      <c r="M139" s="1"/>
      <c r="N139" s="1"/>
      <c r="O139" s="1"/>
      <c r="P139" s="1"/>
      <c r="Q139" s="1"/>
      <c r="R139" s="1"/>
      <c r="S139" s="1"/>
    </row>
    <row r="140" spans="1:19" x14ac:dyDescent="0.3">
      <c r="A140" s="20"/>
      <c r="B140" s="1"/>
      <c r="C140" s="1"/>
      <c r="D140" s="1"/>
      <c r="E140" s="1"/>
      <c r="F140" s="1"/>
      <c r="G140" s="1"/>
      <c r="H140" s="1"/>
      <c r="I140" s="1"/>
      <c r="J140" s="1"/>
      <c r="K140" s="1"/>
      <c r="L140" s="1"/>
      <c r="M140" s="1"/>
      <c r="N140" s="1"/>
      <c r="O140" s="1"/>
      <c r="P140" s="1"/>
      <c r="Q140" s="1"/>
      <c r="R140" s="1"/>
      <c r="S140" s="1"/>
    </row>
    <row r="141" spans="1:19" x14ac:dyDescent="0.3">
      <c r="A141" s="20"/>
      <c r="B141" s="1"/>
      <c r="C141" s="1"/>
      <c r="D141" s="1"/>
      <c r="E141" s="1"/>
      <c r="F141" s="1"/>
      <c r="G141" s="1"/>
      <c r="H141" s="1"/>
      <c r="I141" s="1"/>
      <c r="J141" s="1"/>
      <c r="K141" s="1"/>
      <c r="L141" s="1"/>
      <c r="M141" s="1"/>
      <c r="N141" s="1"/>
      <c r="O141" s="1"/>
      <c r="P141" s="1"/>
      <c r="Q141" s="1"/>
      <c r="R141" s="1"/>
      <c r="S141" s="1"/>
    </row>
    <row r="142" spans="1:19" x14ac:dyDescent="0.3">
      <c r="A142" s="20"/>
      <c r="B142" s="1"/>
      <c r="C142" s="1"/>
      <c r="D142" s="1"/>
      <c r="E142" s="1"/>
      <c r="F142" s="1"/>
      <c r="G142" s="1"/>
      <c r="H142" s="1"/>
      <c r="I142" s="1"/>
      <c r="J142" s="1"/>
      <c r="K142" s="1"/>
      <c r="L142" s="1"/>
      <c r="M142" s="1"/>
      <c r="N142" s="1"/>
      <c r="O142" s="1"/>
      <c r="P142" s="1"/>
      <c r="Q142" s="1"/>
      <c r="R142" s="1"/>
      <c r="S142" s="1"/>
    </row>
    <row r="143" spans="1:19" x14ac:dyDescent="0.3">
      <c r="A143" s="20"/>
      <c r="B143" s="1"/>
      <c r="C143" s="1"/>
      <c r="D143" s="1"/>
      <c r="E143" s="1"/>
      <c r="F143" s="1"/>
      <c r="G143" s="1"/>
      <c r="H143" s="1"/>
      <c r="I143" s="1"/>
      <c r="J143" s="1"/>
      <c r="K143" s="1"/>
      <c r="L143" s="1"/>
      <c r="M143" s="1"/>
      <c r="N143" s="1"/>
      <c r="O143" s="1"/>
      <c r="P143" s="1"/>
      <c r="Q143" s="1"/>
      <c r="R143" s="1"/>
      <c r="S143" s="1"/>
    </row>
    <row r="144" spans="1:19" x14ac:dyDescent="0.3">
      <c r="A144" s="20"/>
      <c r="B144" s="1"/>
      <c r="C144" s="1"/>
      <c r="D144" s="1"/>
      <c r="E144" s="1"/>
      <c r="F144" s="1"/>
      <c r="G144" s="1"/>
      <c r="H144" s="1"/>
      <c r="I144" s="1"/>
      <c r="J144" s="1"/>
      <c r="K144" s="1"/>
      <c r="L144" s="1"/>
      <c r="M144" s="1"/>
      <c r="N144" s="1"/>
      <c r="O144" s="1"/>
      <c r="P144" s="1"/>
      <c r="Q144" s="1"/>
      <c r="R144" s="1"/>
      <c r="S144" s="1"/>
    </row>
    <row r="145" spans="1:19" x14ac:dyDescent="0.3">
      <c r="A145" s="20"/>
      <c r="B145" s="1"/>
      <c r="C145" s="1"/>
      <c r="D145" s="1"/>
      <c r="E145" s="1"/>
      <c r="F145" s="1"/>
      <c r="G145" s="1"/>
      <c r="H145" s="1"/>
      <c r="I145" s="1"/>
      <c r="J145" s="1"/>
      <c r="K145" s="1"/>
      <c r="L145" s="1"/>
      <c r="M145" s="1"/>
      <c r="N145" s="1"/>
      <c r="O145" s="1"/>
      <c r="P145" s="1"/>
      <c r="Q145" s="1"/>
      <c r="R145" s="1"/>
      <c r="S145" s="1"/>
    </row>
    <row r="146" spans="1:19" x14ac:dyDescent="0.3">
      <c r="A146" s="20"/>
      <c r="B146" s="1"/>
      <c r="C146" s="1"/>
      <c r="D146" s="1"/>
      <c r="E146" s="1"/>
      <c r="F146" s="1"/>
      <c r="G146" s="1"/>
      <c r="H146" s="1"/>
      <c r="I146" s="1"/>
      <c r="J146" s="1"/>
      <c r="K146" s="1"/>
      <c r="L146" s="1"/>
      <c r="M146" s="1"/>
      <c r="N146" s="1"/>
      <c r="O146" s="1"/>
      <c r="P146" s="1"/>
      <c r="Q146" s="1"/>
      <c r="R146" s="1"/>
      <c r="S146" s="1"/>
    </row>
    <row r="147" spans="1:19" x14ac:dyDescent="0.3">
      <c r="A147" s="20"/>
      <c r="B147" s="1"/>
      <c r="C147" s="1"/>
      <c r="D147" s="1"/>
      <c r="E147" s="1"/>
      <c r="F147" s="1"/>
      <c r="G147" s="1"/>
      <c r="H147" s="1"/>
      <c r="I147" s="1"/>
      <c r="J147" s="1"/>
      <c r="K147" s="1"/>
      <c r="L147" s="1"/>
      <c r="M147" s="1"/>
      <c r="N147" s="1"/>
      <c r="O147" s="1"/>
      <c r="P147" s="1"/>
      <c r="Q147" s="1"/>
      <c r="R147" s="1"/>
      <c r="S147" s="1"/>
    </row>
    <row r="148" spans="1:19" x14ac:dyDescent="0.3">
      <c r="A148" s="20"/>
      <c r="B148" s="1"/>
      <c r="C148" s="1"/>
      <c r="D148" s="1"/>
      <c r="E148" s="1"/>
      <c r="F148" s="1"/>
      <c r="G148" s="1"/>
      <c r="H148" s="1"/>
      <c r="I148" s="1"/>
      <c r="J148" s="1"/>
      <c r="K148" s="1"/>
      <c r="L148" s="1"/>
      <c r="M148" s="1"/>
      <c r="N148" s="1"/>
      <c r="O148" s="1"/>
      <c r="P148" s="1"/>
      <c r="Q148" s="1"/>
      <c r="R148" s="1"/>
      <c r="S148" s="1"/>
    </row>
    <row r="149" spans="1:19" x14ac:dyDescent="0.3">
      <c r="A149" s="20"/>
      <c r="B149" s="1"/>
      <c r="C149" s="1"/>
      <c r="D149" s="1"/>
      <c r="E149" s="1"/>
      <c r="F149" s="1"/>
      <c r="G149" s="1"/>
      <c r="H149" s="1"/>
      <c r="I149" s="1"/>
      <c r="J149" s="1"/>
      <c r="K149" s="1"/>
      <c r="L149" s="1"/>
      <c r="M149" s="1"/>
      <c r="N149" s="1"/>
      <c r="O149" s="1"/>
      <c r="P149" s="1"/>
      <c r="Q149" s="1"/>
      <c r="R149" s="1"/>
      <c r="S149" s="1"/>
    </row>
    <row r="150" spans="1:19" x14ac:dyDescent="0.3">
      <c r="A150" s="20"/>
      <c r="B150" s="1"/>
      <c r="C150" s="1"/>
      <c r="D150" s="1"/>
      <c r="E150" s="1"/>
      <c r="F150" s="1"/>
      <c r="G150" s="1"/>
      <c r="H150" s="1"/>
      <c r="I150" s="1"/>
      <c r="J150" s="1"/>
      <c r="K150" s="1"/>
      <c r="L150" s="1"/>
      <c r="M150" s="1"/>
      <c r="N150" s="1"/>
      <c r="O150" s="1"/>
      <c r="P150" s="1"/>
      <c r="Q150" s="1"/>
      <c r="R150" s="1"/>
      <c r="S150" s="1"/>
    </row>
    <row r="151" spans="1:19" x14ac:dyDescent="0.3">
      <c r="A151" s="20"/>
      <c r="B151" s="1"/>
      <c r="C151" s="1"/>
      <c r="D151" s="1"/>
      <c r="E151" s="1"/>
      <c r="F151" s="1"/>
      <c r="G151" s="1"/>
      <c r="H151" s="1"/>
      <c r="I151" s="1"/>
      <c r="J151" s="1"/>
      <c r="K151" s="1"/>
      <c r="L151" s="1"/>
      <c r="M151" s="1"/>
      <c r="N151" s="1"/>
      <c r="O151" s="1"/>
      <c r="P151" s="1"/>
      <c r="Q151" s="1"/>
      <c r="R151" s="1"/>
      <c r="S151" s="1"/>
    </row>
    <row r="152" spans="1:19" x14ac:dyDescent="0.3">
      <c r="A152" s="20"/>
      <c r="B152" s="1"/>
      <c r="C152" s="1"/>
      <c r="D152" s="1"/>
      <c r="E152" s="1"/>
      <c r="F152" s="1"/>
      <c r="G152" s="1"/>
      <c r="H152" s="1"/>
      <c r="I152" s="1"/>
      <c r="J152" s="1"/>
      <c r="K152" s="1"/>
      <c r="L152" s="1"/>
      <c r="M152" s="1"/>
      <c r="N152" s="1"/>
      <c r="O152" s="1"/>
      <c r="P152" s="1"/>
      <c r="Q152" s="1"/>
      <c r="R152" s="1"/>
      <c r="S152" s="1"/>
    </row>
    <row r="153" spans="1:19" x14ac:dyDescent="0.3">
      <c r="A153" s="20"/>
      <c r="B153" s="1"/>
      <c r="C153" s="1"/>
      <c r="D153" s="1"/>
      <c r="E153" s="1"/>
      <c r="F153" s="1"/>
      <c r="G153" s="1"/>
      <c r="H153" s="1"/>
      <c r="I153" s="1"/>
      <c r="J153" s="1"/>
      <c r="K153" s="1"/>
      <c r="L153" s="1"/>
      <c r="M153" s="1"/>
      <c r="N153" s="1"/>
      <c r="O153" s="1"/>
      <c r="P153" s="1"/>
      <c r="Q153" s="1"/>
      <c r="R153" s="1"/>
      <c r="S153" s="1"/>
    </row>
    <row r="154" spans="1:19" x14ac:dyDescent="0.3">
      <c r="A154" s="20"/>
      <c r="B154" s="1"/>
      <c r="C154" s="1"/>
      <c r="D154" s="1"/>
      <c r="E154" s="1"/>
      <c r="F154" s="1"/>
      <c r="G154" s="1"/>
      <c r="H154" s="1"/>
      <c r="I154" s="1"/>
      <c r="J154" s="1"/>
      <c r="K154" s="1"/>
      <c r="L154" s="1"/>
      <c r="M154" s="1"/>
      <c r="N154" s="1"/>
      <c r="O154" s="1"/>
      <c r="P154" s="1"/>
      <c r="Q154" s="1"/>
      <c r="R154" s="1"/>
      <c r="S154" s="1"/>
    </row>
    <row r="155" spans="1:19" x14ac:dyDescent="0.3">
      <c r="A155" s="20"/>
      <c r="B155" s="1"/>
      <c r="C155" s="1"/>
      <c r="D155" s="1"/>
      <c r="E155" s="1"/>
      <c r="F155" s="1"/>
      <c r="G155" s="1"/>
      <c r="H155" s="1"/>
      <c r="I155" s="1"/>
      <c r="J155" s="1"/>
      <c r="K155" s="1"/>
      <c r="L155" s="1"/>
      <c r="M155" s="1"/>
      <c r="N155" s="1"/>
      <c r="O155" s="1"/>
      <c r="P155" s="1"/>
      <c r="Q155" s="1"/>
      <c r="R155" s="1"/>
      <c r="S155" s="1"/>
    </row>
    <row r="156" spans="1:19" x14ac:dyDescent="0.3">
      <c r="A156" s="20"/>
      <c r="B156" s="1"/>
      <c r="C156" s="1"/>
      <c r="D156" s="1"/>
      <c r="E156" s="1"/>
      <c r="F156" s="1"/>
      <c r="G156" s="1"/>
      <c r="H156" s="1"/>
      <c r="I156" s="1"/>
      <c r="J156" s="1"/>
      <c r="K156" s="1"/>
      <c r="L156" s="1"/>
      <c r="M156" s="1"/>
      <c r="N156" s="1"/>
      <c r="O156" s="1"/>
      <c r="P156" s="1"/>
      <c r="Q156" s="1"/>
      <c r="R156" s="1"/>
      <c r="S156" s="1"/>
    </row>
    <row r="157" spans="1:19" x14ac:dyDescent="0.3">
      <c r="A157" s="20"/>
      <c r="B157" s="1"/>
      <c r="C157" s="1"/>
      <c r="D157" s="1"/>
      <c r="E157" s="1"/>
      <c r="F157" s="1"/>
      <c r="G157" s="1"/>
      <c r="H157" s="1"/>
      <c r="I157" s="1"/>
      <c r="J157" s="1"/>
      <c r="K157" s="1"/>
      <c r="L157" s="1"/>
      <c r="M157" s="1"/>
      <c r="N157" s="1"/>
      <c r="O157" s="1"/>
      <c r="P157" s="1"/>
      <c r="Q157" s="1"/>
      <c r="R157" s="1"/>
      <c r="S157" s="1"/>
    </row>
    <row r="158" spans="1:19" x14ac:dyDescent="0.3">
      <c r="A158" s="20"/>
      <c r="B158" s="1"/>
      <c r="C158" s="1"/>
      <c r="D158" s="1"/>
      <c r="E158" s="1"/>
      <c r="F158" s="1"/>
      <c r="G158" s="1"/>
      <c r="H158" s="1"/>
      <c r="I158" s="1"/>
      <c r="J158" s="1"/>
      <c r="K158" s="1"/>
      <c r="L158" s="1"/>
      <c r="M158" s="1"/>
      <c r="N158" s="1"/>
      <c r="O158" s="1"/>
      <c r="P158" s="1"/>
      <c r="Q158" s="1"/>
      <c r="R158" s="1"/>
      <c r="S158" s="1"/>
    </row>
    <row r="159" spans="1:19" x14ac:dyDescent="0.3">
      <c r="A159" s="20"/>
      <c r="B159" s="1"/>
      <c r="C159" s="1"/>
      <c r="D159" s="1"/>
      <c r="E159" s="1"/>
      <c r="F159" s="1"/>
      <c r="G159" s="1"/>
      <c r="H159" s="1"/>
      <c r="I159" s="1"/>
      <c r="J159" s="1"/>
      <c r="K159" s="1"/>
      <c r="L159" s="1"/>
      <c r="M159" s="1"/>
      <c r="N159" s="1"/>
      <c r="O159" s="1"/>
      <c r="P159" s="1"/>
      <c r="Q159" s="1"/>
      <c r="R159" s="1"/>
      <c r="S159" s="1"/>
    </row>
    <row r="160" spans="1:19" x14ac:dyDescent="0.3">
      <c r="A160" s="20"/>
      <c r="B160" s="1"/>
      <c r="C160" s="1"/>
      <c r="D160" s="1"/>
      <c r="E160" s="1"/>
      <c r="F160" s="1"/>
      <c r="G160" s="1"/>
      <c r="H160" s="1"/>
      <c r="I160" s="1"/>
      <c r="J160" s="1"/>
      <c r="K160" s="1"/>
      <c r="L160" s="1"/>
      <c r="M160" s="1"/>
      <c r="N160" s="1"/>
      <c r="O160" s="1"/>
      <c r="P160" s="1"/>
      <c r="Q160" s="1"/>
      <c r="R160" s="1"/>
      <c r="S160" s="1"/>
    </row>
    <row r="161" spans="1:19" x14ac:dyDescent="0.3">
      <c r="A161" s="20"/>
      <c r="B161" s="1"/>
      <c r="C161" s="1"/>
      <c r="D161" s="1"/>
      <c r="E161" s="1"/>
      <c r="F161" s="1"/>
      <c r="G161" s="1"/>
      <c r="H161" s="1"/>
      <c r="I161" s="1"/>
      <c r="J161" s="1"/>
      <c r="K161" s="1"/>
      <c r="L161" s="1"/>
      <c r="M161" s="1"/>
      <c r="N161" s="1"/>
      <c r="O161" s="1"/>
      <c r="P161" s="1"/>
      <c r="Q161" s="1"/>
      <c r="R161" s="1"/>
      <c r="S161" s="1"/>
    </row>
    <row r="162" spans="1:19" x14ac:dyDescent="0.3">
      <c r="A162" s="20"/>
      <c r="B162" s="1"/>
      <c r="C162" s="1"/>
      <c r="D162" s="1"/>
      <c r="E162" s="1"/>
      <c r="F162" s="1"/>
      <c r="G162" s="1"/>
      <c r="H162" s="1"/>
      <c r="I162" s="1"/>
      <c r="J162" s="1"/>
      <c r="K162" s="1"/>
      <c r="L162" s="1"/>
      <c r="M162" s="1"/>
      <c r="N162" s="1"/>
      <c r="O162" s="1"/>
      <c r="P162" s="1"/>
      <c r="Q162" s="1"/>
      <c r="R162" s="1"/>
      <c r="S162" s="1"/>
    </row>
    <row r="163" spans="1:19" x14ac:dyDescent="0.3">
      <c r="A163" s="20"/>
      <c r="B163" s="1"/>
      <c r="C163" s="1"/>
      <c r="D163" s="1"/>
      <c r="E163" s="1"/>
      <c r="F163" s="1"/>
      <c r="G163" s="1"/>
      <c r="H163" s="1"/>
      <c r="I163" s="1"/>
      <c r="J163" s="1"/>
      <c r="K163" s="1"/>
      <c r="L163" s="1"/>
      <c r="M163" s="1"/>
      <c r="N163" s="1"/>
      <c r="O163" s="1"/>
      <c r="P163" s="1"/>
      <c r="Q163" s="1"/>
      <c r="R163" s="1"/>
      <c r="S163" s="1"/>
    </row>
    <row r="164" spans="1:19" x14ac:dyDescent="0.3">
      <c r="A164" s="20"/>
      <c r="B164" s="1"/>
      <c r="C164" s="1"/>
      <c r="D164" s="1"/>
      <c r="E164" s="1"/>
      <c r="F164" s="1"/>
      <c r="G164" s="1"/>
      <c r="H164" s="1"/>
      <c r="I164" s="1"/>
      <c r="J164" s="1"/>
      <c r="K164" s="1"/>
      <c r="L164" s="1"/>
      <c r="M164" s="1"/>
      <c r="N164" s="1"/>
      <c r="O164" s="1"/>
      <c r="P164" s="1"/>
      <c r="Q164" s="1"/>
      <c r="R164" s="1"/>
      <c r="S164" s="1"/>
    </row>
    <row r="165" spans="1:19" x14ac:dyDescent="0.3">
      <c r="A165" s="20"/>
      <c r="B165" s="1"/>
      <c r="C165" s="1"/>
      <c r="D165" s="1"/>
      <c r="E165" s="1"/>
      <c r="F165" s="1"/>
      <c r="G165" s="1"/>
      <c r="H165" s="1"/>
      <c r="I165" s="1"/>
      <c r="J165" s="1"/>
      <c r="K165" s="1"/>
      <c r="L165" s="1"/>
      <c r="M165" s="1"/>
      <c r="N165" s="1"/>
      <c r="O165" s="1"/>
      <c r="P165" s="1"/>
      <c r="Q165" s="1"/>
      <c r="R165" s="1"/>
      <c r="S165" s="1"/>
    </row>
    <row r="166" spans="1:19" x14ac:dyDescent="0.3">
      <c r="A166" s="20"/>
      <c r="B166" s="1"/>
      <c r="C166" s="1"/>
      <c r="D166" s="1"/>
      <c r="E166" s="1"/>
      <c r="F166" s="1"/>
      <c r="G166" s="1"/>
      <c r="H166" s="1"/>
      <c r="I166" s="1"/>
      <c r="J166" s="1"/>
      <c r="K166" s="1"/>
      <c r="L166" s="1"/>
      <c r="M166" s="1"/>
      <c r="N166" s="1"/>
      <c r="O166" s="1"/>
      <c r="P166" s="1"/>
      <c r="Q166" s="1"/>
      <c r="R166" s="1"/>
      <c r="S166" s="1"/>
    </row>
    <row r="167" spans="1:19" x14ac:dyDescent="0.3">
      <c r="A167" s="20"/>
      <c r="B167" s="1"/>
      <c r="C167" s="1"/>
      <c r="D167" s="1"/>
      <c r="E167" s="1"/>
      <c r="F167" s="1"/>
      <c r="G167" s="1"/>
      <c r="H167" s="1"/>
      <c r="I167" s="1"/>
      <c r="J167" s="1"/>
      <c r="K167" s="1"/>
      <c r="L167" s="1"/>
      <c r="M167" s="1"/>
      <c r="N167" s="1"/>
      <c r="O167" s="1"/>
      <c r="P167" s="1"/>
      <c r="Q167" s="1"/>
      <c r="R167" s="1"/>
      <c r="S167" s="1"/>
    </row>
    <row r="168" spans="1:19" x14ac:dyDescent="0.3">
      <c r="A168" s="20"/>
      <c r="B168" s="1"/>
      <c r="C168" s="1"/>
      <c r="D168" s="1"/>
      <c r="E168" s="1"/>
      <c r="F168" s="1"/>
      <c r="G168" s="1"/>
      <c r="H168" s="1"/>
      <c r="I168" s="1"/>
      <c r="J168" s="1"/>
      <c r="K168" s="1"/>
      <c r="L168" s="1"/>
      <c r="M168" s="1"/>
      <c r="N168" s="1"/>
      <c r="O168" s="1"/>
      <c r="P168" s="1"/>
      <c r="Q168" s="1"/>
      <c r="R168" s="1"/>
      <c r="S168" s="1"/>
    </row>
    <row r="169" spans="1:19" x14ac:dyDescent="0.3">
      <c r="A169" s="20"/>
      <c r="B169" s="1"/>
      <c r="C169" s="1"/>
      <c r="D169" s="1"/>
      <c r="E169" s="1"/>
      <c r="F169" s="1"/>
      <c r="G169" s="1"/>
      <c r="H169" s="1"/>
      <c r="I169" s="1"/>
      <c r="J169" s="1"/>
      <c r="K169" s="1"/>
      <c r="L169" s="1"/>
      <c r="M169" s="1"/>
      <c r="N169" s="1"/>
      <c r="O169" s="1"/>
      <c r="P169" s="1"/>
      <c r="Q169" s="1"/>
      <c r="R169" s="1"/>
      <c r="S169" s="1"/>
    </row>
    <row r="170" spans="1:19" x14ac:dyDescent="0.3">
      <c r="A170" s="20"/>
      <c r="B170" s="1"/>
      <c r="C170" s="1"/>
      <c r="D170" s="1"/>
      <c r="E170" s="1"/>
      <c r="F170" s="1"/>
      <c r="G170" s="1"/>
      <c r="H170" s="1"/>
      <c r="I170" s="1"/>
      <c r="J170" s="1"/>
      <c r="K170" s="1"/>
      <c r="L170" s="1"/>
      <c r="M170" s="1"/>
      <c r="N170" s="1"/>
      <c r="O170" s="1"/>
      <c r="P170" s="1"/>
      <c r="Q170" s="1"/>
      <c r="R170" s="1"/>
      <c r="S170" s="1"/>
    </row>
    <row r="171" spans="1:19" x14ac:dyDescent="0.3">
      <c r="A171" s="20"/>
      <c r="B171" s="1"/>
      <c r="C171" s="1"/>
      <c r="D171" s="1"/>
      <c r="E171" s="1"/>
      <c r="F171" s="1"/>
      <c r="G171" s="1"/>
      <c r="H171" s="1"/>
      <c r="I171" s="1"/>
      <c r="J171" s="1"/>
      <c r="K171" s="1"/>
      <c r="L171" s="1"/>
      <c r="M171" s="1"/>
      <c r="N171" s="1"/>
      <c r="O171" s="1"/>
      <c r="P171" s="1"/>
      <c r="Q171" s="1"/>
      <c r="R171" s="1"/>
      <c r="S171" s="1"/>
    </row>
    <row r="172" spans="1:19" x14ac:dyDescent="0.3">
      <c r="A172" s="20"/>
      <c r="B172" s="1"/>
      <c r="C172" s="1"/>
      <c r="D172" s="1"/>
      <c r="E172" s="1"/>
      <c r="F172" s="1"/>
      <c r="G172" s="1"/>
      <c r="H172" s="1"/>
      <c r="I172" s="1"/>
      <c r="J172" s="1"/>
      <c r="K172" s="1"/>
      <c r="L172" s="1"/>
      <c r="M172" s="1"/>
      <c r="N172" s="1"/>
      <c r="O172" s="1"/>
      <c r="P172" s="1"/>
      <c r="Q172" s="1"/>
      <c r="R172" s="1"/>
      <c r="S172" s="1"/>
    </row>
    <row r="173" spans="1:19" x14ac:dyDescent="0.3">
      <c r="A173" s="20"/>
      <c r="B173" s="1"/>
      <c r="C173" s="1"/>
      <c r="D173" s="1"/>
      <c r="E173" s="1"/>
      <c r="F173" s="1"/>
      <c r="G173" s="1"/>
      <c r="H173" s="1"/>
      <c r="I173" s="1"/>
      <c r="J173" s="1"/>
      <c r="K173" s="1"/>
      <c r="L173" s="1"/>
      <c r="M173" s="1"/>
      <c r="N173" s="1"/>
      <c r="O173" s="1"/>
      <c r="P173" s="1"/>
      <c r="Q173" s="1"/>
      <c r="R173" s="1"/>
      <c r="S173" s="1"/>
    </row>
    <row r="174" spans="1:19" x14ac:dyDescent="0.3">
      <c r="A174" s="20"/>
      <c r="B174" s="1"/>
      <c r="C174" s="1"/>
      <c r="D174" s="1"/>
      <c r="E174" s="1"/>
      <c r="F174" s="1"/>
      <c r="G174" s="1"/>
      <c r="H174" s="1"/>
      <c r="I174" s="1"/>
      <c r="J174" s="1"/>
      <c r="K174" s="1"/>
      <c r="L174" s="1"/>
      <c r="M174" s="1"/>
      <c r="N174" s="1"/>
      <c r="O174" s="1"/>
      <c r="P174" s="1"/>
      <c r="Q174" s="1"/>
      <c r="R174" s="1"/>
      <c r="S174" s="1"/>
    </row>
    <row r="175" spans="1:19" x14ac:dyDescent="0.3">
      <c r="A175" s="20"/>
      <c r="B175" s="1"/>
      <c r="C175" s="1"/>
      <c r="D175" s="1"/>
      <c r="E175" s="1"/>
      <c r="F175" s="1"/>
      <c r="G175" s="1"/>
      <c r="H175" s="1"/>
      <c r="I175" s="1"/>
      <c r="J175" s="1"/>
      <c r="K175" s="1"/>
      <c r="L175" s="1"/>
      <c r="M175" s="1"/>
      <c r="N175" s="1"/>
      <c r="O175" s="1"/>
      <c r="P175" s="1"/>
      <c r="Q175" s="1"/>
      <c r="R175" s="1"/>
      <c r="S175" s="1"/>
    </row>
    <row r="176" spans="1:19" x14ac:dyDescent="0.3">
      <c r="A176" s="20"/>
      <c r="B176" s="1"/>
      <c r="C176" s="1"/>
      <c r="D176" s="1"/>
      <c r="E176" s="1"/>
      <c r="F176" s="1"/>
      <c r="G176" s="1"/>
      <c r="H176" s="1"/>
      <c r="I176" s="1"/>
      <c r="J176" s="1"/>
      <c r="K176" s="1"/>
      <c r="L176" s="1"/>
      <c r="M176" s="1"/>
      <c r="N176" s="1"/>
      <c r="O176" s="1"/>
      <c r="P176" s="1"/>
      <c r="Q176" s="1"/>
      <c r="R176" s="1"/>
      <c r="S176" s="1"/>
    </row>
    <row r="177" spans="1:19" x14ac:dyDescent="0.3">
      <c r="A177" s="20"/>
      <c r="B177" s="1"/>
      <c r="C177" s="1"/>
      <c r="D177" s="1"/>
      <c r="E177" s="1"/>
      <c r="F177" s="1"/>
      <c r="G177" s="1"/>
      <c r="H177" s="1"/>
      <c r="I177" s="1"/>
      <c r="J177" s="1"/>
      <c r="K177" s="1"/>
      <c r="L177" s="1"/>
      <c r="M177" s="1"/>
      <c r="N177" s="1"/>
      <c r="O177" s="1"/>
      <c r="P177" s="1"/>
      <c r="Q177" s="1"/>
      <c r="R177" s="1"/>
      <c r="S177" s="1"/>
    </row>
    <row r="178" spans="1:19" x14ac:dyDescent="0.3">
      <c r="A178" s="20"/>
      <c r="B178" s="1"/>
      <c r="C178" s="1"/>
      <c r="D178" s="1"/>
      <c r="E178" s="1"/>
      <c r="F178" s="1"/>
      <c r="G178" s="1"/>
      <c r="H178" s="1"/>
      <c r="I178" s="1"/>
      <c r="J178" s="1"/>
      <c r="K178" s="1"/>
      <c r="L178" s="1"/>
      <c r="M178" s="1"/>
      <c r="N178" s="1"/>
      <c r="O178" s="1"/>
      <c r="P178" s="1"/>
      <c r="Q178" s="1"/>
      <c r="R178" s="1"/>
      <c r="S178" s="1"/>
    </row>
    <row r="179" spans="1:19" x14ac:dyDescent="0.3">
      <c r="A179" s="20"/>
      <c r="B179" s="1"/>
      <c r="C179" s="1"/>
      <c r="D179" s="1"/>
      <c r="E179" s="1"/>
      <c r="F179" s="1"/>
      <c r="G179" s="1"/>
      <c r="H179" s="1"/>
      <c r="I179" s="1"/>
      <c r="J179" s="1"/>
      <c r="K179" s="1"/>
      <c r="L179" s="1"/>
      <c r="M179" s="1"/>
      <c r="N179" s="1"/>
      <c r="O179" s="1"/>
      <c r="P179" s="1"/>
      <c r="Q179" s="1"/>
      <c r="R179" s="1"/>
      <c r="S179" s="1"/>
    </row>
    <row r="180" spans="1:19" x14ac:dyDescent="0.3">
      <c r="A180" s="20"/>
      <c r="B180" s="1"/>
      <c r="C180" s="1"/>
      <c r="D180" s="1"/>
      <c r="E180" s="1"/>
      <c r="F180" s="1"/>
      <c r="G180" s="1"/>
      <c r="H180" s="1"/>
      <c r="I180" s="1"/>
      <c r="J180" s="1"/>
      <c r="K180" s="1"/>
      <c r="L180" s="1"/>
      <c r="M180" s="1"/>
      <c r="N180" s="1"/>
      <c r="O180" s="1"/>
      <c r="P180" s="1"/>
      <c r="Q180" s="1"/>
      <c r="R180" s="1"/>
      <c r="S180" s="1"/>
    </row>
    <row r="181" spans="1:19" x14ac:dyDescent="0.3">
      <c r="A181" s="20"/>
      <c r="B181" s="1"/>
      <c r="C181" s="1"/>
      <c r="D181" s="1"/>
      <c r="E181" s="1"/>
      <c r="F181" s="1"/>
      <c r="G181" s="1"/>
      <c r="H181" s="1"/>
      <c r="I181" s="1"/>
      <c r="J181" s="1"/>
      <c r="K181" s="1"/>
      <c r="L181" s="1"/>
      <c r="M181" s="1"/>
      <c r="N181" s="1"/>
      <c r="O181" s="1"/>
      <c r="P181" s="1"/>
      <c r="Q181" s="1"/>
      <c r="R181" s="1"/>
      <c r="S181" s="1"/>
    </row>
    <row r="182" spans="1:19" x14ac:dyDescent="0.3">
      <c r="A182" s="20"/>
      <c r="B182" s="1"/>
      <c r="C182" s="1"/>
      <c r="D182" s="1"/>
      <c r="E182" s="1"/>
      <c r="F182" s="1"/>
      <c r="G182" s="1"/>
      <c r="H182" s="1"/>
      <c r="I182" s="1"/>
      <c r="J182" s="1"/>
      <c r="K182" s="1"/>
      <c r="L182" s="1"/>
      <c r="M182" s="1"/>
      <c r="N182" s="1"/>
      <c r="O182" s="1"/>
      <c r="P182" s="1"/>
      <c r="Q182" s="1"/>
      <c r="R182" s="1"/>
      <c r="S182" s="1"/>
    </row>
    <row r="183" spans="1:19" x14ac:dyDescent="0.3">
      <c r="A183" s="20"/>
      <c r="B183" s="1"/>
      <c r="C183" s="1"/>
      <c r="D183" s="1"/>
      <c r="E183" s="1"/>
      <c r="F183" s="1"/>
      <c r="G183" s="1"/>
      <c r="H183" s="1"/>
      <c r="I183" s="1"/>
      <c r="J183" s="1"/>
      <c r="K183" s="1"/>
      <c r="L183" s="1"/>
      <c r="M183" s="1"/>
      <c r="N183" s="1"/>
      <c r="O183" s="1"/>
      <c r="P183" s="1"/>
      <c r="Q183" s="1"/>
      <c r="R183" s="1"/>
      <c r="S183" s="1"/>
    </row>
    <row r="184" spans="1:19" x14ac:dyDescent="0.3">
      <c r="A184" s="20"/>
      <c r="B184" s="1"/>
      <c r="C184" s="1"/>
      <c r="D184" s="1"/>
      <c r="E184" s="1"/>
      <c r="F184" s="1"/>
      <c r="G184" s="1"/>
      <c r="H184" s="1"/>
      <c r="I184" s="1"/>
      <c r="J184" s="1"/>
      <c r="K184" s="1"/>
      <c r="L184" s="1"/>
      <c r="M184" s="1"/>
      <c r="N184" s="1"/>
      <c r="O184" s="1"/>
      <c r="P184" s="1"/>
      <c r="Q184" s="1"/>
      <c r="R184" s="1"/>
      <c r="S184" s="1"/>
    </row>
    <row r="185" spans="1:19" x14ac:dyDescent="0.3">
      <c r="A185" s="20"/>
      <c r="B185" s="1"/>
      <c r="C185" s="1"/>
      <c r="D185" s="1"/>
      <c r="E185" s="1"/>
      <c r="F185" s="1"/>
      <c r="G185" s="1"/>
      <c r="H185" s="1"/>
      <c r="I185" s="1"/>
      <c r="J185" s="1"/>
      <c r="K185" s="1"/>
      <c r="L185" s="1"/>
      <c r="M185" s="1"/>
      <c r="N185" s="1"/>
      <c r="O185" s="1"/>
      <c r="P185" s="1"/>
      <c r="Q185" s="1"/>
      <c r="R185" s="1"/>
      <c r="S185" s="1"/>
    </row>
    <row r="186" spans="1:19" x14ac:dyDescent="0.3">
      <c r="A186" s="20"/>
      <c r="B186" s="1"/>
      <c r="C186" s="1"/>
      <c r="D186" s="1"/>
      <c r="E186" s="1"/>
      <c r="F186" s="1"/>
      <c r="G186" s="1"/>
      <c r="H186" s="1"/>
      <c r="I186" s="1"/>
      <c r="J186" s="1"/>
      <c r="K186" s="1"/>
      <c r="L186" s="1"/>
      <c r="M186" s="1"/>
      <c r="N186" s="1"/>
      <c r="O186" s="1"/>
      <c r="P186" s="1"/>
      <c r="Q186" s="1"/>
      <c r="R186" s="1"/>
      <c r="S186" s="1"/>
    </row>
    <row r="187" spans="1:19" x14ac:dyDescent="0.3">
      <c r="A187" s="20"/>
      <c r="B187" s="1"/>
      <c r="C187" s="1"/>
      <c r="D187" s="1"/>
      <c r="E187" s="1"/>
      <c r="F187" s="1"/>
      <c r="G187" s="1"/>
      <c r="H187" s="1"/>
      <c r="I187" s="1"/>
      <c r="J187" s="1"/>
      <c r="K187" s="1"/>
      <c r="L187" s="1"/>
      <c r="M187" s="1"/>
      <c r="N187" s="1"/>
      <c r="O187" s="1"/>
      <c r="P187" s="1"/>
      <c r="Q187" s="1"/>
      <c r="R187" s="1"/>
      <c r="S187" s="1"/>
    </row>
    <row r="188" spans="1:19" x14ac:dyDescent="0.3">
      <c r="A188" s="20"/>
      <c r="B188" s="1"/>
      <c r="C188" s="1"/>
      <c r="D188" s="1"/>
      <c r="E188" s="1"/>
      <c r="F188" s="1"/>
      <c r="G188" s="1"/>
      <c r="H188" s="1"/>
      <c r="I188" s="1"/>
      <c r="J188" s="1"/>
      <c r="K188" s="1"/>
      <c r="L188" s="1"/>
      <c r="M188" s="1"/>
      <c r="N188" s="1"/>
      <c r="O188" s="1"/>
      <c r="P188" s="1"/>
      <c r="Q188" s="1"/>
      <c r="R188" s="1"/>
      <c r="S188" s="1"/>
    </row>
    <row r="189" spans="1:19" x14ac:dyDescent="0.3">
      <c r="A189" s="20"/>
      <c r="B189" s="1"/>
      <c r="C189" s="1"/>
      <c r="D189" s="1"/>
      <c r="E189" s="1"/>
      <c r="F189" s="1"/>
      <c r="G189" s="1"/>
      <c r="H189" s="1"/>
      <c r="I189" s="1"/>
      <c r="J189" s="1"/>
      <c r="K189" s="1"/>
      <c r="L189" s="1"/>
      <c r="M189" s="1"/>
      <c r="N189" s="1"/>
      <c r="O189" s="1"/>
      <c r="P189" s="1"/>
      <c r="Q189" s="1"/>
      <c r="R189" s="1"/>
      <c r="S189" s="1"/>
    </row>
    <row r="190" spans="1:19" x14ac:dyDescent="0.3">
      <c r="A190" s="20"/>
      <c r="B190" s="1"/>
      <c r="C190" s="1"/>
      <c r="D190" s="1"/>
      <c r="E190" s="1"/>
      <c r="F190" s="1"/>
      <c r="G190" s="1"/>
      <c r="H190" s="1"/>
      <c r="I190" s="1"/>
      <c r="J190" s="1"/>
      <c r="K190" s="1"/>
      <c r="L190" s="1"/>
      <c r="M190" s="1"/>
      <c r="N190" s="1"/>
      <c r="O190" s="1"/>
      <c r="P190" s="1"/>
      <c r="Q190" s="1"/>
      <c r="R190" s="1"/>
      <c r="S190" s="1"/>
    </row>
    <row r="191" spans="1:19" x14ac:dyDescent="0.3">
      <c r="A191" s="20"/>
      <c r="B191" s="1"/>
      <c r="C191" s="1"/>
      <c r="D191" s="1"/>
      <c r="E191" s="1"/>
      <c r="F191" s="1"/>
      <c r="G191" s="1"/>
      <c r="H191" s="1"/>
      <c r="I191" s="1"/>
      <c r="J191" s="1"/>
      <c r="K191" s="1"/>
      <c r="L191" s="1"/>
      <c r="M191" s="1"/>
      <c r="N191" s="1"/>
      <c r="O191" s="1"/>
      <c r="P191" s="1"/>
      <c r="Q191" s="1"/>
      <c r="R191" s="1"/>
      <c r="S191" s="1"/>
    </row>
    <row r="192" spans="1:19" x14ac:dyDescent="0.3">
      <c r="A192" s="20"/>
      <c r="B192" s="1"/>
      <c r="C192" s="1"/>
      <c r="D192" s="1"/>
      <c r="E192" s="1"/>
      <c r="F192" s="1"/>
      <c r="G192" s="1"/>
      <c r="H192" s="1"/>
      <c r="I192" s="1"/>
      <c r="J192" s="1"/>
      <c r="K192" s="1"/>
      <c r="L192" s="1"/>
      <c r="M192" s="1"/>
      <c r="N192" s="1"/>
      <c r="O192" s="1"/>
      <c r="P192" s="1"/>
      <c r="Q192" s="1"/>
      <c r="R192" s="1"/>
      <c r="S192" s="1"/>
    </row>
    <row r="193" spans="1:19" x14ac:dyDescent="0.3">
      <c r="A193" s="20"/>
      <c r="B193" s="1"/>
      <c r="C193" s="1"/>
      <c r="D193" s="1"/>
      <c r="E193" s="1"/>
      <c r="F193" s="1"/>
      <c r="G193" s="1"/>
      <c r="H193" s="1"/>
      <c r="I193" s="1"/>
      <c r="J193" s="1"/>
      <c r="K193" s="1"/>
      <c r="L193" s="1"/>
      <c r="M193" s="1"/>
      <c r="N193" s="1"/>
      <c r="O193" s="1"/>
      <c r="P193" s="1"/>
      <c r="Q193" s="1"/>
      <c r="R193" s="1"/>
      <c r="S193" s="1"/>
    </row>
  </sheetData>
  <mergeCells count="14">
    <mergeCell ref="A54:I54"/>
    <mergeCell ref="B42:D42"/>
    <mergeCell ref="A50:J50"/>
    <mergeCell ref="N50:Q50"/>
    <mergeCell ref="A51:I51"/>
    <mergeCell ref="A52:I52"/>
    <mergeCell ref="A53:I53"/>
    <mergeCell ref="A1:F1"/>
    <mergeCell ref="G1:H1"/>
    <mergeCell ref="A6:I6"/>
    <mergeCell ref="N6:Q7"/>
    <mergeCell ref="A7:A9"/>
    <mergeCell ref="B7:D8"/>
    <mergeCell ref="O8:Q8"/>
  </mergeCells>
  <conditionalFormatting sqref="C44 C47:C48 C10:D41 P10:Q48">
    <cfRule type="cellIs" dxfId="23" priority="7" operator="lessThan">
      <formula>0</formula>
    </cfRule>
    <cfRule type="cellIs" dxfId="22" priority="8" operator="greaterThan">
      <formula>0</formula>
    </cfRule>
  </conditionalFormatting>
  <conditionalFormatting sqref="B47:B48 B44 B10:B41">
    <cfRule type="colorScale" priority="6">
      <colorScale>
        <cfvo type="num" val="-40000"/>
        <cfvo type="num" val="0"/>
        <cfvo type="num" val="40000"/>
        <color rgb="FFF8696B"/>
        <color rgb="FFFCFCFF"/>
        <color rgb="FF5A8AC6"/>
      </colorScale>
    </cfRule>
  </conditionalFormatting>
  <conditionalFormatting sqref="O10:O48">
    <cfRule type="colorScale" priority="5">
      <colorScale>
        <cfvo type="num" val="-100"/>
        <cfvo type="num" val="0"/>
        <cfvo type="num" val="100"/>
        <color rgb="FFF8696B"/>
        <color rgb="FFFCFCFF"/>
        <color rgb="FF5A8AC6"/>
      </colorScale>
    </cfRule>
  </conditionalFormatting>
  <conditionalFormatting sqref="F3">
    <cfRule type="cellIs" dxfId="21" priority="3" operator="lessThan">
      <formula>0.55</formula>
    </cfRule>
    <cfRule type="cellIs" dxfId="20" priority="4" operator="greaterThan">
      <formula>0.6</formula>
    </cfRule>
  </conditionalFormatting>
  <conditionalFormatting sqref="D44 D47:D48">
    <cfRule type="cellIs" dxfId="19" priority="1" operator="lessThan">
      <formula>0</formula>
    </cfRule>
    <cfRule type="cellIs" dxfId="18" priority="2" operator="greaterThan">
      <formula>0</formula>
    </cfRule>
  </conditionalFormatting>
  <pageMargins left="0.70866141732283472" right="0.70866141732283472" top="0.59055118110236227" bottom="0.39370078740157483" header="0.31496062992125984" footer="0.31496062992125984"/>
  <pageSetup paperSize="9" scale="20" fitToHeight="0" orientation="portrait" r:id="rId1"/>
  <rowBreaks count="1" manualBreakCount="1">
    <brk id="47" max="10"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877B-4400-4B87-B07E-112606CC6219}">
  <sheetPr codeName="Tabelle19">
    <pageSetUpPr fitToPage="1"/>
  </sheetPr>
  <dimension ref="A1:V193"/>
  <sheetViews>
    <sheetView view="pageBreakPreview" zoomScale="80" zoomScaleNormal="70" zoomScaleSheetLayoutView="80" workbookViewId="0">
      <selection activeCell="C38" sqref="C14:C38"/>
    </sheetView>
  </sheetViews>
  <sheetFormatPr baseColWidth="10" defaultRowHeight="14.4" x14ac:dyDescent="0.3"/>
  <cols>
    <col min="1" max="1" width="11.44140625" style="18"/>
    <col min="2" max="2" width="13.88671875" customWidth="1"/>
    <col min="3" max="3" width="15" customWidth="1"/>
    <col min="4" max="4" width="16" customWidth="1"/>
    <col min="7" max="7" width="12.6640625" customWidth="1"/>
    <col min="8" max="8" width="13.6640625" customWidth="1"/>
    <col min="14" max="14" width="12.44140625" customWidth="1"/>
    <col min="15" max="15" width="15.33203125" customWidth="1"/>
    <col min="16" max="16" width="16" customWidth="1"/>
    <col min="17" max="17" width="17.109375" customWidth="1"/>
  </cols>
  <sheetData>
    <row r="1" spans="1:22" ht="80.25" customHeight="1" x14ac:dyDescent="0.3">
      <c r="A1" s="111" t="s">
        <v>101</v>
      </c>
      <c r="B1" s="112"/>
      <c r="C1" s="112"/>
      <c r="D1" s="112"/>
      <c r="E1" s="112"/>
      <c r="F1" s="112"/>
      <c r="G1" s="113">
        <f>Ueberhaenge!G1</f>
        <v>45216</v>
      </c>
      <c r="H1" s="113"/>
      <c r="I1" s="55"/>
      <c r="J1" s="59"/>
      <c r="K1" s="59"/>
    </row>
    <row r="2" spans="1:22" ht="21" customHeight="1" x14ac:dyDescent="0.3">
      <c r="A2" s="61"/>
      <c r="B2" s="62"/>
      <c r="C2" s="62"/>
      <c r="D2" s="62"/>
      <c r="E2" s="62"/>
      <c r="F2" s="62"/>
      <c r="G2" s="62"/>
      <c r="H2" s="62"/>
      <c r="I2" s="62"/>
      <c r="J2" s="62"/>
      <c r="K2" s="62"/>
    </row>
    <row r="3" spans="1:22" ht="18" x14ac:dyDescent="0.35">
      <c r="A3" s="63" t="s">
        <v>27</v>
      </c>
      <c r="B3" s="62"/>
      <c r="C3" s="65">
        <f>Ueberhaenge!G2</f>
        <v>3</v>
      </c>
      <c r="D3" s="62"/>
      <c r="E3" s="64" t="s">
        <v>31</v>
      </c>
      <c r="F3" s="64">
        <v>0.5</v>
      </c>
      <c r="G3" s="62"/>
      <c r="H3" s="39" t="str">
        <f>IF(F3&lt;0.9,"",IF(STOXX_Infos!T34="klein","Heute kleiner Verfall","Heute großer Verfall"))</f>
        <v/>
      </c>
      <c r="I3" s="67"/>
      <c r="J3" s="62"/>
      <c r="K3" s="62"/>
    </row>
    <row r="4" spans="1:22" x14ac:dyDescent="0.3">
      <c r="A4" s="61"/>
      <c r="B4" s="62"/>
      <c r="C4" s="62"/>
      <c r="D4" s="62"/>
      <c r="E4" s="62"/>
      <c r="F4" s="62"/>
      <c r="G4" s="62"/>
      <c r="H4" s="62"/>
      <c r="I4" s="62"/>
      <c r="J4" s="62"/>
      <c r="K4" s="62"/>
      <c r="L4" s="1"/>
      <c r="M4" s="1"/>
      <c r="N4" s="1"/>
      <c r="O4" s="1"/>
      <c r="P4" s="1"/>
      <c r="Q4" s="1"/>
      <c r="R4" s="1"/>
      <c r="S4" s="1"/>
    </row>
    <row r="5" spans="1:22" ht="5.25" customHeight="1" x14ac:dyDescent="0.3">
      <c r="A5" s="61"/>
      <c r="B5" s="62"/>
      <c r="C5" s="62"/>
      <c r="D5" s="62"/>
      <c r="E5" s="62"/>
      <c r="F5" s="62"/>
      <c r="G5" s="62"/>
      <c r="H5" s="62"/>
      <c r="I5" s="62"/>
      <c r="J5" s="62"/>
      <c r="K5" s="62"/>
      <c r="L5" s="1"/>
      <c r="M5" s="1"/>
      <c r="N5" s="1"/>
      <c r="O5" s="1"/>
      <c r="P5" s="1"/>
      <c r="Q5" s="1"/>
      <c r="R5" s="1"/>
      <c r="S5" s="1"/>
    </row>
    <row r="6" spans="1:22" ht="63.75" customHeight="1" thickBot="1" x14ac:dyDescent="0.35">
      <c r="A6" s="114" t="s">
        <v>104</v>
      </c>
      <c r="B6" s="115"/>
      <c r="C6" s="115"/>
      <c r="D6" s="115"/>
      <c r="E6" s="115"/>
      <c r="F6" s="115"/>
      <c r="G6" s="115"/>
      <c r="H6" s="115"/>
      <c r="I6" s="115"/>
      <c r="J6" s="59"/>
      <c r="K6" s="59"/>
      <c r="L6" s="1"/>
      <c r="M6" s="1"/>
      <c r="N6" s="116" t="s">
        <v>32</v>
      </c>
      <c r="O6" s="116"/>
      <c r="P6" s="116"/>
      <c r="Q6" s="116"/>
      <c r="R6" s="1"/>
      <c r="S6" s="1"/>
    </row>
    <row r="7" spans="1:22" ht="32.25" customHeight="1" thickBot="1" x14ac:dyDescent="0.65">
      <c r="A7" s="117" t="s">
        <v>1</v>
      </c>
      <c r="B7" s="120" t="str">
        <f xml:space="preserve"> "Front: " &amp; Ueberhaenge!D8</f>
        <v>Front: 2023-10</v>
      </c>
      <c r="C7" s="121"/>
      <c r="D7" s="122"/>
      <c r="E7" s="58"/>
      <c r="F7" s="58"/>
      <c r="G7" s="58"/>
      <c r="H7" s="59"/>
      <c r="I7" s="59"/>
      <c r="J7" s="59"/>
      <c r="K7" s="59"/>
      <c r="L7" s="1"/>
      <c r="M7" s="1"/>
      <c r="N7" s="116"/>
      <c r="O7" s="116"/>
      <c r="P7" s="116"/>
      <c r="Q7" s="116"/>
      <c r="R7" s="38"/>
      <c r="S7" s="38"/>
      <c r="T7" s="37"/>
      <c r="U7" s="37"/>
      <c r="V7" s="37"/>
    </row>
    <row r="8" spans="1:22" ht="21.6" thickBot="1" x14ac:dyDescent="0.45">
      <c r="A8" s="118"/>
      <c r="B8" s="123"/>
      <c r="C8" s="124"/>
      <c r="D8" s="125"/>
      <c r="E8" s="60"/>
      <c r="F8" s="59"/>
      <c r="G8" s="59"/>
      <c r="H8" s="59"/>
      <c r="I8" s="59"/>
      <c r="J8" s="59"/>
      <c r="K8" s="59"/>
      <c r="L8" s="1"/>
      <c r="M8" s="1"/>
      <c r="N8" s="35"/>
      <c r="O8" s="126" t="str">
        <f xml:space="preserve"> "Summe: " &amp; Ueberhaenge!D8 &amp; " bis " &amp; Ueberhaenge!I8</f>
        <v>Summe: 2023-10 bis -</v>
      </c>
      <c r="P8" s="127"/>
      <c r="Q8" s="128"/>
      <c r="R8" s="1"/>
      <c r="S8" s="1"/>
    </row>
    <row r="9" spans="1:22" ht="18.600000000000001" thickBot="1" x14ac:dyDescent="0.4">
      <c r="A9" s="119"/>
      <c r="B9" s="56" t="s">
        <v>26</v>
      </c>
      <c r="C9" s="57">
        <f>Ueberhaenge!G5</f>
        <v>45216</v>
      </c>
      <c r="D9" s="57">
        <f>IF(WEEKDAY(C9,2)=1,C9-3,C9-1)</f>
        <v>45215</v>
      </c>
      <c r="E9" s="60"/>
      <c r="F9" s="59"/>
      <c r="G9" s="59"/>
      <c r="H9" s="59"/>
      <c r="I9" s="59"/>
      <c r="J9" s="59"/>
      <c r="K9" s="59"/>
      <c r="L9" s="1"/>
      <c r="M9" s="1"/>
      <c r="N9" s="36" t="s">
        <v>1</v>
      </c>
      <c r="O9" s="22" t="s">
        <v>26</v>
      </c>
      <c r="P9" s="21">
        <f>C9</f>
        <v>45216</v>
      </c>
      <c r="Q9" s="21">
        <f>D9</f>
        <v>45215</v>
      </c>
      <c r="R9" s="1"/>
      <c r="S9" s="1"/>
    </row>
    <row r="10" spans="1:22" ht="23.1" customHeight="1" x14ac:dyDescent="0.35">
      <c r="A10" s="26">
        <v>4650</v>
      </c>
      <c r="B10" s="27">
        <v>-1.5</v>
      </c>
      <c r="C10" s="28">
        <v>-12065.5</v>
      </c>
      <c r="D10" s="28">
        <v>-12064</v>
      </c>
      <c r="E10" s="1"/>
      <c r="F10" s="1"/>
      <c r="G10" s="1"/>
      <c r="H10" s="1"/>
      <c r="I10" s="1"/>
      <c r="J10" s="1"/>
      <c r="K10" s="1"/>
      <c r="L10" s="1"/>
      <c r="M10" s="1"/>
      <c r="N10" s="26">
        <v>4650</v>
      </c>
      <c r="O10" s="29">
        <v>-151.5</v>
      </c>
      <c r="P10" s="30">
        <v>-13479</v>
      </c>
      <c r="Q10" s="31">
        <v>-13327.5</v>
      </c>
      <c r="R10" s="1"/>
      <c r="S10" s="1"/>
      <c r="T10" s="23">
        <v>-13327.5</v>
      </c>
    </row>
    <row r="11" spans="1:22" ht="23.1" customHeight="1" x14ac:dyDescent="0.35">
      <c r="A11" s="26">
        <v>4625</v>
      </c>
      <c r="B11" s="29">
        <v>0.5</v>
      </c>
      <c r="C11" s="30">
        <v>-2606.5</v>
      </c>
      <c r="D11" s="30">
        <v>-2607</v>
      </c>
      <c r="E11" s="1"/>
      <c r="F11" s="1"/>
      <c r="G11" s="1"/>
      <c r="H11" s="1"/>
      <c r="I11" s="1"/>
      <c r="J11" s="1"/>
      <c r="K11" s="1"/>
      <c r="L11" s="1"/>
      <c r="M11" s="1"/>
      <c r="N11" s="26">
        <v>4625</v>
      </c>
      <c r="O11" s="29">
        <v>0.5</v>
      </c>
      <c r="P11" s="30">
        <v>-3437</v>
      </c>
      <c r="Q11" s="31">
        <v>-3437.5</v>
      </c>
      <c r="R11" s="1"/>
      <c r="S11" s="1"/>
      <c r="T11" s="23">
        <v>-3437.5</v>
      </c>
    </row>
    <row r="12" spans="1:22" ht="23.1" customHeight="1" x14ac:dyDescent="0.35">
      <c r="A12" s="26">
        <v>4600</v>
      </c>
      <c r="B12" s="29">
        <v>1758</v>
      </c>
      <c r="C12" s="30">
        <v>-29306</v>
      </c>
      <c r="D12" s="30">
        <v>-31064</v>
      </c>
      <c r="E12" s="1"/>
      <c r="F12" s="1"/>
      <c r="G12" s="1"/>
      <c r="H12" s="1"/>
      <c r="I12" s="1"/>
      <c r="J12" s="1"/>
      <c r="K12" s="1"/>
      <c r="L12" s="1"/>
      <c r="M12" s="1"/>
      <c r="N12" s="26">
        <v>4600</v>
      </c>
      <c r="O12" s="29">
        <v>508</v>
      </c>
      <c r="P12" s="30">
        <v>-39314</v>
      </c>
      <c r="Q12" s="31">
        <v>-39822</v>
      </c>
      <c r="R12" s="1"/>
      <c r="S12" s="1"/>
      <c r="T12" s="23">
        <v>-39822</v>
      </c>
    </row>
    <row r="13" spans="1:22" ht="23.1" customHeight="1" x14ac:dyDescent="0.35">
      <c r="A13" s="26">
        <v>4575</v>
      </c>
      <c r="B13" s="29">
        <v>1</v>
      </c>
      <c r="C13" s="30">
        <v>-8566.5</v>
      </c>
      <c r="D13" s="30">
        <v>-8567.5</v>
      </c>
      <c r="E13" s="1"/>
      <c r="F13" s="1"/>
      <c r="G13" s="1"/>
      <c r="H13" s="1"/>
      <c r="I13" s="1"/>
      <c r="J13" s="1"/>
      <c r="K13" s="1"/>
      <c r="L13" s="1"/>
      <c r="M13" s="1"/>
      <c r="N13" s="26">
        <v>4575</v>
      </c>
      <c r="O13" s="29">
        <v>1</v>
      </c>
      <c r="P13" s="30">
        <v>-10221.5</v>
      </c>
      <c r="Q13" s="31">
        <v>-10222.5</v>
      </c>
      <c r="R13" s="1"/>
      <c r="S13" s="1"/>
      <c r="T13" s="23">
        <v>-10222.5</v>
      </c>
    </row>
    <row r="14" spans="1:22" ht="23.1" customHeight="1" x14ac:dyDescent="0.35">
      <c r="A14" s="26">
        <v>4550</v>
      </c>
      <c r="B14" s="29">
        <v>13.5</v>
      </c>
      <c r="C14" s="30">
        <v>-16832.5</v>
      </c>
      <c r="D14" s="30">
        <v>-16846</v>
      </c>
      <c r="E14" s="1"/>
      <c r="F14" s="1"/>
      <c r="G14" s="1"/>
      <c r="H14" s="1"/>
      <c r="I14" s="1"/>
      <c r="J14" s="1"/>
      <c r="K14" s="1"/>
      <c r="L14" s="1"/>
      <c r="M14" s="1"/>
      <c r="N14" s="26">
        <v>4550</v>
      </c>
      <c r="O14" s="29">
        <v>14</v>
      </c>
      <c r="P14" s="30">
        <v>-21484</v>
      </c>
      <c r="Q14" s="31">
        <v>-21498</v>
      </c>
      <c r="R14" s="1"/>
      <c r="S14" s="1"/>
      <c r="T14" s="23">
        <v>-21498</v>
      </c>
    </row>
    <row r="15" spans="1:22" ht="23.1" customHeight="1" x14ac:dyDescent="0.35">
      <c r="A15" s="26">
        <v>4525</v>
      </c>
      <c r="B15" s="29">
        <v>252</v>
      </c>
      <c r="C15" s="30">
        <v>-20638.5</v>
      </c>
      <c r="D15" s="30">
        <v>-20890.5</v>
      </c>
      <c r="E15" s="1"/>
      <c r="F15" s="1"/>
      <c r="G15" s="1"/>
      <c r="H15" s="1"/>
      <c r="I15" s="1"/>
      <c r="J15" s="1"/>
      <c r="K15" s="1"/>
      <c r="L15" s="1"/>
      <c r="M15" s="1"/>
      <c r="N15" s="26">
        <v>4525</v>
      </c>
      <c r="O15" s="29">
        <v>-328</v>
      </c>
      <c r="P15" s="30">
        <v>-23774</v>
      </c>
      <c r="Q15" s="31">
        <v>-23446</v>
      </c>
      <c r="R15" s="1"/>
      <c r="S15" s="1"/>
      <c r="T15" s="23">
        <v>-23446</v>
      </c>
    </row>
    <row r="16" spans="1:22" ht="23.1" customHeight="1" x14ac:dyDescent="0.35">
      <c r="A16" s="26">
        <v>4500</v>
      </c>
      <c r="B16" s="29">
        <v>227.5</v>
      </c>
      <c r="C16" s="30">
        <v>-36707.5</v>
      </c>
      <c r="D16" s="30">
        <v>-36935</v>
      </c>
      <c r="E16" s="1"/>
      <c r="F16" s="1"/>
      <c r="G16" s="1"/>
      <c r="H16" s="1"/>
      <c r="I16" s="1"/>
      <c r="J16" s="1"/>
      <c r="K16" s="1"/>
      <c r="L16" s="1"/>
      <c r="M16" s="1"/>
      <c r="N16" s="26">
        <v>4500</v>
      </c>
      <c r="O16" s="29">
        <v>821</v>
      </c>
      <c r="P16" s="30">
        <v>-57949</v>
      </c>
      <c r="Q16" s="31">
        <v>-58770</v>
      </c>
      <c r="R16" s="1"/>
      <c r="S16" s="1"/>
      <c r="T16" s="23">
        <v>-58770</v>
      </c>
    </row>
    <row r="17" spans="1:20" ht="23.1" customHeight="1" x14ac:dyDescent="0.35">
      <c r="A17" s="26">
        <v>4475</v>
      </c>
      <c r="B17" s="29">
        <v>251.5</v>
      </c>
      <c r="C17" s="30">
        <v>-10027.5</v>
      </c>
      <c r="D17" s="30">
        <v>-10279</v>
      </c>
      <c r="E17" s="1"/>
      <c r="F17" s="1"/>
      <c r="G17" s="1"/>
      <c r="H17" s="1"/>
      <c r="I17" s="1"/>
      <c r="J17" s="1"/>
      <c r="K17" s="1"/>
      <c r="L17" s="1"/>
      <c r="M17" s="1"/>
      <c r="N17" s="26">
        <v>4475</v>
      </c>
      <c r="O17" s="29">
        <v>251.5</v>
      </c>
      <c r="P17" s="30">
        <v>-16706</v>
      </c>
      <c r="Q17" s="31">
        <v>-16957.5</v>
      </c>
      <c r="R17" s="1"/>
      <c r="S17" s="1"/>
      <c r="T17" s="23">
        <v>-16957.5</v>
      </c>
    </row>
    <row r="18" spans="1:20" ht="23.1" customHeight="1" x14ac:dyDescent="0.35">
      <c r="A18" s="26">
        <v>4450</v>
      </c>
      <c r="B18" s="29">
        <v>3</v>
      </c>
      <c r="C18" s="30">
        <v>-30295.5</v>
      </c>
      <c r="D18" s="30">
        <v>-30298.5</v>
      </c>
      <c r="E18" s="1"/>
      <c r="F18" s="1"/>
      <c r="G18" s="1"/>
      <c r="H18" s="1"/>
      <c r="I18" s="1"/>
      <c r="J18" s="1"/>
      <c r="K18" s="1"/>
      <c r="L18" s="1"/>
      <c r="M18" s="1"/>
      <c r="N18" s="26">
        <v>4450</v>
      </c>
      <c r="O18" s="29">
        <v>0</v>
      </c>
      <c r="P18" s="30">
        <v>-37964.5</v>
      </c>
      <c r="Q18" s="31">
        <v>-37964.5</v>
      </c>
      <c r="R18" s="1"/>
      <c r="S18" s="1"/>
      <c r="T18" s="23">
        <v>-37964.5</v>
      </c>
    </row>
    <row r="19" spans="1:20" ht="23.1" customHeight="1" x14ac:dyDescent="0.35">
      <c r="A19" s="26">
        <v>4425</v>
      </c>
      <c r="B19" s="29">
        <v>-4.5</v>
      </c>
      <c r="C19" s="30">
        <v>-16453.5</v>
      </c>
      <c r="D19" s="30">
        <v>-16449</v>
      </c>
      <c r="E19" s="1"/>
      <c r="F19" s="1"/>
      <c r="G19" s="1"/>
      <c r="H19" s="1"/>
      <c r="I19" s="1"/>
      <c r="J19" s="1"/>
      <c r="K19" s="1"/>
      <c r="L19" s="1"/>
      <c r="M19" s="1"/>
      <c r="N19" s="26">
        <v>4425</v>
      </c>
      <c r="O19" s="29">
        <v>97</v>
      </c>
      <c r="P19" s="30">
        <v>-27076.5</v>
      </c>
      <c r="Q19" s="31">
        <v>-27173.5</v>
      </c>
      <c r="R19" s="1"/>
      <c r="S19" s="1"/>
      <c r="T19" s="23">
        <v>-27173.5</v>
      </c>
    </row>
    <row r="20" spans="1:20" ht="23.1" customHeight="1" x14ac:dyDescent="0.35">
      <c r="A20" s="26">
        <v>4400</v>
      </c>
      <c r="B20" s="29">
        <v>186</v>
      </c>
      <c r="C20" s="30">
        <v>-24606</v>
      </c>
      <c r="D20" s="30">
        <v>-24792</v>
      </c>
      <c r="E20" s="1"/>
      <c r="F20" s="1"/>
      <c r="G20" s="1"/>
      <c r="H20" s="1"/>
      <c r="I20" s="1"/>
      <c r="J20" s="1"/>
      <c r="K20" s="1"/>
      <c r="L20" s="1"/>
      <c r="M20" s="1"/>
      <c r="N20" s="26">
        <v>4400</v>
      </c>
      <c r="O20" s="29">
        <v>1915.5</v>
      </c>
      <c r="P20" s="30">
        <v>-54388.5</v>
      </c>
      <c r="Q20" s="31">
        <v>-56304</v>
      </c>
      <c r="R20" s="1"/>
      <c r="S20" s="1"/>
      <c r="T20" s="23">
        <v>-56304</v>
      </c>
    </row>
    <row r="21" spans="1:20" ht="23.1" customHeight="1" x14ac:dyDescent="0.35">
      <c r="A21" s="26">
        <v>4375</v>
      </c>
      <c r="B21" s="29">
        <v>-274</v>
      </c>
      <c r="C21" s="30">
        <v>-14757.5</v>
      </c>
      <c r="D21" s="30">
        <v>-14483.5</v>
      </c>
      <c r="E21" s="1"/>
      <c r="F21" s="1"/>
      <c r="G21" s="1"/>
      <c r="H21" s="1"/>
      <c r="I21" s="1"/>
      <c r="J21" s="1"/>
      <c r="K21" s="1"/>
      <c r="L21" s="1"/>
      <c r="M21" s="1"/>
      <c r="N21" s="26">
        <v>4375</v>
      </c>
      <c r="O21" s="29">
        <v>-5989</v>
      </c>
      <c r="P21" s="30">
        <v>-87587.5</v>
      </c>
      <c r="Q21" s="31">
        <v>-81598.5</v>
      </c>
      <c r="R21" s="1"/>
      <c r="S21" s="1"/>
      <c r="T21" s="23">
        <v>-81598.5</v>
      </c>
    </row>
    <row r="22" spans="1:20" ht="23.1" customHeight="1" x14ac:dyDescent="0.35">
      <c r="A22" s="26">
        <v>4350</v>
      </c>
      <c r="B22" s="29">
        <v>618.5</v>
      </c>
      <c r="C22" s="30">
        <v>-14381</v>
      </c>
      <c r="D22" s="30">
        <v>-14999.5</v>
      </c>
      <c r="E22" s="1"/>
      <c r="F22" s="1"/>
      <c r="G22" s="1"/>
      <c r="H22" s="1"/>
      <c r="I22" s="1"/>
      <c r="J22" s="1"/>
      <c r="K22" s="1"/>
      <c r="L22" s="1"/>
      <c r="M22" s="1"/>
      <c r="N22" s="26">
        <v>4350</v>
      </c>
      <c r="O22" s="29">
        <v>-3625.5</v>
      </c>
      <c r="P22" s="30">
        <v>-81612.5</v>
      </c>
      <c r="Q22" s="31">
        <v>-77987</v>
      </c>
      <c r="R22" s="1"/>
      <c r="S22" s="1"/>
      <c r="T22" s="23">
        <v>-77987</v>
      </c>
    </row>
    <row r="23" spans="1:20" ht="23.1" customHeight="1" x14ac:dyDescent="0.35">
      <c r="A23" s="26">
        <v>4325</v>
      </c>
      <c r="B23" s="29">
        <v>-68</v>
      </c>
      <c r="C23" s="30">
        <v>-7653</v>
      </c>
      <c r="D23" s="30">
        <v>-7585</v>
      </c>
      <c r="E23" s="1"/>
      <c r="F23" s="1"/>
      <c r="G23" s="1"/>
      <c r="H23" s="1"/>
      <c r="I23" s="1"/>
      <c r="J23" s="1"/>
      <c r="K23" s="1"/>
      <c r="L23" s="1"/>
      <c r="M23" s="1"/>
      <c r="N23" s="26">
        <v>4325</v>
      </c>
      <c r="O23" s="29">
        <v>-625.5</v>
      </c>
      <c r="P23" s="30">
        <v>-9821</v>
      </c>
      <c r="Q23" s="31">
        <v>-9195.5</v>
      </c>
      <c r="R23" s="1"/>
      <c r="S23" s="1"/>
      <c r="T23" s="23">
        <v>-9195.5</v>
      </c>
    </row>
    <row r="24" spans="1:20" ht="23.1" customHeight="1" x14ac:dyDescent="0.35">
      <c r="A24" s="26">
        <v>4300</v>
      </c>
      <c r="B24" s="29">
        <v>681</v>
      </c>
      <c r="C24" s="30">
        <v>-7933</v>
      </c>
      <c r="D24" s="30">
        <v>-8614</v>
      </c>
      <c r="E24" s="1"/>
      <c r="F24" s="1"/>
      <c r="G24" s="1"/>
      <c r="H24" s="1"/>
      <c r="I24" s="1"/>
      <c r="J24" s="1"/>
      <c r="K24" s="1"/>
      <c r="L24" s="1"/>
      <c r="M24" s="1"/>
      <c r="N24" s="26">
        <v>4300</v>
      </c>
      <c r="O24" s="29">
        <v>-2744.5</v>
      </c>
      <c r="P24" s="30">
        <v>-42801</v>
      </c>
      <c r="Q24" s="31">
        <v>-40056.5</v>
      </c>
      <c r="R24" s="1"/>
      <c r="S24" s="1"/>
      <c r="T24" s="23">
        <v>-40056.5</v>
      </c>
    </row>
    <row r="25" spans="1:20" ht="23.1" customHeight="1" x14ac:dyDescent="0.35">
      <c r="A25" s="26">
        <v>4275</v>
      </c>
      <c r="B25" s="29">
        <v>-1257.5</v>
      </c>
      <c r="C25" s="30">
        <v>-6776.5</v>
      </c>
      <c r="D25" s="30">
        <v>-5519</v>
      </c>
      <c r="E25" s="1"/>
      <c r="F25" s="1"/>
      <c r="G25" s="1"/>
      <c r="H25" s="1"/>
      <c r="I25" s="1"/>
      <c r="J25" s="1"/>
      <c r="K25" s="1"/>
      <c r="L25" s="1"/>
      <c r="M25" s="1"/>
      <c r="N25" s="26">
        <v>4275</v>
      </c>
      <c r="O25" s="29">
        <v>-1484</v>
      </c>
      <c r="P25" s="30">
        <v>-11704</v>
      </c>
      <c r="Q25" s="31">
        <v>-10220</v>
      </c>
      <c r="R25" s="1"/>
      <c r="S25" s="1"/>
      <c r="T25" s="23">
        <v>-10220</v>
      </c>
    </row>
    <row r="26" spans="1:20" ht="23.1" customHeight="1" x14ac:dyDescent="0.35">
      <c r="A26" s="26">
        <v>4250</v>
      </c>
      <c r="B26" s="29">
        <v>1925.5</v>
      </c>
      <c r="C26" s="30">
        <v>489</v>
      </c>
      <c r="D26" s="30">
        <v>-1436.5</v>
      </c>
      <c r="E26" s="1"/>
      <c r="F26" s="1"/>
      <c r="G26" s="1"/>
      <c r="H26" s="1"/>
      <c r="I26" s="1"/>
      <c r="J26" s="1"/>
      <c r="K26" s="1"/>
      <c r="L26" s="1"/>
      <c r="M26" s="1"/>
      <c r="N26" s="26">
        <v>4250</v>
      </c>
      <c r="O26" s="29">
        <v>4483</v>
      </c>
      <c r="P26" s="30">
        <v>7447.5</v>
      </c>
      <c r="Q26" s="31">
        <v>2964.5</v>
      </c>
      <c r="R26" s="1"/>
      <c r="S26" s="1"/>
      <c r="T26" s="23">
        <v>2964.5</v>
      </c>
    </row>
    <row r="27" spans="1:20" ht="23.1" customHeight="1" x14ac:dyDescent="0.35">
      <c r="A27" s="26">
        <v>4225</v>
      </c>
      <c r="B27" s="29">
        <v>-232</v>
      </c>
      <c r="C27" s="30">
        <v>-1565</v>
      </c>
      <c r="D27" s="30">
        <v>-1333</v>
      </c>
      <c r="E27" s="1"/>
      <c r="F27" s="1"/>
      <c r="G27" s="1"/>
      <c r="H27" s="1"/>
      <c r="I27" s="1"/>
      <c r="J27" s="1"/>
      <c r="K27" s="1"/>
      <c r="L27" s="1"/>
      <c r="M27" s="1"/>
      <c r="N27" s="26">
        <v>4225</v>
      </c>
      <c r="O27" s="29">
        <v>-265.5</v>
      </c>
      <c r="P27" s="30">
        <v>1470.5</v>
      </c>
      <c r="Q27" s="31">
        <v>1736</v>
      </c>
      <c r="R27" s="1"/>
      <c r="S27" s="1"/>
      <c r="T27" s="23">
        <v>1736</v>
      </c>
    </row>
    <row r="28" spans="1:20" ht="23.1" customHeight="1" x14ac:dyDescent="0.35">
      <c r="A28" s="26">
        <v>4200</v>
      </c>
      <c r="B28" s="29">
        <v>-2739</v>
      </c>
      <c r="C28" s="30">
        <v>12576</v>
      </c>
      <c r="D28" s="30">
        <v>15315</v>
      </c>
      <c r="E28" s="1"/>
      <c r="F28" s="1"/>
      <c r="G28" s="1"/>
      <c r="H28" s="1"/>
      <c r="I28" s="1"/>
      <c r="J28" s="1"/>
      <c r="K28" s="1"/>
      <c r="L28" s="1"/>
      <c r="M28" s="1"/>
      <c r="N28" s="26">
        <v>4200</v>
      </c>
      <c r="O28" s="29">
        <v>-2845</v>
      </c>
      <c r="P28" s="30">
        <v>12341</v>
      </c>
      <c r="Q28" s="31">
        <v>15186</v>
      </c>
      <c r="R28" s="1"/>
      <c r="S28" s="1"/>
      <c r="T28" s="23">
        <v>15186</v>
      </c>
    </row>
    <row r="29" spans="1:20" ht="23.1" customHeight="1" x14ac:dyDescent="0.35">
      <c r="A29" s="26">
        <v>4175</v>
      </c>
      <c r="B29" s="29">
        <v>-2703.5</v>
      </c>
      <c r="C29" s="30">
        <v>8829.5</v>
      </c>
      <c r="D29" s="30">
        <v>11533</v>
      </c>
      <c r="E29" s="1"/>
      <c r="F29" s="1"/>
      <c r="G29" s="1"/>
      <c r="H29" s="1"/>
      <c r="I29" s="1"/>
      <c r="J29" s="1"/>
      <c r="K29" s="1"/>
      <c r="L29" s="1"/>
      <c r="M29" s="1"/>
      <c r="N29" s="26">
        <v>4175</v>
      </c>
      <c r="O29" s="29">
        <v>-3592.5</v>
      </c>
      <c r="P29" s="30">
        <v>10233</v>
      </c>
      <c r="Q29" s="31">
        <v>13825.5</v>
      </c>
      <c r="R29" s="1"/>
      <c r="S29" s="1"/>
      <c r="T29" s="23">
        <v>13825.5</v>
      </c>
    </row>
    <row r="30" spans="1:20" ht="23.1" customHeight="1" x14ac:dyDescent="0.35">
      <c r="A30" s="26">
        <v>4150</v>
      </c>
      <c r="B30" s="29">
        <v>-5881.5</v>
      </c>
      <c r="C30" s="30">
        <v>17888</v>
      </c>
      <c r="D30" s="30">
        <v>23769.5</v>
      </c>
      <c r="E30" s="1"/>
      <c r="F30" s="1"/>
      <c r="G30" s="1"/>
      <c r="H30" s="1"/>
      <c r="I30" s="1"/>
      <c r="J30" s="1"/>
      <c r="K30" s="1"/>
      <c r="L30" s="1"/>
      <c r="M30" s="1"/>
      <c r="N30" s="26">
        <v>4150</v>
      </c>
      <c r="O30" s="29">
        <v>-8624</v>
      </c>
      <c r="P30" s="30">
        <v>28664</v>
      </c>
      <c r="Q30" s="31">
        <v>37288</v>
      </c>
      <c r="R30" s="1"/>
      <c r="S30" s="1"/>
      <c r="T30" s="23">
        <v>37288</v>
      </c>
    </row>
    <row r="31" spans="1:20" ht="23.1" customHeight="1" x14ac:dyDescent="0.35">
      <c r="A31" s="26">
        <v>4125</v>
      </c>
      <c r="B31" s="29">
        <v>-2470</v>
      </c>
      <c r="C31" s="30">
        <v>11842.5</v>
      </c>
      <c r="D31" s="30">
        <v>14312.5</v>
      </c>
      <c r="E31" s="1"/>
      <c r="F31" s="1"/>
      <c r="G31" s="1"/>
      <c r="H31" s="1"/>
      <c r="I31" s="1"/>
      <c r="J31" s="1"/>
      <c r="K31" s="1"/>
      <c r="L31" s="1"/>
      <c r="M31" s="1"/>
      <c r="N31" s="26">
        <v>4125</v>
      </c>
      <c r="O31" s="29">
        <v>-2970.5</v>
      </c>
      <c r="P31" s="30">
        <v>14583.5</v>
      </c>
      <c r="Q31" s="31">
        <v>17554</v>
      </c>
      <c r="R31" s="1"/>
      <c r="S31" s="1"/>
      <c r="T31" s="23">
        <v>17554</v>
      </c>
    </row>
    <row r="32" spans="1:20" ht="23.1" customHeight="1" x14ac:dyDescent="0.35">
      <c r="A32" s="26">
        <v>4100</v>
      </c>
      <c r="B32" s="29">
        <v>-2588.5</v>
      </c>
      <c r="C32" s="30">
        <v>50011</v>
      </c>
      <c r="D32" s="30">
        <v>52599.5</v>
      </c>
      <c r="E32" s="1"/>
      <c r="F32" s="1"/>
      <c r="G32" s="1"/>
      <c r="H32" s="1"/>
      <c r="I32" s="1"/>
      <c r="J32" s="1"/>
      <c r="K32" s="1"/>
      <c r="L32" s="1"/>
      <c r="M32" s="1"/>
      <c r="N32" s="26">
        <v>4100</v>
      </c>
      <c r="O32" s="29">
        <v>13</v>
      </c>
      <c r="P32" s="30">
        <v>110496</v>
      </c>
      <c r="Q32" s="31">
        <v>110483</v>
      </c>
      <c r="R32" s="1"/>
      <c r="S32" s="1"/>
      <c r="T32" s="23">
        <v>110483</v>
      </c>
    </row>
    <row r="33" spans="1:20" ht="23.1" customHeight="1" x14ac:dyDescent="0.35">
      <c r="A33" s="26">
        <v>4075</v>
      </c>
      <c r="B33" s="29">
        <v>39.5</v>
      </c>
      <c r="C33" s="30">
        <v>12233.5</v>
      </c>
      <c r="D33" s="30">
        <v>12194</v>
      </c>
      <c r="E33" s="1"/>
      <c r="F33" s="1"/>
      <c r="G33" s="1"/>
      <c r="H33" s="1"/>
      <c r="I33" s="1"/>
      <c r="J33" s="1"/>
      <c r="K33" s="1"/>
      <c r="L33" s="1"/>
      <c r="M33" s="1"/>
      <c r="N33" s="26">
        <v>4075</v>
      </c>
      <c r="O33" s="29">
        <v>63.5</v>
      </c>
      <c r="P33" s="30">
        <v>25090.5</v>
      </c>
      <c r="Q33" s="31">
        <v>25027</v>
      </c>
      <c r="R33" s="1"/>
      <c r="S33" s="1"/>
      <c r="T33" s="23">
        <v>25027</v>
      </c>
    </row>
    <row r="34" spans="1:20" ht="23.1" customHeight="1" x14ac:dyDescent="0.35">
      <c r="A34" s="26">
        <v>4050</v>
      </c>
      <c r="B34" s="29">
        <v>-2250</v>
      </c>
      <c r="C34" s="30">
        <v>26233</v>
      </c>
      <c r="D34" s="30">
        <v>28483</v>
      </c>
      <c r="E34" s="1"/>
      <c r="F34" s="1"/>
      <c r="G34" s="1"/>
      <c r="H34" s="1"/>
      <c r="I34" s="1"/>
      <c r="J34" s="1"/>
      <c r="K34" s="1"/>
      <c r="L34" s="1"/>
      <c r="M34" s="1"/>
      <c r="N34" s="26">
        <v>4050</v>
      </c>
      <c r="O34" s="29">
        <v>-2173.5</v>
      </c>
      <c r="P34" s="30">
        <v>47424</v>
      </c>
      <c r="Q34" s="31">
        <v>49597.5</v>
      </c>
      <c r="R34" s="1"/>
      <c r="S34" s="1"/>
      <c r="T34" s="23">
        <v>49597.5</v>
      </c>
    </row>
    <row r="35" spans="1:20" ht="23.1" customHeight="1" x14ac:dyDescent="0.35">
      <c r="A35" s="26">
        <v>4025</v>
      </c>
      <c r="B35" s="29">
        <v>-1634</v>
      </c>
      <c r="C35" s="30">
        <v>7528</v>
      </c>
      <c r="D35" s="30">
        <v>9162</v>
      </c>
      <c r="E35" s="1"/>
      <c r="F35" s="1"/>
      <c r="G35" s="1"/>
      <c r="H35" s="1"/>
      <c r="I35" s="1"/>
      <c r="J35" s="1"/>
      <c r="K35" s="1"/>
      <c r="L35" s="1"/>
      <c r="M35" s="1"/>
      <c r="N35" s="26">
        <v>4025</v>
      </c>
      <c r="O35" s="29">
        <v>-2352.5</v>
      </c>
      <c r="P35" s="30">
        <v>12300.5</v>
      </c>
      <c r="Q35" s="31">
        <v>14653</v>
      </c>
      <c r="R35" s="1"/>
      <c r="S35" s="1"/>
      <c r="T35" s="23">
        <v>14653</v>
      </c>
    </row>
    <row r="36" spans="1:20" ht="23.1" customHeight="1" x14ac:dyDescent="0.35">
      <c r="A36" s="26">
        <v>4000</v>
      </c>
      <c r="B36" s="29">
        <v>344</v>
      </c>
      <c r="C36" s="30">
        <v>49464.5</v>
      </c>
      <c r="D36" s="30">
        <v>49120.5</v>
      </c>
      <c r="E36" s="1"/>
      <c r="F36" s="1"/>
      <c r="G36" s="1"/>
      <c r="H36" s="1"/>
      <c r="I36" s="1"/>
      <c r="J36" s="1"/>
      <c r="K36" s="1"/>
      <c r="L36" s="1"/>
      <c r="M36" s="1"/>
      <c r="N36" s="26">
        <v>4000</v>
      </c>
      <c r="O36" s="29">
        <v>843.5</v>
      </c>
      <c r="P36" s="30">
        <v>117928</v>
      </c>
      <c r="Q36" s="31">
        <v>117084.5</v>
      </c>
      <c r="R36" s="1"/>
      <c r="S36" s="1"/>
      <c r="T36" s="23">
        <v>117084.5</v>
      </c>
    </row>
    <row r="37" spans="1:20" ht="23.1" customHeight="1" x14ac:dyDescent="0.35">
      <c r="A37" s="26">
        <v>3975</v>
      </c>
      <c r="B37" s="29">
        <v>368.5</v>
      </c>
      <c r="C37" s="30">
        <v>13570</v>
      </c>
      <c r="D37" s="30">
        <v>13201.5</v>
      </c>
      <c r="E37" s="1"/>
      <c r="F37" s="1"/>
      <c r="G37" s="1"/>
      <c r="H37" s="1"/>
      <c r="I37" s="1"/>
      <c r="J37" s="1"/>
      <c r="K37" s="1"/>
      <c r="L37" s="1"/>
      <c r="M37" s="1"/>
      <c r="N37" s="26">
        <v>3975</v>
      </c>
      <c r="O37" s="29">
        <v>1753</v>
      </c>
      <c r="P37" s="30">
        <v>24061.5</v>
      </c>
      <c r="Q37" s="31">
        <v>22308.5</v>
      </c>
      <c r="R37" s="1"/>
      <c r="S37" s="1"/>
      <c r="T37" s="23">
        <v>22308.5</v>
      </c>
    </row>
    <row r="38" spans="1:20" ht="23.1" customHeight="1" thickBot="1" x14ac:dyDescent="0.4">
      <c r="A38" s="32">
        <v>3950</v>
      </c>
      <c r="B38" s="29">
        <v>-1512.5</v>
      </c>
      <c r="C38" s="30">
        <v>24664</v>
      </c>
      <c r="D38" s="30">
        <v>26176.5</v>
      </c>
      <c r="E38" s="1"/>
      <c r="F38" s="1"/>
      <c r="G38" s="1"/>
      <c r="H38" s="1"/>
      <c r="I38" s="1"/>
      <c r="J38" s="1"/>
      <c r="K38" s="1"/>
      <c r="L38" s="1"/>
      <c r="M38" s="1"/>
      <c r="N38" s="26">
        <v>3950</v>
      </c>
      <c r="O38" s="29">
        <v>4518</v>
      </c>
      <c r="P38" s="30">
        <v>51165</v>
      </c>
      <c r="Q38" s="31">
        <v>46647</v>
      </c>
      <c r="R38" s="1"/>
      <c r="S38" s="1"/>
      <c r="T38" s="23">
        <v>46647</v>
      </c>
    </row>
    <row r="39" spans="1:20" ht="18" x14ac:dyDescent="0.35">
      <c r="A39" s="71"/>
      <c r="B39" s="30"/>
      <c r="C39" s="30"/>
      <c r="D39" s="30"/>
      <c r="E39" s="1"/>
      <c r="F39" s="1"/>
      <c r="G39" s="1"/>
      <c r="H39" s="1"/>
      <c r="I39" s="1"/>
      <c r="J39" s="1"/>
      <c r="K39" s="1"/>
      <c r="L39" s="1"/>
      <c r="M39" s="1"/>
      <c r="N39" s="26"/>
      <c r="O39" s="29"/>
      <c r="P39" s="30"/>
      <c r="Q39" s="31"/>
      <c r="R39" s="1"/>
      <c r="S39" s="1"/>
      <c r="T39" s="23">
        <v>17666.5</v>
      </c>
    </row>
    <row r="40" spans="1:20" ht="18" x14ac:dyDescent="0.35">
      <c r="A40" s="69"/>
      <c r="B40" s="30"/>
      <c r="C40" s="30"/>
      <c r="D40" s="30"/>
      <c r="E40" s="1"/>
      <c r="F40" s="1"/>
      <c r="G40" s="1"/>
      <c r="H40" s="1"/>
      <c r="I40" s="1"/>
      <c r="J40" s="1"/>
      <c r="K40" s="1"/>
      <c r="L40" s="1"/>
      <c r="M40" s="1"/>
      <c r="N40" s="26"/>
      <c r="O40" s="29"/>
      <c r="P40" s="30"/>
      <c r="Q40" s="31"/>
      <c r="R40" s="1"/>
      <c r="S40" s="1"/>
      <c r="T40" s="23">
        <v>38576</v>
      </c>
    </row>
    <row r="41" spans="1:20" ht="18.600000000000001" thickBot="1" x14ac:dyDescent="0.4">
      <c r="A41" s="69"/>
      <c r="B41" s="30"/>
      <c r="C41" s="30"/>
      <c r="D41" s="30"/>
      <c r="E41" s="1"/>
      <c r="F41" s="1"/>
      <c r="G41" s="1"/>
      <c r="H41" s="1"/>
      <c r="I41" s="1"/>
      <c r="J41" s="1"/>
      <c r="K41" s="1"/>
      <c r="L41" s="1"/>
      <c r="M41" s="1"/>
      <c r="N41" s="26"/>
      <c r="O41" s="29"/>
      <c r="P41" s="30"/>
      <c r="Q41" s="31"/>
      <c r="R41" s="1"/>
      <c r="S41" s="1"/>
      <c r="T41" s="23"/>
    </row>
    <row r="42" spans="1:20" ht="49.5" customHeight="1" thickBot="1" x14ac:dyDescent="0.4">
      <c r="A42" s="69"/>
      <c r="B42" s="131" t="s">
        <v>30</v>
      </c>
      <c r="C42" s="132"/>
      <c r="D42" s="133"/>
      <c r="E42" s="1"/>
      <c r="F42" s="1"/>
      <c r="G42" s="1"/>
      <c r="H42" s="1"/>
      <c r="I42" s="1"/>
      <c r="J42" s="1"/>
      <c r="K42" s="1"/>
      <c r="L42" s="1"/>
      <c r="M42" s="1"/>
      <c r="N42" s="26"/>
      <c r="O42" s="29"/>
      <c r="P42" s="30"/>
      <c r="Q42" s="31"/>
      <c r="R42" s="1"/>
      <c r="S42" s="1"/>
      <c r="T42" s="23"/>
    </row>
    <row r="43" spans="1:20" ht="49.5" customHeight="1" x14ac:dyDescent="0.35">
      <c r="A43" s="69"/>
      <c r="B43" s="72"/>
      <c r="C43" s="72"/>
      <c r="D43" s="72"/>
      <c r="E43" s="1"/>
      <c r="F43" s="1"/>
      <c r="G43" s="1"/>
      <c r="H43" s="1"/>
      <c r="I43" s="1"/>
      <c r="J43" s="1"/>
      <c r="K43" s="1"/>
      <c r="L43" s="1"/>
      <c r="M43" s="1"/>
      <c r="N43" s="26"/>
      <c r="O43" s="29"/>
      <c r="P43" s="30"/>
      <c r="Q43" s="31"/>
      <c r="R43" s="1"/>
      <c r="S43" s="1"/>
      <c r="T43" s="23"/>
    </row>
    <row r="44" spans="1:20" ht="18" x14ac:dyDescent="0.35">
      <c r="A44" s="69"/>
      <c r="B44" s="30"/>
      <c r="C44" s="30"/>
      <c r="D44" s="30"/>
      <c r="E44" s="1"/>
      <c r="F44" s="1"/>
      <c r="G44" s="1"/>
      <c r="H44" s="1"/>
      <c r="I44" s="1"/>
      <c r="J44" s="1"/>
      <c r="K44" s="1"/>
      <c r="L44" s="1"/>
      <c r="M44" s="1"/>
      <c r="N44" s="26"/>
      <c r="O44" s="29"/>
      <c r="P44" s="30"/>
      <c r="Q44" s="31"/>
      <c r="R44" s="1"/>
      <c r="S44" s="1"/>
      <c r="T44" s="23"/>
    </row>
    <row r="45" spans="1:20" ht="18" x14ac:dyDescent="0.35">
      <c r="A45" s="33" t="s">
        <v>28</v>
      </c>
      <c r="B45" s="33"/>
      <c r="C45" s="33"/>
      <c r="D45" s="33"/>
      <c r="E45" s="1"/>
      <c r="F45" s="1"/>
      <c r="G45" s="1"/>
      <c r="H45" s="1"/>
      <c r="I45" s="1"/>
      <c r="J45" s="1"/>
      <c r="K45" s="1"/>
      <c r="L45" s="1"/>
      <c r="M45" s="1"/>
      <c r="N45" s="26"/>
      <c r="O45" s="29"/>
      <c r="P45" s="30"/>
      <c r="Q45" s="31"/>
      <c r="R45" s="1"/>
      <c r="S45" s="1"/>
      <c r="T45" s="23"/>
    </row>
    <row r="46" spans="1:20" ht="18" x14ac:dyDescent="0.35">
      <c r="A46" s="34" t="s">
        <v>29</v>
      </c>
      <c r="B46" s="34"/>
      <c r="C46" s="34"/>
      <c r="D46" s="34"/>
      <c r="E46" s="1"/>
      <c r="F46" s="1"/>
      <c r="G46" s="70"/>
      <c r="H46" s="1"/>
      <c r="I46" s="1"/>
      <c r="J46" s="1"/>
      <c r="K46" s="1"/>
      <c r="L46" s="1"/>
      <c r="M46" s="1"/>
      <c r="N46" s="26"/>
      <c r="O46" s="29"/>
      <c r="P46" s="30"/>
      <c r="Q46" s="31"/>
      <c r="R46" s="1"/>
      <c r="S46" s="1"/>
      <c r="T46" s="23"/>
    </row>
    <row r="47" spans="1:20" ht="18" x14ac:dyDescent="0.35">
      <c r="A47" s="69"/>
      <c r="B47" s="30"/>
      <c r="C47" s="30"/>
      <c r="D47" s="30"/>
      <c r="E47" s="1"/>
      <c r="F47" s="1"/>
      <c r="G47" s="1"/>
      <c r="H47" s="1"/>
      <c r="I47" s="1"/>
      <c r="J47" s="1"/>
      <c r="K47" s="1"/>
      <c r="L47" s="1"/>
      <c r="M47" s="1"/>
      <c r="N47" s="26"/>
      <c r="O47" s="29"/>
      <c r="P47" s="30"/>
      <c r="Q47" s="31"/>
      <c r="R47" s="1"/>
      <c r="S47" s="1"/>
      <c r="T47" s="23"/>
    </row>
    <row r="48" spans="1:20" ht="18" x14ac:dyDescent="0.35">
      <c r="A48" s="69"/>
      <c r="B48" s="30"/>
      <c r="C48" s="30"/>
      <c r="D48" s="30"/>
      <c r="E48" s="1"/>
      <c r="F48" s="1"/>
      <c r="G48" s="1"/>
      <c r="H48" s="1"/>
      <c r="I48" s="1"/>
      <c r="J48" s="1"/>
      <c r="K48" s="1"/>
      <c r="L48" s="1"/>
      <c r="M48" s="1"/>
      <c r="N48" s="26"/>
      <c r="O48" s="29"/>
      <c r="P48" s="30"/>
      <c r="Q48" s="31"/>
      <c r="R48" s="1"/>
      <c r="S48" s="1"/>
      <c r="T48" s="23"/>
    </row>
    <row r="49" spans="1:19" x14ac:dyDescent="0.3">
      <c r="A49" s="24"/>
      <c r="B49" s="24"/>
      <c r="C49" s="24"/>
      <c r="D49" s="24"/>
      <c r="E49" s="24"/>
      <c r="F49" s="24"/>
      <c r="G49" s="24"/>
      <c r="H49" s="24"/>
      <c r="I49" s="1"/>
      <c r="J49" s="1"/>
      <c r="K49" s="1"/>
      <c r="L49" s="1"/>
      <c r="M49" s="1"/>
      <c r="N49" s="1"/>
      <c r="O49" s="1"/>
      <c r="P49" s="1"/>
      <c r="Q49" s="1"/>
      <c r="R49" s="1"/>
      <c r="S49" s="1"/>
    </row>
    <row r="50" spans="1:19" ht="255" customHeight="1" x14ac:dyDescent="0.3">
      <c r="A50" s="136" t="str">
        <f>Disclaimer!A2</f>
        <v>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v>
      </c>
      <c r="B50" s="136"/>
      <c r="C50" s="136"/>
      <c r="D50" s="136"/>
      <c r="E50" s="136"/>
      <c r="F50" s="136"/>
      <c r="G50" s="136"/>
      <c r="H50" s="136"/>
      <c r="I50" s="136"/>
      <c r="J50" s="136"/>
      <c r="K50" s="1"/>
      <c r="L50" s="1"/>
      <c r="M50" s="1"/>
      <c r="N50" s="135"/>
      <c r="O50" s="135"/>
      <c r="P50" s="135"/>
      <c r="Q50" s="135"/>
      <c r="R50" s="1"/>
      <c r="S50" s="1"/>
    </row>
    <row r="51" spans="1:19" x14ac:dyDescent="0.3">
      <c r="A51" s="129"/>
      <c r="B51" s="130"/>
      <c r="C51" s="130"/>
      <c r="D51" s="130"/>
      <c r="E51" s="130"/>
      <c r="F51" s="130"/>
      <c r="G51" s="130"/>
      <c r="H51" s="130"/>
      <c r="I51" s="130"/>
      <c r="J51" s="1"/>
      <c r="K51" s="1"/>
      <c r="L51" s="1"/>
      <c r="M51" s="1"/>
      <c r="N51" s="1"/>
      <c r="O51" s="1"/>
      <c r="P51" s="1"/>
      <c r="Q51" s="1"/>
      <c r="R51" s="1"/>
      <c r="S51" s="1"/>
    </row>
    <row r="52" spans="1:19" x14ac:dyDescent="0.3">
      <c r="A52" s="129"/>
      <c r="B52" s="130"/>
      <c r="C52" s="130"/>
      <c r="D52" s="130"/>
      <c r="E52" s="130"/>
      <c r="F52" s="130"/>
      <c r="G52" s="130"/>
      <c r="H52" s="130"/>
      <c r="I52" s="130"/>
      <c r="J52" s="1"/>
      <c r="K52" s="1"/>
      <c r="L52" s="1"/>
      <c r="M52" s="1"/>
      <c r="N52" s="1"/>
      <c r="O52" s="1"/>
      <c r="P52" s="1"/>
      <c r="Q52" s="1"/>
      <c r="R52" s="1"/>
      <c r="S52" s="1"/>
    </row>
    <row r="53" spans="1:19" x14ac:dyDescent="0.3">
      <c r="A53" s="129"/>
      <c r="B53" s="130"/>
      <c r="C53" s="130"/>
      <c r="D53" s="130"/>
      <c r="E53" s="130"/>
      <c r="F53" s="130"/>
      <c r="G53" s="130"/>
      <c r="H53" s="130"/>
      <c r="I53" s="130"/>
      <c r="J53" s="1"/>
      <c r="K53" s="1"/>
      <c r="L53" s="1"/>
      <c r="M53" s="1"/>
      <c r="N53" s="1"/>
      <c r="O53" s="1"/>
      <c r="P53" s="1"/>
      <c r="Q53" s="1"/>
      <c r="R53" s="1"/>
      <c r="S53" s="1"/>
    </row>
    <row r="54" spans="1:19" x14ac:dyDescent="0.3">
      <c r="A54" s="129"/>
      <c r="B54" s="130"/>
      <c r="C54" s="130"/>
      <c r="D54" s="130"/>
      <c r="E54" s="130"/>
      <c r="F54" s="130"/>
      <c r="G54" s="130"/>
      <c r="H54" s="130"/>
      <c r="I54" s="130"/>
      <c r="J54" s="1"/>
      <c r="K54" s="1"/>
      <c r="L54" s="1"/>
      <c r="M54" s="1"/>
      <c r="N54" s="1"/>
      <c r="O54" s="1"/>
      <c r="P54" s="1"/>
      <c r="Q54" s="1"/>
      <c r="R54" s="1"/>
      <c r="S54" s="1"/>
    </row>
    <row r="55" spans="1:19" x14ac:dyDescent="0.3">
      <c r="A55" s="24"/>
      <c r="B55" s="24"/>
      <c r="C55" s="24"/>
      <c r="D55" s="24"/>
      <c r="E55" s="24"/>
      <c r="F55" s="24"/>
      <c r="G55" s="24"/>
      <c r="H55" s="24"/>
      <c r="I55" s="1"/>
      <c r="J55" s="1"/>
      <c r="K55" s="1"/>
      <c r="L55" s="1"/>
      <c r="M55" s="1"/>
      <c r="N55" s="1"/>
      <c r="O55" s="1"/>
      <c r="P55" s="1"/>
      <c r="Q55" s="1"/>
      <c r="R55" s="1"/>
      <c r="S55" s="1"/>
    </row>
    <row r="56" spans="1:19" x14ac:dyDescent="0.3">
      <c r="A56" s="24"/>
      <c r="B56" s="24"/>
      <c r="C56" s="24"/>
      <c r="D56" s="24"/>
      <c r="E56" s="24"/>
      <c r="F56" s="24"/>
      <c r="G56" s="24"/>
      <c r="H56" s="24"/>
      <c r="I56" s="1"/>
      <c r="J56" s="1"/>
      <c r="K56" s="1"/>
      <c r="L56" s="1"/>
      <c r="M56" s="1"/>
      <c r="N56" s="1"/>
      <c r="O56" s="1"/>
      <c r="P56" s="1"/>
      <c r="Q56" s="1"/>
      <c r="R56" s="1"/>
      <c r="S56" s="1"/>
    </row>
    <row r="57" spans="1:19" x14ac:dyDescent="0.3">
      <c r="A57" s="24"/>
      <c r="B57" s="24"/>
      <c r="C57" s="24"/>
      <c r="D57" s="24"/>
      <c r="E57" s="24"/>
      <c r="F57" s="24"/>
      <c r="G57" s="24"/>
      <c r="H57" s="24"/>
      <c r="I57" s="1"/>
      <c r="J57" s="1"/>
      <c r="K57" s="1"/>
      <c r="L57" s="1"/>
      <c r="M57" s="1"/>
      <c r="N57" s="1"/>
      <c r="O57" s="1"/>
      <c r="P57" s="1"/>
      <c r="Q57" s="1"/>
      <c r="R57" s="1"/>
      <c r="S57" s="1"/>
    </row>
    <row r="58" spans="1:19" x14ac:dyDescent="0.3">
      <c r="A58" s="20"/>
      <c r="B58" s="1"/>
      <c r="C58" s="1"/>
      <c r="D58" s="1"/>
      <c r="E58" s="1"/>
      <c r="F58" s="1"/>
      <c r="G58" s="1"/>
      <c r="H58" s="1"/>
      <c r="I58" s="1"/>
      <c r="J58" s="1"/>
      <c r="K58" s="1"/>
      <c r="L58" s="1"/>
      <c r="M58" s="1"/>
      <c r="N58" s="1"/>
      <c r="O58" s="1"/>
      <c r="P58" s="1"/>
      <c r="Q58" s="1"/>
      <c r="R58" s="1"/>
      <c r="S58" s="1"/>
    </row>
    <row r="59" spans="1:19" x14ac:dyDescent="0.3">
      <c r="A59" s="20"/>
      <c r="B59" s="1"/>
      <c r="C59" s="1"/>
      <c r="D59" s="1"/>
      <c r="E59" s="1"/>
      <c r="F59" s="1"/>
      <c r="G59" s="1"/>
      <c r="H59" s="1"/>
      <c r="I59" s="1"/>
      <c r="J59" s="1"/>
      <c r="K59" s="1"/>
      <c r="L59" s="1"/>
      <c r="M59" s="1"/>
      <c r="N59" s="1"/>
      <c r="O59" s="1"/>
      <c r="P59" s="1"/>
      <c r="Q59" s="1"/>
      <c r="R59" s="1"/>
      <c r="S59" s="1"/>
    </row>
    <row r="60" spans="1:19" x14ac:dyDescent="0.3">
      <c r="A60" s="20"/>
      <c r="B60" s="1"/>
      <c r="C60" s="1"/>
      <c r="D60" s="1"/>
      <c r="E60" s="1"/>
      <c r="F60" s="1"/>
      <c r="G60" s="1"/>
      <c r="H60" s="1"/>
      <c r="I60" s="1"/>
      <c r="J60" s="1"/>
      <c r="K60" s="1"/>
      <c r="L60" s="1"/>
      <c r="M60" s="1"/>
      <c r="N60" s="1"/>
      <c r="O60" s="1"/>
      <c r="P60" s="1"/>
      <c r="Q60" s="1"/>
      <c r="R60" s="1"/>
      <c r="S60" s="1"/>
    </row>
    <row r="61" spans="1:19" x14ac:dyDescent="0.3">
      <c r="A61" s="20"/>
      <c r="B61" s="1"/>
      <c r="C61" s="1"/>
      <c r="D61" s="1"/>
      <c r="E61" s="1"/>
      <c r="F61" s="1"/>
      <c r="G61" s="1"/>
      <c r="H61" s="1"/>
      <c r="I61" s="1"/>
      <c r="J61" s="1"/>
      <c r="K61" s="1"/>
      <c r="L61" s="1"/>
      <c r="M61" s="1"/>
      <c r="N61" s="1"/>
      <c r="O61" s="1"/>
      <c r="P61" s="1"/>
      <c r="Q61" s="1"/>
      <c r="R61" s="1"/>
      <c r="S61" s="1"/>
    </row>
    <row r="62" spans="1:19" x14ac:dyDescent="0.3">
      <c r="A62" s="20"/>
      <c r="B62" s="1"/>
      <c r="C62" s="1"/>
      <c r="D62" s="1"/>
      <c r="E62" s="1"/>
      <c r="F62" s="1"/>
      <c r="G62" s="1"/>
      <c r="H62" s="1"/>
      <c r="I62" s="1"/>
      <c r="J62" s="1"/>
      <c r="K62" s="1"/>
      <c r="L62" s="1"/>
      <c r="M62" s="1"/>
      <c r="N62" s="1"/>
      <c r="O62" s="1"/>
      <c r="P62" s="1"/>
      <c r="Q62" s="1"/>
      <c r="R62" s="1"/>
      <c r="S62" s="1"/>
    </row>
    <row r="63" spans="1:19" x14ac:dyDescent="0.3">
      <c r="A63" s="20"/>
      <c r="B63" s="1"/>
      <c r="C63" s="1"/>
      <c r="D63" s="1"/>
      <c r="E63" s="1"/>
      <c r="F63" s="1"/>
      <c r="G63" s="1"/>
      <c r="H63" s="1"/>
      <c r="I63" s="1"/>
      <c r="J63" s="1"/>
      <c r="K63" s="1"/>
      <c r="L63" s="1"/>
      <c r="M63" s="1"/>
      <c r="N63" s="1"/>
      <c r="O63" s="1"/>
      <c r="P63" s="1"/>
      <c r="Q63" s="1"/>
      <c r="R63" s="1"/>
      <c r="S63" s="1"/>
    </row>
    <row r="64" spans="1:19" x14ac:dyDescent="0.3">
      <c r="A64" s="20"/>
      <c r="B64" s="1"/>
      <c r="C64" s="1"/>
      <c r="D64" s="1"/>
      <c r="E64" s="1"/>
      <c r="F64" s="1"/>
      <c r="G64" s="1"/>
      <c r="H64" s="1"/>
      <c r="I64" s="1"/>
      <c r="J64" s="1"/>
      <c r="K64" s="1"/>
      <c r="L64" s="1"/>
      <c r="M64" s="1"/>
      <c r="N64" s="1"/>
      <c r="O64" s="1"/>
      <c r="P64" s="1"/>
      <c r="Q64" s="1"/>
      <c r="R64" s="1"/>
      <c r="S64" s="1"/>
    </row>
    <row r="65" spans="1:19" x14ac:dyDescent="0.3">
      <c r="A65" s="20"/>
      <c r="B65" s="1"/>
      <c r="C65" s="1"/>
      <c r="D65" s="1"/>
      <c r="E65" s="1"/>
      <c r="F65" s="1"/>
      <c r="G65" s="1"/>
      <c r="H65" s="1"/>
      <c r="I65" s="1"/>
      <c r="J65" s="1"/>
      <c r="K65" s="1"/>
      <c r="L65" s="1"/>
      <c r="M65" s="1"/>
      <c r="N65" s="1"/>
      <c r="O65" s="1"/>
      <c r="P65" s="1"/>
      <c r="Q65" s="1"/>
      <c r="R65" s="1"/>
      <c r="S65" s="1"/>
    </row>
    <row r="66" spans="1:19" x14ac:dyDescent="0.3">
      <c r="A66" s="20"/>
      <c r="B66" s="1"/>
      <c r="C66" s="1"/>
      <c r="D66" s="1"/>
      <c r="E66" s="1"/>
      <c r="F66" s="1"/>
      <c r="G66" s="1"/>
      <c r="H66" s="1"/>
      <c r="I66" s="1"/>
      <c r="J66" s="1"/>
      <c r="K66" s="1"/>
      <c r="L66" s="1"/>
      <c r="M66" s="1"/>
      <c r="N66" s="1"/>
      <c r="O66" s="1"/>
      <c r="P66" s="1"/>
      <c r="Q66" s="1"/>
      <c r="R66" s="1"/>
      <c r="S66" s="1"/>
    </row>
    <row r="67" spans="1:19" x14ac:dyDescent="0.3">
      <c r="A67" s="20"/>
      <c r="B67" s="1"/>
      <c r="C67" s="1"/>
      <c r="D67" s="1"/>
      <c r="E67" s="1"/>
      <c r="F67" s="1"/>
      <c r="G67" s="1"/>
      <c r="H67" s="1"/>
      <c r="I67" s="1"/>
      <c r="J67" s="1"/>
      <c r="K67" s="1"/>
      <c r="L67" s="1"/>
      <c r="M67" s="1"/>
      <c r="N67" s="1"/>
      <c r="O67" s="1"/>
      <c r="P67" s="1"/>
      <c r="Q67" s="1"/>
      <c r="R67" s="1"/>
      <c r="S67" s="1"/>
    </row>
    <row r="68" spans="1:19" x14ac:dyDescent="0.3">
      <c r="A68" s="20"/>
      <c r="B68" s="1"/>
      <c r="C68" s="1"/>
      <c r="D68" s="1"/>
      <c r="E68" s="1"/>
      <c r="F68" s="1"/>
      <c r="G68" s="1"/>
      <c r="H68" s="1"/>
      <c r="I68" s="1"/>
      <c r="J68" s="1"/>
      <c r="K68" s="1"/>
      <c r="L68" s="1"/>
      <c r="M68" s="1"/>
      <c r="N68" s="1"/>
      <c r="O68" s="1"/>
      <c r="P68" s="1"/>
      <c r="Q68" s="1"/>
      <c r="R68" s="1"/>
      <c r="S68" s="1"/>
    </row>
    <row r="69" spans="1:19" x14ac:dyDescent="0.3">
      <c r="A69" s="20"/>
      <c r="B69" s="1"/>
      <c r="C69" s="1"/>
      <c r="D69" s="1"/>
      <c r="E69" s="1"/>
      <c r="F69" s="1"/>
      <c r="G69" s="1"/>
      <c r="H69" s="1"/>
      <c r="I69" s="1"/>
      <c r="J69" s="1"/>
      <c r="K69" s="1"/>
      <c r="L69" s="1"/>
      <c r="M69" s="1"/>
      <c r="N69" s="1"/>
      <c r="O69" s="1"/>
      <c r="P69" s="1"/>
      <c r="Q69" s="1"/>
      <c r="R69" s="1"/>
      <c r="S69" s="1"/>
    </row>
    <row r="70" spans="1:19" x14ac:dyDescent="0.3">
      <c r="A70" s="20"/>
      <c r="B70" s="1"/>
      <c r="C70" s="1"/>
      <c r="D70" s="1"/>
      <c r="E70" s="1"/>
      <c r="F70" s="1"/>
      <c r="G70" s="1"/>
      <c r="H70" s="1"/>
      <c r="I70" s="1"/>
      <c r="J70" s="1"/>
      <c r="K70" s="1"/>
      <c r="L70" s="1"/>
      <c r="M70" s="1"/>
      <c r="N70" s="1"/>
      <c r="O70" s="1"/>
      <c r="P70" s="1"/>
      <c r="Q70" s="1"/>
      <c r="R70" s="1"/>
      <c r="S70" s="1"/>
    </row>
    <row r="71" spans="1:19" x14ac:dyDescent="0.3">
      <c r="A71" s="20"/>
      <c r="B71" s="1"/>
      <c r="C71" s="1"/>
      <c r="D71" s="1"/>
      <c r="E71" s="1"/>
      <c r="F71" s="1"/>
      <c r="G71" s="1"/>
      <c r="H71" s="1"/>
      <c r="I71" s="1"/>
      <c r="J71" s="1"/>
      <c r="K71" s="1"/>
      <c r="L71" s="1"/>
      <c r="M71" s="1"/>
      <c r="N71" s="1"/>
      <c r="O71" s="1"/>
      <c r="P71" s="1"/>
      <c r="Q71" s="1"/>
      <c r="R71" s="1"/>
      <c r="S71" s="1"/>
    </row>
    <row r="72" spans="1:19" x14ac:dyDescent="0.3">
      <c r="A72" s="20"/>
      <c r="B72" s="1"/>
      <c r="C72" s="1"/>
      <c r="D72" s="1"/>
      <c r="E72" s="1"/>
      <c r="F72" s="1"/>
      <c r="G72" s="1"/>
      <c r="H72" s="1"/>
      <c r="I72" s="1"/>
      <c r="J72" s="1"/>
      <c r="K72" s="1"/>
      <c r="L72" s="1"/>
      <c r="M72" s="1"/>
      <c r="N72" s="1"/>
      <c r="O72" s="1"/>
      <c r="P72" s="1"/>
      <c r="Q72" s="1"/>
      <c r="R72" s="1"/>
      <c r="S72" s="1"/>
    </row>
    <row r="73" spans="1:19" x14ac:dyDescent="0.3">
      <c r="A73" s="20"/>
      <c r="B73" s="1"/>
      <c r="C73" s="1"/>
      <c r="D73" s="1"/>
      <c r="E73" s="1"/>
      <c r="F73" s="1"/>
      <c r="G73" s="1"/>
      <c r="H73" s="1"/>
      <c r="I73" s="1"/>
      <c r="J73" s="1"/>
      <c r="K73" s="1"/>
      <c r="L73" s="1"/>
      <c r="M73" s="1"/>
      <c r="N73" s="1"/>
      <c r="O73" s="1"/>
      <c r="P73" s="1"/>
      <c r="Q73" s="1"/>
      <c r="R73" s="1"/>
      <c r="S73" s="1"/>
    </row>
    <row r="74" spans="1:19" x14ac:dyDescent="0.3">
      <c r="A74" s="20"/>
      <c r="B74" s="1"/>
      <c r="C74" s="1"/>
      <c r="D74" s="1"/>
      <c r="E74" s="1"/>
      <c r="F74" s="1"/>
      <c r="G74" s="1"/>
      <c r="H74" s="1"/>
      <c r="I74" s="1"/>
      <c r="J74" s="1"/>
      <c r="K74" s="1"/>
      <c r="L74" s="1"/>
      <c r="M74" s="1"/>
      <c r="N74" s="1"/>
      <c r="O74" s="1"/>
      <c r="P74" s="1"/>
      <c r="Q74" s="1"/>
      <c r="R74" s="1"/>
      <c r="S74" s="1"/>
    </row>
    <row r="75" spans="1:19" x14ac:dyDescent="0.3">
      <c r="A75" s="20"/>
      <c r="B75" s="1"/>
      <c r="C75" s="1"/>
      <c r="D75" s="1"/>
      <c r="E75" s="1"/>
      <c r="F75" s="1"/>
      <c r="G75" s="1"/>
      <c r="H75" s="1"/>
      <c r="I75" s="1"/>
      <c r="J75" s="1"/>
      <c r="K75" s="1"/>
      <c r="L75" s="1"/>
      <c r="M75" s="1"/>
      <c r="N75" s="1"/>
      <c r="O75" s="1"/>
      <c r="P75" s="1"/>
      <c r="Q75" s="1"/>
      <c r="R75" s="1"/>
      <c r="S75" s="1"/>
    </row>
    <row r="76" spans="1:19" x14ac:dyDescent="0.3">
      <c r="A76" s="20"/>
      <c r="B76" s="1"/>
      <c r="C76" s="1"/>
      <c r="D76" s="1"/>
      <c r="E76" s="1"/>
      <c r="F76" s="1"/>
      <c r="G76" s="1"/>
      <c r="H76" s="1"/>
      <c r="I76" s="1"/>
      <c r="J76" s="1"/>
      <c r="K76" s="1"/>
      <c r="L76" s="1"/>
      <c r="M76" s="1"/>
      <c r="N76" s="1"/>
      <c r="O76" s="1"/>
      <c r="P76" s="1"/>
      <c r="Q76" s="1"/>
      <c r="R76" s="1"/>
      <c r="S76" s="1"/>
    </row>
    <row r="77" spans="1:19" x14ac:dyDescent="0.3">
      <c r="A77" s="20"/>
      <c r="B77" s="1"/>
      <c r="C77" s="1"/>
      <c r="D77" s="1"/>
      <c r="E77" s="1"/>
      <c r="F77" s="1"/>
      <c r="G77" s="1"/>
      <c r="H77" s="1"/>
      <c r="I77" s="1"/>
      <c r="J77" s="1"/>
      <c r="K77" s="1"/>
      <c r="L77" s="1"/>
      <c r="M77" s="1"/>
      <c r="N77" s="1"/>
      <c r="O77" s="1"/>
      <c r="P77" s="1"/>
      <c r="Q77" s="1"/>
      <c r="R77" s="1"/>
      <c r="S77" s="1"/>
    </row>
    <row r="78" spans="1:19" x14ac:dyDescent="0.3">
      <c r="A78" s="20"/>
      <c r="B78" s="1"/>
      <c r="C78" s="1"/>
      <c r="D78" s="1"/>
      <c r="E78" s="1"/>
      <c r="F78" s="1"/>
      <c r="G78" s="1"/>
      <c r="H78" s="1"/>
      <c r="I78" s="1"/>
      <c r="J78" s="1"/>
      <c r="K78" s="1"/>
      <c r="L78" s="1"/>
      <c r="M78" s="1"/>
      <c r="N78" s="1"/>
      <c r="O78" s="1"/>
      <c r="P78" s="1"/>
      <c r="Q78" s="1"/>
      <c r="R78" s="1"/>
      <c r="S78" s="1"/>
    </row>
    <row r="79" spans="1:19" x14ac:dyDescent="0.3">
      <c r="A79" s="20"/>
      <c r="B79" s="1"/>
      <c r="C79" s="1"/>
      <c r="D79" s="1"/>
      <c r="E79" s="1"/>
      <c r="F79" s="1"/>
      <c r="G79" s="1"/>
      <c r="H79" s="1"/>
      <c r="I79" s="1"/>
      <c r="J79" s="1"/>
      <c r="K79" s="1"/>
      <c r="L79" s="1"/>
      <c r="M79" s="1"/>
      <c r="N79" s="1"/>
      <c r="O79" s="1"/>
      <c r="P79" s="1"/>
      <c r="Q79" s="1"/>
      <c r="R79" s="1"/>
      <c r="S79" s="1"/>
    </row>
    <row r="80" spans="1:19" x14ac:dyDescent="0.3">
      <c r="A80" s="20"/>
      <c r="B80" s="1"/>
      <c r="C80" s="1"/>
      <c r="D80" s="1"/>
      <c r="E80" s="1"/>
      <c r="F80" s="1"/>
      <c r="G80" s="1"/>
      <c r="H80" s="1"/>
      <c r="I80" s="1"/>
      <c r="J80" s="1"/>
      <c r="K80" s="1"/>
      <c r="L80" s="1"/>
      <c r="M80" s="1"/>
      <c r="N80" s="1"/>
      <c r="O80" s="1"/>
      <c r="P80" s="1"/>
      <c r="Q80" s="1"/>
      <c r="R80" s="1"/>
      <c r="S80" s="1"/>
    </row>
    <row r="81" spans="1:19" x14ac:dyDescent="0.3">
      <c r="A81" s="20"/>
      <c r="B81" s="1"/>
      <c r="C81" s="1"/>
      <c r="D81" s="1"/>
      <c r="E81" s="1"/>
      <c r="F81" s="1"/>
      <c r="G81" s="1"/>
      <c r="H81" s="1"/>
      <c r="I81" s="1"/>
      <c r="J81" s="1"/>
      <c r="K81" s="1"/>
      <c r="L81" s="1"/>
      <c r="M81" s="1"/>
      <c r="N81" s="1"/>
      <c r="O81" s="1"/>
      <c r="P81" s="1"/>
      <c r="Q81" s="1"/>
      <c r="R81" s="1"/>
      <c r="S81" s="1"/>
    </row>
    <row r="82" spans="1:19" x14ac:dyDescent="0.3">
      <c r="A82" s="20"/>
      <c r="B82" s="1"/>
      <c r="C82" s="1"/>
      <c r="D82" s="1"/>
      <c r="E82" s="1"/>
      <c r="F82" s="1"/>
      <c r="G82" s="1"/>
      <c r="H82" s="1"/>
      <c r="I82" s="1"/>
      <c r="J82" s="1"/>
      <c r="K82" s="1"/>
      <c r="L82" s="1"/>
      <c r="M82" s="1"/>
      <c r="N82" s="1"/>
      <c r="O82" s="1"/>
      <c r="P82" s="1"/>
      <c r="Q82" s="1"/>
      <c r="R82" s="1"/>
      <c r="S82" s="1"/>
    </row>
    <row r="83" spans="1:19" x14ac:dyDescent="0.3">
      <c r="A83" s="20"/>
      <c r="B83" s="1"/>
      <c r="C83" s="1"/>
      <c r="D83" s="1"/>
      <c r="E83" s="1"/>
      <c r="F83" s="1"/>
      <c r="G83" s="1"/>
      <c r="H83" s="1"/>
      <c r="I83" s="1"/>
      <c r="J83" s="1"/>
      <c r="K83" s="1"/>
      <c r="L83" s="1"/>
      <c r="M83" s="1"/>
      <c r="N83" s="1"/>
      <c r="O83" s="1"/>
      <c r="P83" s="1"/>
      <c r="Q83" s="1"/>
      <c r="R83" s="1"/>
      <c r="S83" s="1"/>
    </row>
    <row r="84" spans="1:19" x14ac:dyDescent="0.3">
      <c r="A84" s="20"/>
      <c r="B84" s="1"/>
      <c r="C84" s="1"/>
      <c r="D84" s="1"/>
      <c r="E84" s="1"/>
      <c r="F84" s="1"/>
      <c r="G84" s="1"/>
      <c r="H84" s="1"/>
      <c r="I84" s="1"/>
      <c r="J84" s="1"/>
      <c r="K84" s="1"/>
      <c r="L84" s="1"/>
      <c r="M84" s="1"/>
      <c r="N84" s="1"/>
      <c r="O84" s="1"/>
      <c r="P84" s="1"/>
      <c r="Q84" s="1"/>
      <c r="R84" s="1"/>
      <c r="S84" s="1"/>
    </row>
    <row r="85" spans="1:19" x14ac:dyDescent="0.3">
      <c r="A85" s="20"/>
      <c r="B85" s="1"/>
      <c r="C85" s="1"/>
      <c r="D85" s="1"/>
      <c r="E85" s="1"/>
      <c r="F85" s="1"/>
      <c r="G85" s="1"/>
      <c r="H85" s="1"/>
      <c r="I85" s="1"/>
      <c r="J85" s="1"/>
      <c r="K85" s="1"/>
      <c r="L85" s="1"/>
      <c r="M85" s="1"/>
      <c r="N85" s="1"/>
      <c r="O85" s="1"/>
      <c r="P85" s="1"/>
      <c r="Q85" s="1"/>
      <c r="R85" s="1"/>
      <c r="S85" s="1"/>
    </row>
    <row r="86" spans="1:19" x14ac:dyDescent="0.3">
      <c r="A86" s="20"/>
      <c r="B86" s="1"/>
      <c r="C86" s="1"/>
      <c r="D86" s="1"/>
      <c r="E86" s="1"/>
      <c r="F86" s="1"/>
      <c r="G86" s="1"/>
      <c r="H86" s="1"/>
      <c r="I86" s="1"/>
      <c r="J86" s="1"/>
      <c r="K86" s="1"/>
      <c r="L86" s="1"/>
      <c r="M86" s="1"/>
      <c r="N86" s="1"/>
      <c r="O86" s="1"/>
      <c r="P86" s="1"/>
      <c r="Q86" s="1"/>
      <c r="R86" s="1"/>
      <c r="S86" s="1"/>
    </row>
    <row r="87" spans="1:19" x14ac:dyDescent="0.3">
      <c r="A87" s="20"/>
      <c r="B87" s="1"/>
      <c r="C87" s="1"/>
      <c r="D87" s="1"/>
      <c r="E87" s="1"/>
      <c r="F87" s="1"/>
      <c r="G87" s="1"/>
      <c r="H87" s="1"/>
      <c r="I87" s="1"/>
      <c r="J87" s="1"/>
      <c r="K87" s="1"/>
      <c r="L87" s="1"/>
      <c r="M87" s="1"/>
      <c r="N87" s="1"/>
      <c r="O87" s="1"/>
      <c r="P87" s="1"/>
      <c r="Q87" s="1"/>
      <c r="R87" s="1"/>
      <c r="S87" s="1"/>
    </row>
    <row r="88" spans="1:19" x14ac:dyDescent="0.3">
      <c r="A88" s="20"/>
      <c r="B88" s="1"/>
      <c r="C88" s="1"/>
      <c r="D88" s="1"/>
      <c r="E88" s="1"/>
      <c r="F88" s="1"/>
      <c r="G88" s="1"/>
      <c r="H88" s="1"/>
      <c r="I88" s="1"/>
      <c r="J88" s="1"/>
      <c r="K88" s="1"/>
      <c r="L88" s="1"/>
      <c r="M88" s="1"/>
      <c r="N88" s="1"/>
      <c r="O88" s="1"/>
      <c r="P88" s="1"/>
      <c r="Q88" s="1"/>
      <c r="R88" s="1"/>
      <c r="S88" s="1"/>
    </row>
    <row r="89" spans="1:19" x14ac:dyDescent="0.3">
      <c r="A89" s="20"/>
      <c r="B89" s="1"/>
      <c r="C89" s="1"/>
      <c r="D89" s="1"/>
      <c r="E89" s="1"/>
      <c r="F89" s="1"/>
      <c r="G89" s="1"/>
      <c r="H89" s="1"/>
      <c r="I89" s="1"/>
      <c r="J89" s="1"/>
      <c r="K89" s="1"/>
      <c r="L89" s="1"/>
      <c r="M89" s="1"/>
      <c r="N89" s="1"/>
      <c r="O89" s="1"/>
      <c r="P89" s="1"/>
      <c r="Q89" s="1"/>
      <c r="R89" s="1"/>
      <c r="S89" s="1"/>
    </row>
    <row r="90" spans="1:19" x14ac:dyDescent="0.3">
      <c r="A90" s="20"/>
      <c r="B90" s="1"/>
      <c r="C90" s="1"/>
      <c r="D90" s="1"/>
      <c r="E90" s="1"/>
      <c r="F90" s="1"/>
      <c r="G90" s="1"/>
      <c r="H90" s="1"/>
      <c r="I90" s="1"/>
      <c r="J90" s="1"/>
      <c r="K90" s="1"/>
      <c r="L90" s="1"/>
      <c r="M90" s="1"/>
      <c r="N90" s="1"/>
      <c r="O90" s="1"/>
      <c r="P90" s="1"/>
      <c r="Q90" s="1"/>
      <c r="R90" s="1"/>
      <c r="S90" s="1"/>
    </row>
    <row r="91" spans="1:19" x14ac:dyDescent="0.3">
      <c r="A91" s="20"/>
      <c r="B91" s="1"/>
      <c r="C91" s="1"/>
      <c r="D91" s="1"/>
      <c r="E91" s="1"/>
      <c r="F91" s="1"/>
      <c r="G91" s="1"/>
      <c r="H91" s="1"/>
      <c r="I91" s="1"/>
      <c r="J91" s="1"/>
      <c r="K91" s="1"/>
      <c r="L91" s="1"/>
      <c r="M91" s="1"/>
      <c r="N91" s="1"/>
      <c r="O91" s="1"/>
      <c r="P91" s="1"/>
      <c r="Q91" s="1"/>
      <c r="R91" s="1"/>
      <c r="S91" s="1"/>
    </row>
    <row r="92" spans="1:19" x14ac:dyDescent="0.3">
      <c r="A92" s="20"/>
      <c r="B92" s="1"/>
      <c r="C92" s="1"/>
      <c r="D92" s="1"/>
      <c r="E92" s="1"/>
      <c r="F92" s="1"/>
      <c r="G92" s="1"/>
      <c r="H92" s="1"/>
      <c r="I92" s="1"/>
      <c r="J92" s="1"/>
      <c r="K92" s="1"/>
      <c r="L92" s="1"/>
      <c r="M92" s="1"/>
      <c r="N92" s="1"/>
      <c r="O92" s="1"/>
      <c r="P92" s="1"/>
      <c r="Q92" s="1"/>
      <c r="R92" s="1"/>
      <c r="S92" s="1"/>
    </row>
    <row r="93" spans="1:19" x14ac:dyDescent="0.3">
      <c r="A93" s="20"/>
      <c r="B93" s="1"/>
      <c r="C93" s="1"/>
      <c r="D93" s="1"/>
      <c r="E93" s="1"/>
      <c r="F93" s="1"/>
      <c r="G93" s="1"/>
      <c r="H93" s="1"/>
      <c r="I93" s="1"/>
      <c r="J93" s="1"/>
      <c r="K93" s="1"/>
      <c r="L93" s="1"/>
      <c r="M93" s="1"/>
      <c r="N93" s="1"/>
      <c r="O93" s="1"/>
      <c r="P93" s="1"/>
      <c r="Q93" s="1"/>
      <c r="R93" s="1"/>
      <c r="S93" s="1"/>
    </row>
    <row r="94" spans="1:19" x14ac:dyDescent="0.3">
      <c r="A94" s="20"/>
      <c r="B94" s="1"/>
      <c r="C94" s="1"/>
      <c r="D94" s="1"/>
      <c r="E94" s="1"/>
      <c r="F94" s="1"/>
      <c r="G94" s="1"/>
      <c r="H94" s="1"/>
      <c r="I94" s="1"/>
      <c r="J94" s="1"/>
      <c r="K94" s="1"/>
      <c r="L94" s="1"/>
      <c r="M94" s="1"/>
      <c r="N94" s="1"/>
      <c r="O94" s="1"/>
      <c r="P94" s="1"/>
      <c r="Q94" s="1"/>
      <c r="R94" s="1"/>
      <c r="S94" s="1"/>
    </row>
    <row r="95" spans="1:19" x14ac:dyDescent="0.3">
      <c r="A95" s="20"/>
      <c r="B95" s="1"/>
      <c r="C95" s="1"/>
      <c r="D95" s="1"/>
      <c r="E95" s="1"/>
      <c r="F95" s="1"/>
      <c r="G95" s="1"/>
      <c r="H95" s="1"/>
      <c r="I95" s="1"/>
      <c r="J95" s="1"/>
      <c r="K95" s="1"/>
      <c r="L95" s="1"/>
      <c r="M95" s="1"/>
      <c r="N95" s="1"/>
      <c r="O95" s="1"/>
      <c r="P95" s="1"/>
      <c r="Q95" s="1"/>
      <c r="R95" s="1"/>
      <c r="S95" s="1"/>
    </row>
    <row r="96" spans="1:19" x14ac:dyDescent="0.3">
      <c r="A96" s="20"/>
      <c r="B96" s="1"/>
      <c r="C96" s="1"/>
      <c r="D96" s="1"/>
      <c r="E96" s="1"/>
      <c r="F96" s="1"/>
      <c r="G96" s="1"/>
      <c r="H96" s="1"/>
      <c r="I96" s="1"/>
      <c r="J96" s="1"/>
      <c r="K96" s="1"/>
      <c r="L96" s="1"/>
      <c r="M96" s="1"/>
      <c r="N96" s="1"/>
      <c r="O96" s="1"/>
      <c r="P96" s="1"/>
      <c r="Q96" s="1"/>
      <c r="R96" s="1"/>
      <c r="S96" s="1"/>
    </row>
    <row r="97" spans="1:19" x14ac:dyDescent="0.3">
      <c r="A97" s="20"/>
      <c r="B97" s="1"/>
      <c r="C97" s="1"/>
      <c r="D97" s="1"/>
      <c r="E97" s="1"/>
      <c r="F97" s="1"/>
      <c r="G97" s="1"/>
      <c r="H97" s="1"/>
      <c r="I97" s="1"/>
      <c r="J97" s="1"/>
      <c r="K97" s="1"/>
      <c r="L97" s="1"/>
      <c r="M97" s="1"/>
      <c r="N97" s="1"/>
      <c r="O97" s="1"/>
      <c r="P97" s="1"/>
      <c r="Q97" s="1"/>
      <c r="R97" s="1"/>
      <c r="S97" s="1"/>
    </row>
    <row r="98" spans="1:19" x14ac:dyDescent="0.3">
      <c r="A98" s="20"/>
      <c r="B98" s="1"/>
      <c r="C98" s="1"/>
      <c r="D98" s="1"/>
      <c r="E98" s="1"/>
      <c r="F98" s="1"/>
      <c r="G98" s="1"/>
      <c r="H98" s="1"/>
      <c r="I98" s="1"/>
      <c r="J98" s="1"/>
      <c r="K98" s="1"/>
      <c r="L98" s="1"/>
      <c r="M98" s="1"/>
      <c r="N98" s="1"/>
      <c r="O98" s="1"/>
      <c r="P98" s="1"/>
      <c r="Q98" s="1"/>
      <c r="R98" s="1"/>
      <c r="S98" s="1"/>
    </row>
    <row r="99" spans="1:19" x14ac:dyDescent="0.3">
      <c r="A99" s="20"/>
      <c r="B99" s="1"/>
      <c r="C99" s="1"/>
      <c r="D99" s="1"/>
      <c r="E99" s="1"/>
      <c r="F99" s="1"/>
      <c r="G99" s="1"/>
      <c r="H99" s="1"/>
      <c r="I99" s="1"/>
      <c r="J99" s="1"/>
      <c r="K99" s="1"/>
      <c r="L99" s="1"/>
      <c r="M99" s="1"/>
      <c r="N99" s="1"/>
      <c r="O99" s="1"/>
      <c r="P99" s="1"/>
      <c r="Q99" s="1"/>
      <c r="R99" s="1"/>
      <c r="S99" s="1"/>
    </row>
    <row r="100" spans="1:19" x14ac:dyDescent="0.3">
      <c r="A100" s="20"/>
      <c r="B100" s="1"/>
      <c r="C100" s="1"/>
      <c r="D100" s="1"/>
      <c r="E100" s="1"/>
      <c r="F100" s="1"/>
      <c r="G100" s="1"/>
      <c r="H100" s="1"/>
      <c r="I100" s="1"/>
      <c r="J100" s="1"/>
      <c r="K100" s="1"/>
      <c r="L100" s="1"/>
      <c r="M100" s="1"/>
      <c r="N100" s="1"/>
      <c r="O100" s="1"/>
      <c r="P100" s="1"/>
      <c r="Q100" s="1"/>
      <c r="R100" s="1"/>
      <c r="S100" s="1"/>
    </row>
    <row r="101" spans="1:19" x14ac:dyDescent="0.3">
      <c r="A101" s="20"/>
      <c r="B101" s="1"/>
      <c r="C101" s="1"/>
      <c r="D101" s="1"/>
      <c r="E101" s="1"/>
      <c r="F101" s="1"/>
      <c r="G101" s="1"/>
      <c r="H101" s="1"/>
      <c r="I101" s="1"/>
      <c r="J101" s="1"/>
      <c r="K101" s="1"/>
      <c r="L101" s="1"/>
      <c r="M101" s="1"/>
      <c r="N101" s="1"/>
      <c r="O101" s="1"/>
      <c r="P101" s="1"/>
      <c r="Q101" s="1"/>
      <c r="R101" s="1"/>
      <c r="S101" s="1"/>
    </row>
    <row r="102" spans="1:19" x14ac:dyDescent="0.3">
      <c r="A102" s="20"/>
      <c r="B102" s="1"/>
      <c r="C102" s="1"/>
      <c r="D102" s="1"/>
      <c r="E102" s="1"/>
      <c r="F102" s="1"/>
      <c r="G102" s="1"/>
      <c r="H102" s="1"/>
      <c r="I102" s="1"/>
      <c r="J102" s="1"/>
      <c r="K102" s="1"/>
      <c r="L102" s="1"/>
      <c r="M102" s="1"/>
      <c r="N102" s="1"/>
      <c r="O102" s="1"/>
      <c r="P102" s="1"/>
      <c r="Q102" s="1"/>
      <c r="R102" s="1"/>
      <c r="S102" s="1"/>
    </row>
    <row r="103" spans="1:19" x14ac:dyDescent="0.3">
      <c r="A103" s="20"/>
      <c r="B103" s="1"/>
      <c r="C103" s="1"/>
      <c r="D103" s="1"/>
      <c r="E103" s="1"/>
      <c r="F103" s="1"/>
      <c r="G103" s="1"/>
      <c r="H103" s="1"/>
      <c r="I103" s="1"/>
      <c r="J103" s="1"/>
      <c r="K103" s="1"/>
      <c r="L103" s="1"/>
      <c r="M103" s="1"/>
      <c r="N103" s="1"/>
      <c r="O103" s="1"/>
      <c r="P103" s="1"/>
      <c r="Q103" s="1"/>
      <c r="R103" s="1"/>
      <c r="S103" s="1"/>
    </row>
    <row r="104" spans="1:19" x14ac:dyDescent="0.3">
      <c r="A104" s="20"/>
      <c r="B104" s="1"/>
      <c r="C104" s="1"/>
      <c r="D104" s="1"/>
      <c r="E104" s="1"/>
      <c r="F104" s="1"/>
      <c r="G104" s="1"/>
      <c r="H104" s="1"/>
      <c r="I104" s="1"/>
      <c r="J104" s="1"/>
      <c r="K104" s="1"/>
      <c r="L104" s="1"/>
      <c r="M104" s="1"/>
      <c r="N104" s="1"/>
      <c r="O104" s="1"/>
      <c r="P104" s="1"/>
      <c r="Q104" s="1"/>
      <c r="R104" s="1"/>
      <c r="S104" s="1"/>
    </row>
    <row r="105" spans="1:19" x14ac:dyDescent="0.3">
      <c r="A105" s="20"/>
      <c r="B105" s="1"/>
      <c r="C105" s="1"/>
      <c r="D105" s="1"/>
      <c r="E105" s="1"/>
      <c r="F105" s="1"/>
      <c r="G105" s="1"/>
      <c r="H105" s="1"/>
      <c r="I105" s="1"/>
      <c r="J105" s="1"/>
      <c r="K105" s="1"/>
      <c r="L105" s="1"/>
      <c r="M105" s="1"/>
      <c r="N105" s="1"/>
      <c r="O105" s="1"/>
      <c r="P105" s="1"/>
      <c r="Q105" s="1"/>
      <c r="R105" s="1"/>
      <c r="S105" s="1"/>
    </row>
    <row r="106" spans="1:19" x14ac:dyDescent="0.3">
      <c r="A106" s="20"/>
      <c r="B106" s="1"/>
      <c r="C106" s="1"/>
      <c r="D106" s="1"/>
      <c r="E106" s="1"/>
      <c r="F106" s="1"/>
      <c r="G106" s="1"/>
      <c r="H106" s="1"/>
      <c r="I106" s="1"/>
      <c r="J106" s="1"/>
      <c r="K106" s="1"/>
      <c r="L106" s="1"/>
      <c r="M106" s="1"/>
      <c r="N106" s="1"/>
      <c r="O106" s="1"/>
      <c r="P106" s="1"/>
      <c r="Q106" s="1"/>
      <c r="R106" s="1"/>
      <c r="S106" s="1"/>
    </row>
    <row r="107" spans="1:19" x14ac:dyDescent="0.3">
      <c r="A107" s="20"/>
      <c r="B107" s="1"/>
      <c r="C107" s="1"/>
      <c r="D107" s="1"/>
      <c r="E107" s="1"/>
      <c r="F107" s="1"/>
      <c r="G107" s="1"/>
      <c r="H107" s="1"/>
      <c r="I107" s="1"/>
      <c r="J107" s="1"/>
      <c r="K107" s="1"/>
      <c r="L107" s="1"/>
      <c r="M107" s="1"/>
      <c r="N107" s="1"/>
      <c r="O107" s="1"/>
      <c r="P107" s="1"/>
      <c r="Q107" s="1"/>
      <c r="R107" s="1"/>
      <c r="S107" s="1"/>
    </row>
    <row r="108" spans="1:19" x14ac:dyDescent="0.3">
      <c r="A108" s="20"/>
      <c r="B108" s="1"/>
      <c r="C108" s="1"/>
      <c r="D108" s="1"/>
      <c r="E108" s="1"/>
      <c r="F108" s="1"/>
      <c r="G108" s="1"/>
      <c r="H108" s="1"/>
      <c r="I108" s="1"/>
      <c r="J108" s="1"/>
      <c r="K108" s="1"/>
      <c r="L108" s="1"/>
      <c r="M108" s="1"/>
      <c r="N108" s="1"/>
      <c r="O108" s="1"/>
      <c r="P108" s="1"/>
      <c r="Q108" s="1"/>
      <c r="R108" s="1"/>
      <c r="S108" s="1"/>
    </row>
    <row r="109" spans="1:19" x14ac:dyDescent="0.3">
      <c r="A109" s="20"/>
      <c r="B109" s="1"/>
      <c r="C109" s="1"/>
      <c r="D109" s="1"/>
      <c r="E109" s="1"/>
      <c r="F109" s="1"/>
      <c r="G109" s="1"/>
      <c r="H109" s="1"/>
      <c r="I109" s="1"/>
      <c r="J109" s="1"/>
      <c r="K109" s="1"/>
      <c r="L109" s="1"/>
      <c r="M109" s="1"/>
      <c r="N109" s="1"/>
      <c r="O109" s="1"/>
      <c r="P109" s="1"/>
      <c r="Q109" s="1"/>
      <c r="R109" s="1"/>
      <c r="S109" s="1"/>
    </row>
    <row r="110" spans="1:19" x14ac:dyDescent="0.3">
      <c r="A110" s="20"/>
      <c r="B110" s="1"/>
      <c r="C110" s="1"/>
      <c r="D110" s="1"/>
      <c r="E110" s="1"/>
      <c r="F110" s="1"/>
      <c r="G110" s="1"/>
      <c r="H110" s="1"/>
      <c r="I110" s="1"/>
      <c r="J110" s="1"/>
      <c r="K110" s="1"/>
      <c r="L110" s="1"/>
      <c r="M110" s="1"/>
      <c r="N110" s="1"/>
      <c r="O110" s="1"/>
      <c r="P110" s="1"/>
      <c r="Q110" s="1"/>
      <c r="R110" s="1"/>
      <c r="S110" s="1"/>
    </row>
    <row r="111" spans="1:19" x14ac:dyDescent="0.3">
      <c r="A111" s="20"/>
      <c r="B111" s="1"/>
      <c r="C111" s="1"/>
      <c r="D111" s="1"/>
      <c r="E111" s="1"/>
      <c r="F111" s="1"/>
      <c r="G111" s="1"/>
      <c r="H111" s="1"/>
      <c r="I111" s="1"/>
      <c r="J111" s="1"/>
      <c r="K111" s="1"/>
      <c r="L111" s="1"/>
      <c r="M111" s="1"/>
      <c r="N111" s="1"/>
      <c r="O111" s="1"/>
      <c r="P111" s="1"/>
      <c r="Q111" s="1"/>
      <c r="R111" s="1"/>
      <c r="S111" s="1"/>
    </row>
    <row r="112" spans="1:19" x14ac:dyDescent="0.3">
      <c r="A112" s="20"/>
      <c r="B112" s="1"/>
      <c r="C112" s="1"/>
      <c r="D112" s="1"/>
      <c r="E112" s="1"/>
      <c r="F112" s="1"/>
      <c r="G112" s="1"/>
      <c r="H112" s="1"/>
      <c r="I112" s="1"/>
      <c r="J112" s="1"/>
      <c r="K112" s="1"/>
      <c r="L112" s="1"/>
      <c r="M112" s="1"/>
      <c r="N112" s="1"/>
      <c r="O112" s="1"/>
      <c r="P112" s="1"/>
      <c r="Q112" s="1"/>
      <c r="R112" s="1"/>
      <c r="S112" s="1"/>
    </row>
    <row r="113" spans="1:19" x14ac:dyDescent="0.3">
      <c r="A113" s="20"/>
      <c r="B113" s="1"/>
      <c r="C113" s="1"/>
      <c r="D113" s="1"/>
      <c r="E113" s="1"/>
      <c r="F113" s="1"/>
      <c r="G113" s="1"/>
      <c r="H113" s="1"/>
      <c r="I113" s="1"/>
      <c r="J113" s="1"/>
      <c r="K113" s="1"/>
      <c r="L113" s="1"/>
      <c r="M113" s="1"/>
      <c r="N113" s="1"/>
      <c r="O113" s="1"/>
      <c r="P113" s="1"/>
      <c r="Q113" s="1"/>
      <c r="R113" s="1"/>
      <c r="S113" s="1"/>
    </row>
    <row r="114" spans="1:19" x14ac:dyDescent="0.3">
      <c r="A114" s="20"/>
      <c r="B114" s="1"/>
      <c r="C114" s="1"/>
      <c r="D114" s="1"/>
      <c r="E114" s="1"/>
      <c r="F114" s="1"/>
      <c r="G114" s="1"/>
      <c r="H114" s="1"/>
      <c r="I114" s="1"/>
      <c r="J114" s="1"/>
      <c r="K114" s="1"/>
      <c r="L114" s="1"/>
      <c r="M114" s="1"/>
      <c r="N114" s="1"/>
      <c r="O114" s="1"/>
      <c r="P114" s="1"/>
      <c r="Q114" s="1"/>
      <c r="R114" s="1"/>
      <c r="S114" s="1"/>
    </row>
    <row r="115" spans="1:19" x14ac:dyDescent="0.3">
      <c r="A115" s="20"/>
      <c r="B115" s="1"/>
      <c r="C115" s="1"/>
      <c r="D115" s="1"/>
      <c r="E115" s="1"/>
      <c r="F115" s="1"/>
      <c r="G115" s="1"/>
      <c r="H115" s="1"/>
      <c r="I115" s="1"/>
      <c r="J115" s="1"/>
      <c r="K115" s="1"/>
      <c r="L115" s="1"/>
      <c r="M115" s="1"/>
      <c r="N115" s="1"/>
      <c r="O115" s="1"/>
      <c r="P115" s="1"/>
      <c r="Q115" s="1"/>
      <c r="R115" s="1"/>
      <c r="S115" s="1"/>
    </row>
    <row r="116" spans="1:19" x14ac:dyDescent="0.3">
      <c r="A116" s="20"/>
      <c r="B116" s="1"/>
      <c r="C116" s="1"/>
      <c r="D116" s="1"/>
      <c r="E116" s="1"/>
      <c r="F116" s="1"/>
      <c r="G116" s="1"/>
      <c r="H116" s="1"/>
      <c r="I116" s="1"/>
      <c r="J116" s="1"/>
      <c r="K116" s="1"/>
      <c r="L116" s="1"/>
      <c r="M116" s="1"/>
      <c r="N116" s="1"/>
      <c r="O116" s="1"/>
      <c r="P116" s="1"/>
      <c r="Q116" s="1"/>
      <c r="R116" s="1"/>
      <c r="S116" s="1"/>
    </row>
    <row r="117" spans="1:19" x14ac:dyDescent="0.3">
      <c r="A117" s="20"/>
      <c r="B117" s="1"/>
      <c r="C117" s="1"/>
      <c r="D117" s="1"/>
      <c r="E117" s="1"/>
      <c r="F117" s="1"/>
      <c r="G117" s="1"/>
      <c r="H117" s="1"/>
      <c r="I117" s="1"/>
      <c r="J117" s="1"/>
      <c r="K117" s="1"/>
      <c r="L117" s="1"/>
      <c r="M117" s="1"/>
      <c r="N117" s="1"/>
      <c r="O117" s="1"/>
      <c r="P117" s="1"/>
      <c r="Q117" s="1"/>
      <c r="R117" s="1"/>
      <c r="S117" s="1"/>
    </row>
    <row r="118" spans="1:19" x14ac:dyDescent="0.3">
      <c r="A118" s="20"/>
      <c r="B118" s="1"/>
      <c r="C118" s="1"/>
      <c r="D118" s="1"/>
      <c r="E118" s="1"/>
      <c r="F118" s="1"/>
      <c r="G118" s="1"/>
      <c r="H118" s="1"/>
      <c r="I118" s="1"/>
      <c r="J118" s="1"/>
      <c r="K118" s="1"/>
      <c r="L118" s="1"/>
      <c r="M118" s="1"/>
      <c r="N118" s="1"/>
      <c r="O118" s="1"/>
      <c r="P118" s="1"/>
      <c r="Q118" s="1"/>
      <c r="R118" s="1"/>
      <c r="S118" s="1"/>
    </row>
    <row r="119" spans="1:19" x14ac:dyDescent="0.3">
      <c r="A119" s="20"/>
      <c r="B119" s="1"/>
      <c r="C119" s="1"/>
      <c r="D119" s="1"/>
      <c r="E119" s="1"/>
      <c r="F119" s="1"/>
      <c r="G119" s="1"/>
      <c r="H119" s="1"/>
      <c r="I119" s="1"/>
      <c r="J119" s="1"/>
      <c r="K119" s="1"/>
      <c r="L119" s="1"/>
      <c r="M119" s="1"/>
      <c r="N119" s="1"/>
      <c r="O119" s="1"/>
      <c r="P119" s="1"/>
      <c r="Q119" s="1"/>
      <c r="R119" s="1"/>
      <c r="S119" s="1"/>
    </row>
    <row r="120" spans="1:19" x14ac:dyDescent="0.3">
      <c r="A120" s="20"/>
      <c r="B120" s="1"/>
      <c r="C120" s="1"/>
      <c r="D120" s="1"/>
      <c r="E120" s="1"/>
      <c r="F120" s="1"/>
      <c r="G120" s="1"/>
      <c r="H120" s="1"/>
      <c r="I120" s="1"/>
      <c r="J120" s="1"/>
      <c r="K120" s="1"/>
      <c r="L120" s="1"/>
      <c r="M120" s="1"/>
      <c r="N120" s="1"/>
      <c r="O120" s="1"/>
      <c r="P120" s="1"/>
      <c r="Q120" s="1"/>
      <c r="R120" s="1"/>
      <c r="S120" s="1"/>
    </row>
    <row r="121" spans="1:19" x14ac:dyDescent="0.3">
      <c r="A121" s="20"/>
      <c r="B121" s="1"/>
      <c r="C121" s="1"/>
      <c r="D121" s="1"/>
      <c r="E121" s="1"/>
      <c r="F121" s="1"/>
      <c r="G121" s="1"/>
      <c r="H121" s="1"/>
      <c r="I121" s="1"/>
      <c r="J121" s="1"/>
      <c r="K121" s="1"/>
      <c r="L121" s="1"/>
      <c r="M121" s="1"/>
      <c r="N121" s="1"/>
      <c r="O121" s="1"/>
      <c r="P121" s="1"/>
      <c r="Q121" s="1"/>
      <c r="R121" s="1"/>
      <c r="S121" s="1"/>
    </row>
    <row r="122" spans="1:19" x14ac:dyDescent="0.3">
      <c r="A122" s="20"/>
      <c r="B122" s="1"/>
      <c r="C122" s="1"/>
      <c r="D122" s="1"/>
      <c r="E122" s="1"/>
      <c r="F122" s="1"/>
      <c r="G122" s="1"/>
      <c r="H122" s="1"/>
      <c r="I122" s="1"/>
      <c r="J122" s="1"/>
      <c r="K122" s="1"/>
      <c r="L122" s="1"/>
      <c r="M122" s="1"/>
      <c r="N122" s="1"/>
      <c r="O122" s="1"/>
      <c r="P122" s="1"/>
      <c r="Q122" s="1"/>
      <c r="R122" s="1"/>
      <c r="S122" s="1"/>
    </row>
    <row r="123" spans="1:19" x14ac:dyDescent="0.3">
      <c r="A123" s="20"/>
      <c r="B123" s="1"/>
      <c r="C123" s="1"/>
      <c r="D123" s="1"/>
      <c r="E123" s="1"/>
      <c r="F123" s="1"/>
      <c r="G123" s="1"/>
      <c r="H123" s="1"/>
      <c r="I123" s="1"/>
      <c r="J123" s="1"/>
      <c r="K123" s="1"/>
      <c r="L123" s="1"/>
      <c r="M123" s="1"/>
      <c r="N123" s="1"/>
      <c r="O123" s="1"/>
      <c r="P123" s="1"/>
      <c r="Q123" s="1"/>
      <c r="R123" s="1"/>
      <c r="S123" s="1"/>
    </row>
    <row r="124" spans="1:19" x14ac:dyDescent="0.3">
      <c r="A124" s="20"/>
      <c r="B124" s="1"/>
      <c r="C124" s="1"/>
      <c r="D124" s="1"/>
      <c r="E124" s="1"/>
      <c r="F124" s="1"/>
      <c r="G124" s="1"/>
      <c r="H124" s="1"/>
      <c r="I124" s="1"/>
      <c r="J124" s="1"/>
      <c r="K124" s="1"/>
      <c r="L124" s="1"/>
      <c r="M124" s="1"/>
      <c r="N124" s="1"/>
      <c r="O124" s="1"/>
      <c r="P124" s="1"/>
      <c r="Q124" s="1"/>
      <c r="R124" s="1"/>
      <c r="S124" s="1"/>
    </row>
    <row r="125" spans="1:19" x14ac:dyDescent="0.3">
      <c r="A125" s="20"/>
      <c r="B125" s="1"/>
      <c r="C125" s="1"/>
      <c r="D125" s="1"/>
      <c r="E125" s="1"/>
      <c r="F125" s="1"/>
      <c r="G125" s="1"/>
      <c r="H125" s="1"/>
      <c r="I125" s="1"/>
      <c r="J125" s="1"/>
      <c r="K125" s="1"/>
      <c r="L125" s="1"/>
      <c r="M125" s="1"/>
      <c r="N125" s="1"/>
      <c r="O125" s="1"/>
      <c r="P125" s="1"/>
      <c r="Q125" s="1"/>
      <c r="R125" s="1"/>
      <c r="S125" s="1"/>
    </row>
    <row r="126" spans="1:19" x14ac:dyDescent="0.3">
      <c r="A126" s="20"/>
      <c r="B126" s="1"/>
      <c r="C126" s="1"/>
      <c r="D126" s="1"/>
      <c r="E126" s="1"/>
      <c r="F126" s="1"/>
      <c r="G126" s="1"/>
      <c r="H126" s="1"/>
      <c r="I126" s="1"/>
      <c r="J126" s="1"/>
      <c r="K126" s="1"/>
      <c r="L126" s="1"/>
      <c r="M126" s="1"/>
      <c r="N126" s="1"/>
      <c r="O126" s="1"/>
      <c r="P126" s="1"/>
      <c r="Q126" s="1"/>
      <c r="R126" s="1"/>
      <c r="S126" s="1"/>
    </row>
    <row r="127" spans="1:19" x14ac:dyDescent="0.3">
      <c r="A127" s="20"/>
      <c r="B127" s="1"/>
      <c r="C127" s="1"/>
      <c r="D127" s="1"/>
      <c r="E127" s="1"/>
      <c r="F127" s="1"/>
      <c r="G127" s="1"/>
      <c r="H127" s="1"/>
      <c r="I127" s="1"/>
      <c r="J127" s="1"/>
      <c r="K127" s="1"/>
      <c r="L127" s="1"/>
      <c r="M127" s="1"/>
      <c r="N127" s="1"/>
      <c r="O127" s="1"/>
      <c r="P127" s="1"/>
      <c r="Q127" s="1"/>
      <c r="R127" s="1"/>
      <c r="S127" s="1"/>
    </row>
    <row r="128" spans="1:19" x14ac:dyDescent="0.3">
      <c r="A128" s="20"/>
      <c r="B128" s="1"/>
      <c r="C128" s="1"/>
      <c r="D128" s="1"/>
      <c r="E128" s="1"/>
      <c r="F128" s="1"/>
      <c r="G128" s="1"/>
      <c r="H128" s="1"/>
      <c r="I128" s="1"/>
      <c r="J128" s="1"/>
      <c r="K128" s="1"/>
      <c r="L128" s="1"/>
      <c r="M128" s="1"/>
      <c r="N128" s="1"/>
      <c r="O128" s="1"/>
      <c r="P128" s="1"/>
      <c r="Q128" s="1"/>
      <c r="R128" s="1"/>
      <c r="S128" s="1"/>
    </row>
    <row r="129" spans="1:19" x14ac:dyDescent="0.3">
      <c r="A129" s="20"/>
      <c r="B129" s="1"/>
      <c r="C129" s="1"/>
      <c r="D129" s="1"/>
      <c r="E129" s="1"/>
      <c r="F129" s="1"/>
      <c r="G129" s="1"/>
      <c r="H129" s="1"/>
      <c r="I129" s="1"/>
      <c r="J129" s="1"/>
      <c r="K129" s="1"/>
      <c r="L129" s="1"/>
      <c r="M129" s="1"/>
      <c r="N129" s="1"/>
      <c r="O129" s="1"/>
      <c r="P129" s="1"/>
      <c r="Q129" s="1"/>
      <c r="R129" s="1"/>
      <c r="S129" s="1"/>
    </row>
    <row r="130" spans="1:19" x14ac:dyDescent="0.3">
      <c r="A130" s="20"/>
      <c r="B130" s="1"/>
      <c r="C130" s="1"/>
      <c r="D130" s="1"/>
      <c r="E130" s="1"/>
      <c r="F130" s="1"/>
      <c r="G130" s="1"/>
      <c r="H130" s="1"/>
      <c r="I130" s="1"/>
      <c r="J130" s="1"/>
      <c r="K130" s="1"/>
      <c r="L130" s="1"/>
      <c r="M130" s="1"/>
      <c r="N130" s="1"/>
      <c r="O130" s="1"/>
      <c r="P130" s="1"/>
      <c r="Q130" s="1"/>
      <c r="R130" s="1"/>
      <c r="S130" s="1"/>
    </row>
    <row r="131" spans="1:19" x14ac:dyDescent="0.3">
      <c r="A131" s="20"/>
      <c r="B131" s="1"/>
      <c r="C131" s="1"/>
      <c r="D131" s="1"/>
      <c r="E131" s="1"/>
      <c r="F131" s="1"/>
      <c r="G131" s="1"/>
      <c r="H131" s="1"/>
      <c r="I131" s="1"/>
      <c r="J131" s="1"/>
      <c r="K131" s="1"/>
      <c r="L131" s="1"/>
      <c r="M131" s="1"/>
      <c r="N131" s="1"/>
      <c r="O131" s="1"/>
      <c r="P131" s="1"/>
      <c r="Q131" s="1"/>
      <c r="R131" s="1"/>
      <c r="S131" s="1"/>
    </row>
    <row r="132" spans="1:19" x14ac:dyDescent="0.3">
      <c r="A132" s="20"/>
      <c r="B132" s="1"/>
      <c r="C132" s="1"/>
      <c r="D132" s="1"/>
      <c r="E132" s="1"/>
      <c r="F132" s="1"/>
      <c r="G132" s="1"/>
      <c r="H132" s="1"/>
      <c r="I132" s="1"/>
      <c r="J132" s="1"/>
      <c r="K132" s="1"/>
      <c r="L132" s="1"/>
      <c r="M132" s="1"/>
      <c r="N132" s="1"/>
      <c r="O132" s="1"/>
      <c r="P132" s="1"/>
      <c r="Q132" s="1"/>
      <c r="R132" s="1"/>
      <c r="S132" s="1"/>
    </row>
    <row r="133" spans="1:19" x14ac:dyDescent="0.3">
      <c r="A133" s="20"/>
      <c r="B133" s="1"/>
      <c r="C133" s="1"/>
      <c r="D133" s="1"/>
      <c r="E133" s="1"/>
      <c r="F133" s="1"/>
      <c r="G133" s="1"/>
      <c r="H133" s="1"/>
      <c r="I133" s="1"/>
      <c r="J133" s="1"/>
      <c r="K133" s="1"/>
      <c r="L133" s="1"/>
      <c r="M133" s="1"/>
      <c r="N133" s="1"/>
      <c r="O133" s="1"/>
      <c r="P133" s="1"/>
      <c r="Q133" s="1"/>
      <c r="R133" s="1"/>
      <c r="S133" s="1"/>
    </row>
    <row r="134" spans="1:19" x14ac:dyDescent="0.3">
      <c r="A134" s="20"/>
      <c r="B134" s="1"/>
      <c r="C134" s="1"/>
      <c r="D134" s="1"/>
      <c r="E134" s="1"/>
      <c r="F134" s="1"/>
      <c r="G134" s="1"/>
      <c r="H134" s="1"/>
      <c r="I134" s="1"/>
      <c r="J134" s="1"/>
      <c r="K134" s="1"/>
      <c r="L134" s="1"/>
      <c r="M134" s="1"/>
      <c r="N134" s="1"/>
      <c r="O134" s="1"/>
      <c r="P134" s="1"/>
      <c r="Q134" s="1"/>
      <c r="R134" s="1"/>
      <c r="S134" s="1"/>
    </row>
    <row r="135" spans="1:19" x14ac:dyDescent="0.3">
      <c r="A135" s="20"/>
      <c r="B135" s="1"/>
      <c r="C135" s="1"/>
      <c r="D135" s="1"/>
      <c r="E135" s="1"/>
      <c r="F135" s="1"/>
      <c r="G135" s="1"/>
      <c r="H135" s="1"/>
      <c r="I135" s="1"/>
      <c r="J135" s="1"/>
      <c r="K135" s="1"/>
      <c r="L135" s="1"/>
      <c r="M135" s="1"/>
      <c r="N135" s="1"/>
      <c r="O135" s="1"/>
      <c r="P135" s="1"/>
      <c r="Q135" s="1"/>
      <c r="R135" s="1"/>
      <c r="S135" s="1"/>
    </row>
    <row r="136" spans="1:19" x14ac:dyDescent="0.3">
      <c r="A136" s="20"/>
      <c r="B136" s="1"/>
      <c r="C136" s="1"/>
      <c r="D136" s="1"/>
      <c r="E136" s="1"/>
      <c r="F136" s="1"/>
      <c r="G136" s="1"/>
      <c r="H136" s="1"/>
      <c r="I136" s="1"/>
      <c r="J136" s="1"/>
      <c r="K136" s="1"/>
      <c r="L136" s="1"/>
      <c r="M136" s="1"/>
      <c r="N136" s="1"/>
      <c r="O136" s="1"/>
      <c r="P136" s="1"/>
      <c r="Q136" s="1"/>
      <c r="R136" s="1"/>
      <c r="S136" s="1"/>
    </row>
    <row r="137" spans="1:19" x14ac:dyDescent="0.3">
      <c r="A137" s="20"/>
      <c r="B137" s="1"/>
      <c r="C137" s="1"/>
      <c r="D137" s="1"/>
      <c r="E137" s="1"/>
      <c r="F137" s="1"/>
      <c r="G137" s="1"/>
      <c r="H137" s="1"/>
      <c r="I137" s="1"/>
      <c r="J137" s="1"/>
      <c r="K137" s="1"/>
      <c r="L137" s="1"/>
      <c r="M137" s="1"/>
      <c r="N137" s="1"/>
      <c r="O137" s="1"/>
      <c r="P137" s="1"/>
      <c r="Q137" s="1"/>
      <c r="R137" s="1"/>
      <c r="S137" s="1"/>
    </row>
    <row r="138" spans="1:19" x14ac:dyDescent="0.3">
      <c r="A138" s="20"/>
      <c r="B138" s="1"/>
      <c r="C138" s="1"/>
      <c r="D138" s="1"/>
      <c r="E138" s="1"/>
      <c r="F138" s="1"/>
      <c r="G138" s="1"/>
      <c r="H138" s="1"/>
      <c r="I138" s="1"/>
      <c r="J138" s="1"/>
      <c r="K138" s="1"/>
      <c r="L138" s="1"/>
      <c r="M138" s="1"/>
      <c r="N138" s="1"/>
      <c r="O138" s="1"/>
      <c r="P138" s="1"/>
      <c r="Q138" s="1"/>
      <c r="R138" s="1"/>
      <c r="S138" s="1"/>
    </row>
    <row r="139" spans="1:19" x14ac:dyDescent="0.3">
      <c r="A139" s="20"/>
      <c r="B139" s="1"/>
      <c r="C139" s="1"/>
      <c r="D139" s="1"/>
      <c r="E139" s="1"/>
      <c r="F139" s="1"/>
      <c r="G139" s="1"/>
      <c r="H139" s="1"/>
      <c r="I139" s="1"/>
      <c r="J139" s="1"/>
      <c r="K139" s="1"/>
      <c r="L139" s="1"/>
      <c r="M139" s="1"/>
      <c r="N139" s="1"/>
      <c r="O139" s="1"/>
      <c r="P139" s="1"/>
      <c r="Q139" s="1"/>
      <c r="R139" s="1"/>
      <c r="S139" s="1"/>
    </row>
    <row r="140" spans="1:19" x14ac:dyDescent="0.3">
      <c r="A140" s="20"/>
      <c r="B140" s="1"/>
      <c r="C140" s="1"/>
      <c r="D140" s="1"/>
      <c r="E140" s="1"/>
      <c r="F140" s="1"/>
      <c r="G140" s="1"/>
      <c r="H140" s="1"/>
      <c r="I140" s="1"/>
      <c r="J140" s="1"/>
      <c r="K140" s="1"/>
      <c r="L140" s="1"/>
      <c r="M140" s="1"/>
      <c r="N140" s="1"/>
      <c r="O140" s="1"/>
      <c r="P140" s="1"/>
      <c r="Q140" s="1"/>
      <c r="R140" s="1"/>
      <c r="S140" s="1"/>
    </row>
    <row r="141" spans="1:19" x14ac:dyDescent="0.3">
      <c r="A141" s="20"/>
      <c r="B141" s="1"/>
      <c r="C141" s="1"/>
      <c r="D141" s="1"/>
      <c r="E141" s="1"/>
      <c r="F141" s="1"/>
      <c r="G141" s="1"/>
      <c r="H141" s="1"/>
      <c r="I141" s="1"/>
      <c r="J141" s="1"/>
      <c r="K141" s="1"/>
      <c r="L141" s="1"/>
      <c r="M141" s="1"/>
      <c r="N141" s="1"/>
      <c r="O141" s="1"/>
      <c r="P141" s="1"/>
      <c r="Q141" s="1"/>
      <c r="R141" s="1"/>
      <c r="S141" s="1"/>
    </row>
    <row r="142" spans="1:19" x14ac:dyDescent="0.3">
      <c r="A142" s="20"/>
      <c r="B142" s="1"/>
      <c r="C142" s="1"/>
      <c r="D142" s="1"/>
      <c r="E142" s="1"/>
      <c r="F142" s="1"/>
      <c r="G142" s="1"/>
      <c r="H142" s="1"/>
      <c r="I142" s="1"/>
      <c r="J142" s="1"/>
      <c r="K142" s="1"/>
      <c r="L142" s="1"/>
      <c r="M142" s="1"/>
      <c r="N142" s="1"/>
      <c r="O142" s="1"/>
      <c r="P142" s="1"/>
      <c r="Q142" s="1"/>
      <c r="R142" s="1"/>
      <c r="S142" s="1"/>
    </row>
    <row r="143" spans="1:19" x14ac:dyDescent="0.3">
      <c r="A143" s="20"/>
      <c r="B143" s="1"/>
      <c r="C143" s="1"/>
      <c r="D143" s="1"/>
      <c r="E143" s="1"/>
      <c r="F143" s="1"/>
      <c r="G143" s="1"/>
      <c r="H143" s="1"/>
      <c r="I143" s="1"/>
      <c r="J143" s="1"/>
      <c r="K143" s="1"/>
      <c r="L143" s="1"/>
      <c r="M143" s="1"/>
      <c r="N143" s="1"/>
      <c r="O143" s="1"/>
      <c r="P143" s="1"/>
      <c r="Q143" s="1"/>
      <c r="R143" s="1"/>
      <c r="S143" s="1"/>
    </row>
    <row r="144" spans="1:19" x14ac:dyDescent="0.3">
      <c r="A144" s="20"/>
      <c r="B144" s="1"/>
      <c r="C144" s="1"/>
      <c r="D144" s="1"/>
      <c r="E144" s="1"/>
      <c r="F144" s="1"/>
      <c r="G144" s="1"/>
      <c r="H144" s="1"/>
      <c r="I144" s="1"/>
      <c r="J144" s="1"/>
      <c r="K144" s="1"/>
      <c r="L144" s="1"/>
      <c r="M144" s="1"/>
      <c r="N144" s="1"/>
      <c r="O144" s="1"/>
      <c r="P144" s="1"/>
      <c r="Q144" s="1"/>
      <c r="R144" s="1"/>
      <c r="S144" s="1"/>
    </row>
    <row r="145" spans="1:19" x14ac:dyDescent="0.3">
      <c r="A145" s="20"/>
      <c r="B145" s="1"/>
      <c r="C145" s="1"/>
      <c r="D145" s="1"/>
      <c r="E145" s="1"/>
      <c r="F145" s="1"/>
      <c r="G145" s="1"/>
      <c r="H145" s="1"/>
      <c r="I145" s="1"/>
      <c r="J145" s="1"/>
      <c r="K145" s="1"/>
      <c r="L145" s="1"/>
      <c r="M145" s="1"/>
      <c r="N145" s="1"/>
      <c r="O145" s="1"/>
      <c r="P145" s="1"/>
      <c r="Q145" s="1"/>
      <c r="R145" s="1"/>
      <c r="S145" s="1"/>
    </row>
    <row r="146" spans="1:19" x14ac:dyDescent="0.3">
      <c r="A146" s="20"/>
      <c r="B146" s="1"/>
      <c r="C146" s="1"/>
      <c r="D146" s="1"/>
      <c r="E146" s="1"/>
      <c r="F146" s="1"/>
      <c r="G146" s="1"/>
      <c r="H146" s="1"/>
      <c r="I146" s="1"/>
      <c r="J146" s="1"/>
      <c r="K146" s="1"/>
      <c r="L146" s="1"/>
      <c r="M146" s="1"/>
      <c r="N146" s="1"/>
      <c r="O146" s="1"/>
      <c r="P146" s="1"/>
      <c r="Q146" s="1"/>
      <c r="R146" s="1"/>
      <c r="S146" s="1"/>
    </row>
    <row r="147" spans="1:19" x14ac:dyDescent="0.3">
      <c r="A147" s="20"/>
      <c r="B147" s="1"/>
      <c r="C147" s="1"/>
      <c r="D147" s="1"/>
      <c r="E147" s="1"/>
      <c r="F147" s="1"/>
      <c r="G147" s="1"/>
      <c r="H147" s="1"/>
      <c r="I147" s="1"/>
      <c r="J147" s="1"/>
      <c r="K147" s="1"/>
      <c r="L147" s="1"/>
      <c r="M147" s="1"/>
      <c r="N147" s="1"/>
      <c r="O147" s="1"/>
      <c r="P147" s="1"/>
      <c r="Q147" s="1"/>
      <c r="R147" s="1"/>
      <c r="S147" s="1"/>
    </row>
    <row r="148" spans="1:19" x14ac:dyDescent="0.3">
      <c r="A148" s="20"/>
      <c r="B148" s="1"/>
      <c r="C148" s="1"/>
      <c r="D148" s="1"/>
      <c r="E148" s="1"/>
      <c r="F148" s="1"/>
      <c r="G148" s="1"/>
      <c r="H148" s="1"/>
      <c r="I148" s="1"/>
      <c r="J148" s="1"/>
      <c r="K148" s="1"/>
      <c r="L148" s="1"/>
      <c r="M148" s="1"/>
      <c r="N148" s="1"/>
      <c r="O148" s="1"/>
      <c r="P148" s="1"/>
      <c r="Q148" s="1"/>
      <c r="R148" s="1"/>
      <c r="S148" s="1"/>
    </row>
    <row r="149" spans="1:19" x14ac:dyDescent="0.3">
      <c r="A149" s="20"/>
      <c r="B149" s="1"/>
      <c r="C149" s="1"/>
      <c r="D149" s="1"/>
      <c r="E149" s="1"/>
      <c r="F149" s="1"/>
      <c r="G149" s="1"/>
      <c r="H149" s="1"/>
      <c r="I149" s="1"/>
      <c r="J149" s="1"/>
      <c r="K149" s="1"/>
      <c r="L149" s="1"/>
      <c r="M149" s="1"/>
      <c r="N149" s="1"/>
      <c r="O149" s="1"/>
      <c r="P149" s="1"/>
      <c r="Q149" s="1"/>
      <c r="R149" s="1"/>
      <c r="S149" s="1"/>
    </row>
    <row r="150" spans="1:19" x14ac:dyDescent="0.3">
      <c r="A150" s="20"/>
      <c r="B150" s="1"/>
      <c r="C150" s="1"/>
      <c r="D150" s="1"/>
      <c r="E150" s="1"/>
      <c r="F150" s="1"/>
      <c r="G150" s="1"/>
      <c r="H150" s="1"/>
      <c r="I150" s="1"/>
      <c r="J150" s="1"/>
      <c r="K150" s="1"/>
      <c r="L150" s="1"/>
      <c r="M150" s="1"/>
      <c r="N150" s="1"/>
      <c r="O150" s="1"/>
      <c r="P150" s="1"/>
      <c r="Q150" s="1"/>
      <c r="R150" s="1"/>
      <c r="S150" s="1"/>
    </row>
    <row r="151" spans="1:19" x14ac:dyDescent="0.3">
      <c r="A151" s="20"/>
      <c r="B151" s="1"/>
      <c r="C151" s="1"/>
      <c r="D151" s="1"/>
      <c r="E151" s="1"/>
      <c r="F151" s="1"/>
      <c r="G151" s="1"/>
      <c r="H151" s="1"/>
      <c r="I151" s="1"/>
      <c r="J151" s="1"/>
      <c r="K151" s="1"/>
      <c r="L151" s="1"/>
      <c r="M151" s="1"/>
      <c r="N151" s="1"/>
      <c r="O151" s="1"/>
      <c r="P151" s="1"/>
      <c r="Q151" s="1"/>
      <c r="R151" s="1"/>
      <c r="S151" s="1"/>
    </row>
    <row r="152" spans="1:19" x14ac:dyDescent="0.3">
      <c r="A152" s="20"/>
      <c r="B152" s="1"/>
      <c r="C152" s="1"/>
      <c r="D152" s="1"/>
      <c r="E152" s="1"/>
      <c r="F152" s="1"/>
      <c r="G152" s="1"/>
      <c r="H152" s="1"/>
      <c r="I152" s="1"/>
      <c r="J152" s="1"/>
      <c r="K152" s="1"/>
      <c r="L152" s="1"/>
      <c r="M152" s="1"/>
      <c r="N152" s="1"/>
      <c r="O152" s="1"/>
      <c r="P152" s="1"/>
      <c r="Q152" s="1"/>
      <c r="R152" s="1"/>
      <c r="S152" s="1"/>
    </row>
    <row r="153" spans="1:19" x14ac:dyDescent="0.3">
      <c r="A153" s="20"/>
      <c r="B153" s="1"/>
      <c r="C153" s="1"/>
      <c r="D153" s="1"/>
      <c r="E153" s="1"/>
      <c r="F153" s="1"/>
      <c r="G153" s="1"/>
      <c r="H153" s="1"/>
      <c r="I153" s="1"/>
      <c r="J153" s="1"/>
      <c r="K153" s="1"/>
      <c r="L153" s="1"/>
      <c r="M153" s="1"/>
      <c r="N153" s="1"/>
      <c r="O153" s="1"/>
      <c r="P153" s="1"/>
      <c r="Q153" s="1"/>
      <c r="R153" s="1"/>
      <c r="S153" s="1"/>
    </row>
    <row r="154" spans="1:19" x14ac:dyDescent="0.3">
      <c r="A154" s="20"/>
      <c r="B154" s="1"/>
      <c r="C154" s="1"/>
      <c r="D154" s="1"/>
      <c r="E154" s="1"/>
      <c r="F154" s="1"/>
      <c r="G154" s="1"/>
      <c r="H154" s="1"/>
      <c r="I154" s="1"/>
      <c r="J154" s="1"/>
      <c r="K154" s="1"/>
      <c r="L154" s="1"/>
      <c r="M154" s="1"/>
      <c r="N154" s="1"/>
      <c r="O154" s="1"/>
      <c r="P154" s="1"/>
      <c r="Q154" s="1"/>
      <c r="R154" s="1"/>
      <c r="S154" s="1"/>
    </row>
    <row r="155" spans="1:19" x14ac:dyDescent="0.3">
      <c r="A155" s="20"/>
      <c r="B155" s="1"/>
      <c r="C155" s="1"/>
      <c r="D155" s="1"/>
      <c r="E155" s="1"/>
      <c r="F155" s="1"/>
      <c r="G155" s="1"/>
      <c r="H155" s="1"/>
      <c r="I155" s="1"/>
      <c r="J155" s="1"/>
      <c r="K155" s="1"/>
      <c r="L155" s="1"/>
      <c r="M155" s="1"/>
      <c r="N155" s="1"/>
      <c r="O155" s="1"/>
      <c r="P155" s="1"/>
      <c r="Q155" s="1"/>
      <c r="R155" s="1"/>
      <c r="S155" s="1"/>
    </row>
    <row r="156" spans="1:19" x14ac:dyDescent="0.3">
      <c r="A156" s="20"/>
      <c r="B156" s="1"/>
      <c r="C156" s="1"/>
      <c r="D156" s="1"/>
      <c r="E156" s="1"/>
      <c r="F156" s="1"/>
      <c r="G156" s="1"/>
      <c r="H156" s="1"/>
      <c r="I156" s="1"/>
      <c r="J156" s="1"/>
      <c r="K156" s="1"/>
      <c r="L156" s="1"/>
      <c r="M156" s="1"/>
      <c r="N156" s="1"/>
      <c r="O156" s="1"/>
      <c r="P156" s="1"/>
      <c r="Q156" s="1"/>
      <c r="R156" s="1"/>
      <c r="S156" s="1"/>
    </row>
    <row r="157" spans="1:19" x14ac:dyDescent="0.3">
      <c r="A157" s="20"/>
      <c r="B157" s="1"/>
      <c r="C157" s="1"/>
      <c r="D157" s="1"/>
      <c r="E157" s="1"/>
      <c r="F157" s="1"/>
      <c r="G157" s="1"/>
      <c r="H157" s="1"/>
      <c r="I157" s="1"/>
      <c r="J157" s="1"/>
      <c r="K157" s="1"/>
      <c r="L157" s="1"/>
      <c r="M157" s="1"/>
      <c r="N157" s="1"/>
      <c r="O157" s="1"/>
      <c r="P157" s="1"/>
      <c r="Q157" s="1"/>
      <c r="R157" s="1"/>
      <c r="S157" s="1"/>
    </row>
    <row r="158" spans="1:19" x14ac:dyDescent="0.3">
      <c r="A158" s="20"/>
      <c r="B158" s="1"/>
      <c r="C158" s="1"/>
      <c r="D158" s="1"/>
      <c r="E158" s="1"/>
      <c r="F158" s="1"/>
      <c r="G158" s="1"/>
      <c r="H158" s="1"/>
      <c r="I158" s="1"/>
      <c r="J158" s="1"/>
      <c r="K158" s="1"/>
      <c r="L158" s="1"/>
      <c r="M158" s="1"/>
      <c r="N158" s="1"/>
      <c r="O158" s="1"/>
      <c r="P158" s="1"/>
      <c r="Q158" s="1"/>
      <c r="R158" s="1"/>
      <c r="S158" s="1"/>
    </row>
    <row r="159" spans="1:19" x14ac:dyDescent="0.3">
      <c r="A159" s="20"/>
      <c r="B159" s="1"/>
      <c r="C159" s="1"/>
      <c r="D159" s="1"/>
      <c r="E159" s="1"/>
      <c r="F159" s="1"/>
      <c r="G159" s="1"/>
      <c r="H159" s="1"/>
      <c r="I159" s="1"/>
      <c r="J159" s="1"/>
      <c r="K159" s="1"/>
      <c r="L159" s="1"/>
      <c r="M159" s="1"/>
      <c r="N159" s="1"/>
      <c r="O159" s="1"/>
      <c r="P159" s="1"/>
      <c r="Q159" s="1"/>
      <c r="R159" s="1"/>
      <c r="S159" s="1"/>
    </row>
    <row r="160" spans="1:19" x14ac:dyDescent="0.3">
      <c r="A160" s="20"/>
      <c r="B160" s="1"/>
      <c r="C160" s="1"/>
      <c r="D160" s="1"/>
      <c r="E160" s="1"/>
      <c r="F160" s="1"/>
      <c r="G160" s="1"/>
      <c r="H160" s="1"/>
      <c r="I160" s="1"/>
      <c r="J160" s="1"/>
      <c r="K160" s="1"/>
      <c r="L160" s="1"/>
      <c r="M160" s="1"/>
      <c r="N160" s="1"/>
      <c r="O160" s="1"/>
      <c r="P160" s="1"/>
      <c r="Q160" s="1"/>
      <c r="R160" s="1"/>
      <c r="S160" s="1"/>
    </row>
    <row r="161" spans="1:19" x14ac:dyDescent="0.3">
      <c r="A161" s="20"/>
      <c r="B161" s="1"/>
      <c r="C161" s="1"/>
      <c r="D161" s="1"/>
      <c r="E161" s="1"/>
      <c r="F161" s="1"/>
      <c r="G161" s="1"/>
      <c r="H161" s="1"/>
      <c r="I161" s="1"/>
      <c r="J161" s="1"/>
      <c r="K161" s="1"/>
      <c r="L161" s="1"/>
      <c r="M161" s="1"/>
      <c r="N161" s="1"/>
      <c r="O161" s="1"/>
      <c r="P161" s="1"/>
      <c r="Q161" s="1"/>
      <c r="R161" s="1"/>
      <c r="S161" s="1"/>
    </row>
    <row r="162" spans="1:19" x14ac:dyDescent="0.3">
      <c r="A162" s="20"/>
      <c r="B162" s="1"/>
      <c r="C162" s="1"/>
      <c r="D162" s="1"/>
      <c r="E162" s="1"/>
      <c r="F162" s="1"/>
      <c r="G162" s="1"/>
      <c r="H162" s="1"/>
      <c r="I162" s="1"/>
      <c r="J162" s="1"/>
      <c r="K162" s="1"/>
      <c r="L162" s="1"/>
      <c r="M162" s="1"/>
      <c r="N162" s="1"/>
      <c r="O162" s="1"/>
      <c r="P162" s="1"/>
      <c r="Q162" s="1"/>
      <c r="R162" s="1"/>
      <c r="S162" s="1"/>
    </row>
    <row r="163" spans="1:19" x14ac:dyDescent="0.3">
      <c r="A163" s="20"/>
      <c r="B163" s="1"/>
      <c r="C163" s="1"/>
      <c r="D163" s="1"/>
      <c r="E163" s="1"/>
      <c r="F163" s="1"/>
      <c r="G163" s="1"/>
      <c r="H163" s="1"/>
      <c r="I163" s="1"/>
      <c r="J163" s="1"/>
      <c r="K163" s="1"/>
      <c r="L163" s="1"/>
      <c r="M163" s="1"/>
      <c r="N163" s="1"/>
      <c r="O163" s="1"/>
      <c r="P163" s="1"/>
      <c r="Q163" s="1"/>
      <c r="R163" s="1"/>
      <c r="S163" s="1"/>
    </row>
    <row r="164" spans="1:19" x14ac:dyDescent="0.3">
      <c r="A164" s="20"/>
      <c r="B164" s="1"/>
      <c r="C164" s="1"/>
      <c r="D164" s="1"/>
      <c r="E164" s="1"/>
      <c r="F164" s="1"/>
      <c r="G164" s="1"/>
      <c r="H164" s="1"/>
      <c r="I164" s="1"/>
      <c r="J164" s="1"/>
      <c r="K164" s="1"/>
      <c r="L164" s="1"/>
      <c r="M164" s="1"/>
      <c r="N164" s="1"/>
      <c r="O164" s="1"/>
      <c r="P164" s="1"/>
      <c r="Q164" s="1"/>
      <c r="R164" s="1"/>
      <c r="S164" s="1"/>
    </row>
    <row r="165" spans="1:19" x14ac:dyDescent="0.3">
      <c r="A165" s="20"/>
      <c r="B165" s="1"/>
      <c r="C165" s="1"/>
      <c r="D165" s="1"/>
      <c r="E165" s="1"/>
      <c r="F165" s="1"/>
      <c r="G165" s="1"/>
      <c r="H165" s="1"/>
      <c r="I165" s="1"/>
      <c r="J165" s="1"/>
      <c r="K165" s="1"/>
      <c r="L165" s="1"/>
      <c r="M165" s="1"/>
      <c r="N165" s="1"/>
      <c r="O165" s="1"/>
      <c r="P165" s="1"/>
      <c r="Q165" s="1"/>
      <c r="R165" s="1"/>
      <c r="S165" s="1"/>
    </row>
    <row r="166" spans="1:19" x14ac:dyDescent="0.3">
      <c r="A166" s="20"/>
      <c r="B166" s="1"/>
      <c r="C166" s="1"/>
      <c r="D166" s="1"/>
      <c r="E166" s="1"/>
      <c r="F166" s="1"/>
      <c r="G166" s="1"/>
      <c r="H166" s="1"/>
      <c r="I166" s="1"/>
      <c r="J166" s="1"/>
      <c r="K166" s="1"/>
      <c r="L166" s="1"/>
      <c r="M166" s="1"/>
      <c r="N166" s="1"/>
      <c r="O166" s="1"/>
      <c r="P166" s="1"/>
      <c r="Q166" s="1"/>
      <c r="R166" s="1"/>
      <c r="S166" s="1"/>
    </row>
    <row r="167" spans="1:19" x14ac:dyDescent="0.3">
      <c r="A167" s="20"/>
      <c r="B167" s="1"/>
      <c r="C167" s="1"/>
      <c r="D167" s="1"/>
      <c r="E167" s="1"/>
      <c r="F167" s="1"/>
      <c r="G167" s="1"/>
      <c r="H167" s="1"/>
      <c r="I167" s="1"/>
      <c r="J167" s="1"/>
      <c r="K167" s="1"/>
      <c r="L167" s="1"/>
      <c r="M167" s="1"/>
      <c r="N167" s="1"/>
      <c r="O167" s="1"/>
      <c r="P167" s="1"/>
      <c r="Q167" s="1"/>
      <c r="R167" s="1"/>
      <c r="S167" s="1"/>
    </row>
    <row r="168" spans="1:19" x14ac:dyDescent="0.3">
      <c r="A168" s="20"/>
      <c r="B168" s="1"/>
      <c r="C168" s="1"/>
      <c r="D168" s="1"/>
      <c r="E168" s="1"/>
      <c r="F168" s="1"/>
      <c r="G168" s="1"/>
      <c r="H168" s="1"/>
      <c r="I168" s="1"/>
      <c r="J168" s="1"/>
      <c r="K168" s="1"/>
      <c r="L168" s="1"/>
      <c r="M168" s="1"/>
      <c r="N168" s="1"/>
      <c r="O168" s="1"/>
      <c r="P168" s="1"/>
      <c r="Q168" s="1"/>
      <c r="R168" s="1"/>
      <c r="S168" s="1"/>
    </row>
    <row r="169" spans="1:19" x14ac:dyDescent="0.3">
      <c r="A169" s="20"/>
      <c r="B169" s="1"/>
      <c r="C169" s="1"/>
      <c r="D169" s="1"/>
      <c r="E169" s="1"/>
      <c r="F169" s="1"/>
      <c r="G169" s="1"/>
      <c r="H169" s="1"/>
      <c r="I169" s="1"/>
      <c r="J169" s="1"/>
      <c r="K169" s="1"/>
      <c r="L169" s="1"/>
      <c r="M169" s="1"/>
      <c r="N169" s="1"/>
      <c r="O169" s="1"/>
      <c r="P169" s="1"/>
      <c r="Q169" s="1"/>
      <c r="R169" s="1"/>
      <c r="S169" s="1"/>
    </row>
    <row r="170" spans="1:19" x14ac:dyDescent="0.3">
      <c r="A170" s="20"/>
      <c r="B170" s="1"/>
      <c r="C170" s="1"/>
      <c r="D170" s="1"/>
      <c r="E170" s="1"/>
      <c r="F170" s="1"/>
      <c r="G170" s="1"/>
      <c r="H170" s="1"/>
      <c r="I170" s="1"/>
      <c r="J170" s="1"/>
      <c r="K170" s="1"/>
      <c r="L170" s="1"/>
      <c r="M170" s="1"/>
      <c r="N170" s="1"/>
      <c r="O170" s="1"/>
      <c r="P170" s="1"/>
      <c r="Q170" s="1"/>
      <c r="R170" s="1"/>
      <c r="S170" s="1"/>
    </row>
    <row r="171" spans="1:19" x14ac:dyDescent="0.3">
      <c r="A171" s="20"/>
      <c r="B171" s="1"/>
      <c r="C171" s="1"/>
      <c r="D171" s="1"/>
      <c r="E171" s="1"/>
      <c r="F171" s="1"/>
      <c r="G171" s="1"/>
      <c r="H171" s="1"/>
      <c r="I171" s="1"/>
      <c r="J171" s="1"/>
      <c r="K171" s="1"/>
      <c r="L171" s="1"/>
      <c r="M171" s="1"/>
      <c r="N171" s="1"/>
      <c r="O171" s="1"/>
      <c r="P171" s="1"/>
      <c r="Q171" s="1"/>
      <c r="R171" s="1"/>
      <c r="S171" s="1"/>
    </row>
    <row r="172" spans="1:19" x14ac:dyDescent="0.3">
      <c r="A172" s="20"/>
      <c r="B172" s="1"/>
      <c r="C172" s="1"/>
      <c r="D172" s="1"/>
      <c r="E172" s="1"/>
      <c r="F172" s="1"/>
      <c r="G172" s="1"/>
      <c r="H172" s="1"/>
      <c r="I172" s="1"/>
      <c r="J172" s="1"/>
      <c r="K172" s="1"/>
      <c r="L172" s="1"/>
      <c r="M172" s="1"/>
      <c r="N172" s="1"/>
      <c r="O172" s="1"/>
      <c r="P172" s="1"/>
      <c r="Q172" s="1"/>
      <c r="R172" s="1"/>
      <c r="S172" s="1"/>
    </row>
    <row r="173" spans="1:19" x14ac:dyDescent="0.3">
      <c r="A173" s="20"/>
      <c r="B173" s="1"/>
      <c r="C173" s="1"/>
      <c r="D173" s="1"/>
      <c r="E173" s="1"/>
      <c r="F173" s="1"/>
      <c r="G173" s="1"/>
      <c r="H173" s="1"/>
      <c r="I173" s="1"/>
      <c r="J173" s="1"/>
      <c r="K173" s="1"/>
      <c r="L173" s="1"/>
      <c r="M173" s="1"/>
      <c r="N173" s="1"/>
      <c r="O173" s="1"/>
      <c r="P173" s="1"/>
      <c r="Q173" s="1"/>
      <c r="R173" s="1"/>
      <c r="S173" s="1"/>
    </row>
    <row r="174" spans="1:19" x14ac:dyDescent="0.3">
      <c r="A174" s="20"/>
      <c r="B174" s="1"/>
      <c r="C174" s="1"/>
      <c r="D174" s="1"/>
      <c r="E174" s="1"/>
      <c r="F174" s="1"/>
      <c r="G174" s="1"/>
      <c r="H174" s="1"/>
      <c r="I174" s="1"/>
      <c r="J174" s="1"/>
      <c r="K174" s="1"/>
      <c r="L174" s="1"/>
      <c r="M174" s="1"/>
      <c r="N174" s="1"/>
      <c r="O174" s="1"/>
      <c r="P174" s="1"/>
      <c r="Q174" s="1"/>
      <c r="R174" s="1"/>
      <c r="S174" s="1"/>
    </row>
    <row r="175" spans="1:19" x14ac:dyDescent="0.3">
      <c r="A175" s="20"/>
      <c r="B175" s="1"/>
      <c r="C175" s="1"/>
      <c r="D175" s="1"/>
      <c r="E175" s="1"/>
      <c r="F175" s="1"/>
      <c r="G175" s="1"/>
      <c r="H175" s="1"/>
      <c r="I175" s="1"/>
      <c r="J175" s="1"/>
      <c r="K175" s="1"/>
      <c r="L175" s="1"/>
      <c r="M175" s="1"/>
      <c r="N175" s="1"/>
      <c r="O175" s="1"/>
      <c r="P175" s="1"/>
      <c r="Q175" s="1"/>
      <c r="R175" s="1"/>
      <c r="S175" s="1"/>
    </row>
    <row r="176" spans="1:19" x14ac:dyDescent="0.3">
      <c r="A176" s="20"/>
      <c r="B176" s="1"/>
      <c r="C176" s="1"/>
      <c r="D176" s="1"/>
      <c r="E176" s="1"/>
      <c r="F176" s="1"/>
      <c r="G176" s="1"/>
      <c r="H176" s="1"/>
      <c r="I176" s="1"/>
      <c r="J176" s="1"/>
      <c r="K176" s="1"/>
      <c r="L176" s="1"/>
      <c r="M176" s="1"/>
      <c r="N176" s="1"/>
      <c r="O176" s="1"/>
      <c r="P176" s="1"/>
      <c r="Q176" s="1"/>
      <c r="R176" s="1"/>
      <c r="S176" s="1"/>
    </row>
    <row r="177" spans="1:19" x14ac:dyDescent="0.3">
      <c r="A177" s="20"/>
      <c r="B177" s="1"/>
      <c r="C177" s="1"/>
      <c r="D177" s="1"/>
      <c r="E177" s="1"/>
      <c r="F177" s="1"/>
      <c r="G177" s="1"/>
      <c r="H177" s="1"/>
      <c r="I177" s="1"/>
      <c r="J177" s="1"/>
      <c r="K177" s="1"/>
      <c r="L177" s="1"/>
      <c r="M177" s="1"/>
      <c r="N177" s="1"/>
      <c r="O177" s="1"/>
      <c r="P177" s="1"/>
      <c r="Q177" s="1"/>
      <c r="R177" s="1"/>
      <c r="S177" s="1"/>
    </row>
    <row r="178" spans="1:19" x14ac:dyDescent="0.3">
      <c r="A178" s="20"/>
      <c r="B178" s="1"/>
      <c r="C178" s="1"/>
      <c r="D178" s="1"/>
      <c r="E178" s="1"/>
      <c r="F178" s="1"/>
      <c r="G178" s="1"/>
      <c r="H178" s="1"/>
      <c r="I178" s="1"/>
      <c r="J178" s="1"/>
      <c r="K178" s="1"/>
      <c r="L178" s="1"/>
      <c r="M178" s="1"/>
      <c r="N178" s="1"/>
      <c r="O178" s="1"/>
      <c r="P178" s="1"/>
      <c r="Q178" s="1"/>
      <c r="R178" s="1"/>
      <c r="S178" s="1"/>
    </row>
    <row r="179" spans="1:19" x14ac:dyDescent="0.3">
      <c r="A179" s="20"/>
      <c r="B179" s="1"/>
      <c r="C179" s="1"/>
      <c r="D179" s="1"/>
      <c r="E179" s="1"/>
      <c r="F179" s="1"/>
      <c r="G179" s="1"/>
      <c r="H179" s="1"/>
      <c r="I179" s="1"/>
      <c r="J179" s="1"/>
      <c r="K179" s="1"/>
      <c r="L179" s="1"/>
      <c r="M179" s="1"/>
      <c r="N179" s="1"/>
      <c r="O179" s="1"/>
      <c r="P179" s="1"/>
      <c r="Q179" s="1"/>
      <c r="R179" s="1"/>
      <c r="S179" s="1"/>
    </row>
    <row r="180" spans="1:19" x14ac:dyDescent="0.3">
      <c r="A180" s="20"/>
      <c r="B180" s="1"/>
      <c r="C180" s="1"/>
      <c r="D180" s="1"/>
      <c r="E180" s="1"/>
      <c r="F180" s="1"/>
      <c r="G180" s="1"/>
      <c r="H180" s="1"/>
      <c r="I180" s="1"/>
      <c r="J180" s="1"/>
      <c r="K180" s="1"/>
      <c r="L180" s="1"/>
      <c r="M180" s="1"/>
      <c r="N180" s="1"/>
      <c r="O180" s="1"/>
      <c r="P180" s="1"/>
      <c r="Q180" s="1"/>
      <c r="R180" s="1"/>
      <c r="S180" s="1"/>
    </row>
    <row r="181" spans="1:19" x14ac:dyDescent="0.3">
      <c r="A181" s="20"/>
      <c r="B181" s="1"/>
      <c r="C181" s="1"/>
      <c r="D181" s="1"/>
      <c r="E181" s="1"/>
      <c r="F181" s="1"/>
      <c r="G181" s="1"/>
      <c r="H181" s="1"/>
      <c r="I181" s="1"/>
      <c r="J181" s="1"/>
      <c r="K181" s="1"/>
      <c r="L181" s="1"/>
      <c r="M181" s="1"/>
      <c r="N181" s="1"/>
      <c r="O181" s="1"/>
      <c r="P181" s="1"/>
      <c r="Q181" s="1"/>
      <c r="R181" s="1"/>
      <c r="S181" s="1"/>
    </row>
    <row r="182" spans="1:19" x14ac:dyDescent="0.3">
      <c r="A182" s="20"/>
      <c r="B182" s="1"/>
      <c r="C182" s="1"/>
      <c r="D182" s="1"/>
      <c r="E182" s="1"/>
      <c r="F182" s="1"/>
      <c r="G182" s="1"/>
      <c r="H182" s="1"/>
      <c r="I182" s="1"/>
      <c r="J182" s="1"/>
      <c r="K182" s="1"/>
      <c r="L182" s="1"/>
      <c r="M182" s="1"/>
      <c r="N182" s="1"/>
      <c r="O182" s="1"/>
      <c r="P182" s="1"/>
      <c r="Q182" s="1"/>
      <c r="R182" s="1"/>
      <c r="S182" s="1"/>
    </row>
    <row r="183" spans="1:19" x14ac:dyDescent="0.3">
      <c r="A183" s="20"/>
      <c r="B183" s="1"/>
      <c r="C183" s="1"/>
      <c r="D183" s="1"/>
      <c r="E183" s="1"/>
      <c r="F183" s="1"/>
      <c r="G183" s="1"/>
      <c r="H183" s="1"/>
      <c r="I183" s="1"/>
      <c r="J183" s="1"/>
      <c r="K183" s="1"/>
      <c r="L183" s="1"/>
      <c r="M183" s="1"/>
      <c r="N183" s="1"/>
      <c r="O183" s="1"/>
      <c r="P183" s="1"/>
      <c r="Q183" s="1"/>
      <c r="R183" s="1"/>
      <c r="S183" s="1"/>
    </row>
    <row r="184" spans="1:19" x14ac:dyDescent="0.3">
      <c r="A184" s="20"/>
      <c r="B184" s="1"/>
      <c r="C184" s="1"/>
      <c r="D184" s="1"/>
      <c r="E184" s="1"/>
      <c r="F184" s="1"/>
      <c r="G184" s="1"/>
      <c r="H184" s="1"/>
      <c r="I184" s="1"/>
      <c r="J184" s="1"/>
      <c r="K184" s="1"/>
      <c r="L184" s="1"/>
      <c r="M184" s="1"/>
      <c r="N184" s="1"/>
      <c r="O184" s="1"/>
      <c r="P184" s="1"/>
      <c r="Q184" s="1"/>
      <c r="R184" s="1"/>
      <c r="S184" s="1"/>
    </row>
    <row r="185" spans="1:19" x14ac:dyDescent="0.3">
      <c r="A185" s="20"/>
      <c r="B185" s="1"/>
      <c r="C185" s="1"/>
      <c r="D185" s="1"/>
      <c r="E185" s="1"/>
      <c r="F185" s="1"/>
      <c r="G185" s="1"/>
      <c r="H185" s="1"/>
      <c r="I185" s="1"/>
      <c r="J185" s="1"/>
      <c r="K185" s="1"/>
      <c r="L185" s="1"/>
      <c r="M185" s="1"/>
      <c r="N185" s="1"/>
      <c r="O185" s="1"/>
      <c r="P185" s="1"/>
      <c r="Q185" s="1"/>
      <c r="R185" s="1"/>
      <c r="S185" s="1"/>
    </row>
    <row r="186" spans="1:19" x14ac:dyDescent="0.3">
      <c r="A186" s="20"/>
      <c r="B186" s="1"/>
      <c r="C186" s="1"/>
      <c r="D186" s="1"/>
      <c r="E186" s="1"/>
      <c r="F186" s="1"/>
      <c r="G186" s="1"/>
      <c r="H186" s="1"/>
      <c r="I186" s="1"/>
      <c r="J186" s="1"/>
      <c r="K186" s="1"/>
      <c r="L186" s="1"/>
      <c r="M186" s="1"/>
      <c r="N186" s="1"/>
      <c r="O186" s="1"/>
      <c r="P186" s="1"/>
      <c r="Q186" s="1"/>
      <c r="R186" s="1"/>
      <c r="S186" s="1"/>
    </row>
    <row r="187" spans="1:19" x14ac:dyDescent="0.3">
      <c r="A187" s="20"/>
      <c r="B187" s="1"/>
      <c r="C187" s="1"/>
      <c r="D187" s="1"/>
      <c r="E187" s="1"/>
      <c r="F187" s="1"/>
      <c r="G187" s="1"/>
      <c r="H187" s="1"/>
      <c r="I187" s="1"/>
      <c r="J187" s="1"/>
      <c r="K187" s="1"/>
      <c r="L187" s="1"/>
      <c r="M187" s="1"/>
      <c r="N187" s="1"/>
      <c r="O187" s="1"/>
      <c r="P187" s="1"/>
      <c r="Q187" s="1"/>
      <c r="R187" s="1"/>
      <c r="S187" s="1"/>
    </row>
    <row r="188" spans="1:19" x14ac:dyDescent="0.3">
      <c r="A188" s="20"/>
      <c r="B188" s="1"/>
      <c r="C188" s="1"/>
      <c r="D188" s="1"/>
      <c r="E188" s="1"/>
      <c r="F188" s="1"/>
      <c r="G188" s="1"/>
      <c r="H188" s="1"/>
      <c r="I188" s="1"/>
      <c r="J188" s="1"/>
      <c r="K188" s="1"/>
      <c r="L188" s="1"/>
      <c r="M188" s="1"/>
      <c r="N188" s="1"/>
      <c r="O188" s="1"/>
      <c r="P188" s="1"/>
      <c r="Q188" s="1"/>
      <c r="R188" s="1"/>
      <c r="S188" s="1"/>
    </row>
    <row r="189" spans="1:19" x14ac:dyDescent="0.3">
      <c r="A189" s="20"/>
      <c r="B189" s="1"/>
      <c r="C189" s="1"/>
      <c r="D189" s="1"/>
      <c r="E189" s="1"/>
      <c r="F189" s="1"/>
      <c r="G189" s="1"/>
      <c r="H189" s="1"/>
      <c r="I189" s="1"/>
      <c r="J189" s="1"/>
      <c r="K189" s="1"/>
      <c r="L189" s="1"/>
      <c r="M189" s="1"/>
      <c r="N189" s="1"/>
      <c r="O189" s="1"/>
      <c r="P189" s="1"/>
      <c r="Q189" s="1"/>
      <c r="R189" s="1"/>
      <c r="S189" s="1"/>
    </row>
    <row r="190" spans="1:19" x14ac:dyDescent="0.3">
      <c r="A190" s="20"/>
      <c r="B190" s="1"/>
      <c r="C190" s="1"/>
      <c r="D190" s="1"/>
      <c r="E190" s="1"/>
      <c r="F190" s="1"/>
      <c r="G190" s="1"/>
      <c r="H190" s="1"/>
      <c r="I190" s="1"/>
      <c r="J190" s="1"/>
      <c r="K190" s="1"/>
      <c r="L190" s="1"/>
      <c r="M190" s="1"/>
      <c r="N190" s="1"/>
      <c r="O190" s="1"/>
      <c r="P190" s="1"/>
      <c r="Q190" s="1"/>
      <c r="R190" s="1"/>
      <c r="S190" s="1"/>
    </row>
    <row r="191" spans="1:19" x14ac:dyDescent="0.3">
      <c r="A191" s="20"/>
      <c r="B191" s="1"/>
      <c r="C191" s="1"/>
      <c r="D191" s="1"/>
      <c r="E191" s="1"/>
      <c r="F191" s="1"/>
      <c r="G191" s="1"/>
      <c r="H191" s="1"/>
      <c r="I191" s="1"/>
      <c r="J191" s="1"/>
      <c r="K191" s="1"/>
      <c r="L191" s="1"/>
      <c r="M191" s="1"/>
      <c r="N191" s="1"/>
      <c r="O191" s="1"/>
      <c r="P191" s="1"/>
      <c r="Q191" s="1"/>
      <c r="R191" s="1"/>
      <c r="S191" s="1"/>
    </row>
    <row r="192" spans="1:19" x14ac:dyDescent="0.3">
      <c r="A192" s="20"/>
      <c r="B192" s="1"/>
      <c r="C192" s="1"/>
      <c r="D192" s="1"/>
      <c r="E192" s="1"/>
      <c r="F192" s="1"/>
      <c r="G192" s="1"/>
      <c r="H192" s="1"/>
      <c r="I192" s="1"/>
      <c r="J192" s="1"/>
      <c r="K192" s="1"/>
      <c r="L192" s="1"/>
      <c r="M192" s="1"/>
      <c r="N192" s="1"/>
      <c r="O192" s="1"/>
      <c r="P192" s="1"/>
      <c r="Q192" s="1"/>
      <c r="R192" s="1"/>
      <c r="S192" s="1"/>
    </row>
    <row r="193" spans="1:19" x14ac:dyDescent="0.3">
      <c r="A193" s="20"/>
      <c r="B193" s="1"/>
      <c r="C193" s="1"/>
      <c r="D193" s="1"/>
      <c r="E193" s="1"/>
      <c r="F193" s="1"/>
      <c r="G193" s="1"/>
      <c r="H193" s="1"/>
      <c r="I193" s="1"/>
      <c r="J193" s="1"/>
      <c r="K193" s="1"/>
      <c r="L193" s="1"/>
      <c r="M193" s="1"/>
      <c r="N193" s="1"/>
      <c r="O193" s="1"/>
      <c r="P193" s="1"/>
      <c r="Q193" s="1"/>
      <c r="R193" s="1"/>
      <c r="S193" s="1"/>
    </row>
  </sheetData>
  <mergeCells count="14">
    <mergeCell ref="O8:Q8"/>
    <mergeCell ref="A1:F1"/>
    <mergeCell ref="G1:H1"/>
    <mergeCell ref="A6:I6"/>
    <mergeCell ref="B7:D8"/>
    <mergeCell ref="A7:A9"/>
    <mergeCell ref="N6:Q7"/>
    <mergeCell ref="A54:I54"/>
    <mergeCell ref="N50:Q50"/>
    <mergeCell ref="B42:D42"/>
    <mergeCell ref="A50:J50"/>
    <mergeCell ref="A51:I51"/>
    <mergeCell ref="A52:I52"/>
    <mergeCell ref="A53:I53"/>
  </mergeCells>
  <conditionalFormatting sqref="C44 C48 C10:D41 P10:Q48">
    <cfRule type="cellIs" dxfId="17" priority="12" operator="lessThan">
      <formula>0</formula>
    </cfRule>
    <cfRule type="cellIs" dxfId="16" priority="13" operator="greaterThan">
      <formula>0</formula>
    </cfRule>
  </conditionalFormatting>
  <conditionalFormatting sqref="B48 B44 B10:B41">
    <cfRule type="colorScale" priority="9">
      <colorScale>
        <cfvo type="num" val="-40000"/>
        <cfvo type="num" val="0"/>
        <cfvo type="num" val="40000"/>
        <color rgb="FFF8696B"/>
        <color rgb="FFFCFCFF"/>
        <color rgb="FF5A8AC6"/>
      </colorScale>
    </cfRule>
  </conditionalFormatting>
  <conditionalFormatting sqref="O10:O48">
    <cfRule type="colorScale" priority="8">
      <colorScale>
        <cfvo type="num" val="-100"/>
        <cfvo type="num" val="0"/>
        <cfvo type="num" val="100"/>
        <color rgb="FFF8696B"/>
        <color rgb="FFFCFCFF"/>
        <color rgb="FF5A8AC6"/>
      </colorScale>
    </cfRule>
  </conditionalFormatting>
  <conditionalFormatting sqref="F3">
    <cfRule type="cellIs" dxfId="15" priority="6" operator="lessThan">
      <formula>0.55</formula>
    </cfRule>
    <cfRule type="cellIs" dxfId="14" priority="7" operator="greaterThan">
      <formula>0.6</formula>
    </cfRule>
  </conditionalFormatting>
  <conditionalFormatting sqref="D44 D48">
    <cfRule type="cellIs" dxfId="13" priority="4" operator="lessThan">
      <formula>0</formula>
    </cfRule>
    <cfRule type="cellIs" dxfId="12" priority="5" operator="greaterThan">
      <formula>0</formula>
    </cfRule>
  </conditionalFormatting>
  <conditionalFormatting sqref="C47:D47">
    <cfRule type="cellIs" dxfId="11" priority="2" operator="lessThan">
      <formula>0</formula>
    </cfRule>
    <cfRule type="cellIs" dxfId="10" priority="3" operator="greaterThan">
      <formula>0</formula>
    </cfRule>
  </conditionalFormatting>
  <conditionalFormatting sqref="B47">
    <cfRule type="colorScale" priority="1">
      <colorScale>
        <cfvo type="num" val="-40000"/>
        <cfvo type="num" val="0"/>
        <cfvo type="num" val="40000"/>
        <color rgb="FFF8696B"/>
        <color rgb="FFFCFCFF"/>
        <color rgb="FF5A8AC6"/>
      </colorScale>
    </cfRule>
  </conditionalFormatting>
  <pageMargins left="0.70866141732283472" right="0.70866141732283472" top="0.59055118110236227" bottom="0.39370078740157483" header="0.31496062992125984" footer="0.31496062992125984"/>
  <pageSetup paperSize="9" scale="62" fitToHeight="0" orientation="portrait" r:id="rId1"/>
  <rowBreaks count="1" manualBreakCount="1">
    <brk id="47" max="10"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40D3D-9971-447C-BCFF-E5BFDA7CE746}">
  <sheetPr codeName="Tabelle25"/>
  <dimension ref="A2:B17"/>
  <sheetViews>
    <sheetView view="pageBreakPreview" zoomScale="30" zoomScaleNormal="100" zoomScaleSheetLayoutView="30" workbookViewId="0">
      <selection activeCell="C38" sqref="C14:C38"/>
    </sheetView>
  </sheetViews>
  <sheetFormatPr baseColWidth="10" defaultRowHeight="14.4" x14ac:dyDescent="0.3"/>
  <cols>
    <col min="1" max="1" width="36.44140625" style="100" customWidth="1"/>
    <col min="2" max="2" width="112.5546875" customWidth="1"/>
  </cols>
  <sheetData>
    <row r="2" spans="1:2" ht="15.6" x14ac:dyDescent="0.3">
      <c r="A2" s="94"/>
    </row>
    <row r="4" spans="1:2" x14ac:dyDescent="0.3">
      <c r="A4" s="95" t="s">
        <v>247</v>
      </c>
    </row>
    <row r="5" spans="1:2" ht="24.6" x14ac:dyDescent="0.3">
      <c r="A5" s="96" t="s">
        <v>22</v>
      </c>
      <c r="B5" s="97" t="s">
        <v>248</v>
      </c>
    </row>
    <row r="6" spans="1:2" ht="24.6" x14ac:dyDescent="0.3">
      <c r="A6" s="96" t="s">
        <v>27</v>
      </c>
      <c r="B6" s="98" t="s">
        <v>249</v>
      </c>
    </row>
    <row r="7" spans="1:2" ht="24.6" x14ac:dyDescent="0.3">
      <c r="A7" s="96" t="s">
        <v>250</v>
      </c>
      <c r="B7" s="98" t="s">
        <v>251</v>
      </c>
    </row>
    <row r="8" spans="1:2" ht="24.6" x14ac:dyDescent="0.3">
      <c r="A8" s="96" t="s">
        <v>252</v>
      </c>
      <c r="B8" s="98" t="s">
        <v>253</v>
      </c>
    </row>
    <row r="9" spans="1:2" ht="73.8" x14ac:dyDescent="0.3">
      <c r="A9" s="96" t="s">
        <v>31</v>
      </c>
      <c r="B9" s="99" t="s">
        <v>254</v>
      </c>
    </row>
    <row r="10" spans="1:2" ht="24.6" x14ac:dyDescent="0.3">
      <c r="A10" s="96" t="s">
        <v>255</v>
      </c>
      <c r="B10" s="98" t="s">
        <v>256</v>
      </c>
    </row>
    <row r="11" spans="1:2" ht="24.6" x14ac:dyDescent="0.3">
      <c r="A11" s="96" t="s">
        <v>257</v>
      </c>
      <c r="B11" s="98" t="s">
        <v>258</v>
      </c>
    </row>
    <row r="12" spans="1:2" ht="49.2" x14ac:dyDescent="0.3">
      <c r="A12" s="96" t="s">
        <v>259</v>
      </c>
      <c r="B12" s="99" t="s">
        <v>260</v>
      </c>
    </row>
    <row r="13" spans="1:2" ht="73.8" x14ac:dyDescent="0.3">
      <c r="A13" s="96" t="s">
        <v>261</v>
      </c>
      <c r="B13" s="99" t="s">
        <v>262</v>
      </c>
    </row>
    <row r="14" spans="1:2" ht="24.6" x14ac:dyDescent="0.3">
      <c r="A14" s="96"/>
    </row>
    <row r="15" spans="1:2" ht="24.6" x14ac:dyDescent="0.3">
      <c r="A15" s="96"/>
    </row>
    <row r="16" spans="1:2" ht="98.4" x14ac:dyDescent="0.3">
      <c r="A16" s="96" t="s">
        <v>263</v>
      </c>
      <c r="B16" s="99" t="s">
        <v>264</v>
      </c>
    </row>
    <row r="17" spans="1:1" ht="24.6" x14ac:dyDescent="0.3">
      <c r="A17" s="96"/>
    </row>
  </sheetData>
  <pageMargins left="0.7" right="0.7" top="0.78740157499999996" bottom="0.78740157499999996" header="0.3" footer="0.3"/>
  <pageSetup paperSize="9" scale="58"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05867-B8F4-4F7A-AB2C-D2B8BE2136BC}">
  <sheetPr codeName="Tabelle23"/>
  <dimension ref="A2:K27"/>
  <sheetViews>
    <sheetView view="pageBreakPreview" zoomScale="30" zoomScaleNormal="100" zoomScaleSheetLayoutView="30" workbookViewId="0">
      <selection activeCell="C38" sqref="C14:C38"/>
    </sheetView>
  </sheetViews>
  <sheetFormatPr baseColWidth="10" defaultRowHeight="14.4" x14ac:dyDescent="0.3"/>
  <cols>
    <col min="1" max="1" width="68.88671875" style="25" customWidth="1"/>
  </cols>
  <sheetData>
    <row r="2" spans="1:11" ht="123.75" customHeight="1" x14ac:dyDescent="0.3">
      <c r="A2" s="137" t="s">
        <v>140</v>
      </c>
      <c r="B2" s="137"/>
      <c r="C2" s="137"/>
      <c r="D2" s="137"/>
      <c r="E2" s="137"/>
      <c r="F2" s="137"/>
      <c r="G2" s="137"/>
      <c r="H2" s="137"/>
      <c r="I2" s="137"/>
      <c r="J2" s="137"/>
      <c r="K2" s="137"/>
    </row>
    <row r="3" spans="1:11" x14ac:dyDescent="0.3">
      <c r="A3" s="137"/>
      <c r="B3" s="137"/>
      <c r="C3" s="137"/>
      <c r="D3" s="137"/>
      <c r="E3" s="137"/>
      <c r="F3" s="137"/>
      <c r="G3" s="137"/>
      <c r="H3" s="137"/>
      <c r="I3" s="137"/>
      <c r="J3" s="137"/>
      <c r="K3" s="137"/>
    </row>
    <row r="4" spans="1:11" x14ac:dyDescent="0.3">
      <c r="A4" s="137"/>
      <c r="B4" s="137"/>
      <c r="C4" s="137"/>
      <c r="D4" s="137"/>
      <c r="E4" s="137"/>
      <c r="F4" s="137"/>
      <c r="G4" s="137"/>
      <c r="H4" s="137"/>
      <c r="I4" s="137"/>
      <c r="J4" s="137"/>
      <c r="K4" s="137"/>
    </row>
    <row r="5" spans="1:11" x14ac:dyDescent="0.3">
      <c r="A5" s="137"/>
      <c r="B5" s="137"/>
      <c r="C5" s="137"/>
      <c r="D5" s="137"/>
      <c r="E5" s="137"/>
      <c r="F5" s="137"/>
      <c r="G5" s="137"/>
      <c r="H5" s="137"/>
      <c r="I5" s="137"/>
      <c r="J5" s="137"/>
      <c r="K5" s="137"/>
    </row>
    <row r="6" spans="1:11" x14ac:dyDescent="0.3">
      <c r="A6" s="137"/>
      <c r="B6" s="137"/>
      <c r="C6" s="137"/>
      <c r="D6" s="137"/>
      <c r="E6" s="137"/>
      <c r="F6" s="137"/>
      <c r="G6" s="137"/>
      <c r="H6" s="137"/>
      <c r="I6" s="137"/>
      <c r="J6" s="137"/>
      <c r="K6" s="137"/>
    </row>
    <row r="7" spans="1:11" x14ac:dyDescent="0.3">
      <c r="A7" s="137"/>
      <c r="B7" s="137"/>
      <c r="C7" s="137"/>
      <c r="D7" s="137"/>
      <c r="E7" s="137"/>
      <c r="F7" s="137"/>
      <c r="G7" s="137"/>
      <c r="H7" s="137"/>
      <c r="I7" s="137"/>
      <c r="J7" s="137"/>
      <c r="K7" s="137"/>
    </row>
    <row r="8" spans="1:11" x14ac:dyDescent="0.3">
      <c r="A8" s="137"/>
      <c r="B8" s="137"/>
      <c r="C8" s="137"/>
      <c r="D8" s="137"/>
      <c r="E8" s="137"/>
      <c r="F8" s="137"/>
      <c r="G8" s="137"/>
      <c r="H8" s="137"/>
      <c r="I8" s="137"/>
      <c r="J8" s="137"/>
      <c r="K8" s="137"/>
    </row>
    <row r="9" spans="1:11" x14ac:dyDescent="0.3">
      <c r="A9" s="137"/>
      <c r="B9" s="137"/>
      <c r="C9" s="137"/>
      <c r="D9" s="137"/>
      <c r="E9" s="137"/>
      <c r="F9" s="137"/>
      <c r="G9" s="137"/>
      <c r="H9" s="137"/>
      <c r="I9" s="137"/>
      <c r="J9" s="137"/>
      <c r="K9" s="137"/>
    </row>
    <row r="10" spans="1:11" x14ac:dyDescent="0.3">
      <c r="A10" s="137"/>
      <c r="B10" s="137"/>
      <c r="C10" s="137"/>
      <c r="D10" s="137"/>
      <c r="E10" s="137"/>
      <c r="F10" s="137"/>
      <c r="G10" s="137"/>
      <c r="H10" s="137"/>
      <c r="I10" s="137"/>
      <c r="J10" s="137"/>
      <c r="K10" s="137"/>
    </row>
    <row r="11" spans="1:11" x14ac:dyDescent="0.3">
      <c r="A11" s="137"/>
      <c r="B11" s="137"/>
      <c r="C11" s="137"/>
      <c r="D11" s="137"/>
      <c r="E11" s="137"/>
      <c r="F11" s="137"/>
      <c r="G11" s="137"/>
      <c r="H11" s="137"/>
      <c r="I11" s="137"/>
      <c r="J11" s="137"/>
      <c r="K11" s="137"/>
    </row>
    <row r="12" spans="1:11" x14ac:dyDescent="0.3">
      <c r="A12" s="137"/>
      <c r="B12" s="137"/>
      <c r="C12" s="137"/>
      <c r="D12" s="137"/>
      <c r="E12" s="137"/>
      <c r="F12" s="137"/>
      <c r="G12" s="137"/>
      <c r="H12" s="137"/>
      <c r="I12" s="137"/>
      <c r="J12" s="137"/>
      <c r="K12" s="137"/>
    </row>
    <row r="13" spans="1:11" x14ac:dyDescent="0.3">
      <c r="A13" s="137"/>
      <c r="B13" s="137"/>
      <c r="C13" s="137"/>
      <c r="D13" s="137"/>
      <c r="E13" s="137"/>
      <c r="F13" s="137"/>
      <c r="G13" s="137"/>
      <c r="H13" s="137"/>
      <c r="I13" s="137"/>
      <c r="J13" s="137"/>
      <c r="K13" s="137"/>
    </row>
    <row r="14" spans="1:11" x14ac:dyDescent="0.3">
      <c r="A14" s="137"/>
      <c r="B14" s="137"/>
      <c r="C14" s="137"/>
      <c r="D14" s="137"/>
      <c r="E14" s="137"/>
      <c r="F14" s="137"/>
      <c r="G14" s="137"/>
      <c r="H14" s="137"/>
      <c r="I14" s="137"/>
      <c r="J14" s="137"/>
      <c r="K14" s="137"/>
    </row>
    <row r="15" spans="1:11" x14ac:dyDescent="0.3">
      <c r="A15" s="137"/>
      <c r="B15" s="137"/>
      <c r="C15" s="137"/>
      <c r="D15" s="137"/>
      <c r="E15" s="137"/>
      <c r="F15" s="137"/>
      <c r="G15" s="137"/>
      <c r="H15" s="137"/>
      <c r="I15" s="137"/>
      <c r="J15" s="137"/>
      <c r="K15" s="137"/>
    </row>
    <row r="16" spans="1:11" x14ac:dyDescent="0.3">
      <c r="A16" s="137"/>
      <c r="B16" s="137"/>
      <c r="C16" s="137"/>
      <c r="D16" s="137"/>
      <c r="E16" s="137"/>
      <c r="F16" s="137"/>
      <c r="G16" s="137"/>
      <c r="H16" s="137"/>
      <c r="I16" s="137"/>
      <c r="J16" s="137"/>
      <c r="K16" s="137"/>
    </row>
    <row r="17" spans="1:11" x14ac:dyDescent="0.3">
      <c r="A17" s="137"/>
      <c r="B17" s="137"/>
      <c r="C17" s="137"/>
      <c r="D17" s="137"/>
      <c r="E17" s="137"/>
      <c r="F17" s="137"/>
      <c r="G17" s="137"/>
      <c r="H17" s="137"/>
      <c r="I17" s="137"/>
      <c r="J17" s="137"/>
      <c r="K17" s="137"/>
    </row>
    <row r="18" spans="1:11" x14ac:dyDescent="0.3">
      <c r="A18" s="137"/>
      <c r="B18" s="137"/>
      <c r="C18" s="137"/>
      <c r="D18" s="137"/>
      <c r="E18" s="137"/>
      <c r="F18" s="137"/>
      <c r="G18" s="137"/>
      <c r="H18" s="137"/>
      <c r="I18" s="137"/>
      <c r="J18" s="137"/>
      <c r="K18" s="137"/>
    </row>
    <row r="19" spans="1:11" x14ac:dyDescent="0.3">
      <c r="A19" s="137"/>
      <c r="B19" s="137"/>
      <c r="C19" s="137"/>
      <c r="D19" s="137"/>
      <c r="E19" s="137"/>
      <c r="F19" s="137"/>
      <c r="G19" s="137"/>
      <c r="H19" s="137"/>
      <c r="I19" s="137"/>
      <c r="J19" s="137"/>
      <c r="K19" s="137"/>
    </row>
    <row r="20" spans="1:11" x14ac:dyDescent="0.3">
      <c r="A20" s="137"/>
      <c r="B20" s="137"/>
      <c r="C20" s="137"/>
      <c r="D20" s="137"/>
      <c r="E20" s="137"/>
      <c r="F20" s="137"/>
      <c r="G20" s="137"/>
      <c r="H20" s="137"/>
      <c r="I20" s="137"/>
      <c r="J20" s="137"/>
      <c r="K20" s="137"/>
    </row>
    <row r="21" spans="1:11" x14ac:dyDescent="0.3">
      <c r="A21" s="137"/>
      <c r="B21" s="137"/>
      <c r="C21" s="137"/>
      <c r="D21" s="137"/>
      <c r="E21" s="137"/>
      <c r="F21" s="137"/>
      <c r="G21" s="137"/>
      <c r="H21" s="137"/>
      <c r="I21" s="137"/>
      <c r="J21" s="137"/>
      <c r="K21" s="137"/>
    </row>
    <row r="22" spans="1:11" x14ac:dyDescent="0.3">
      <c r="A22" s="137"/>
      <c r="B22" s="137"/>
      <c r="C22" s="137"/>
      <c r="D22" s="137"/>
      <c r="E22" s="137"/>
      <c r="F22" s="137"/>
      <c r="G22" s="137"/>
      <c r="H22" s="137"/>
      <c r="I22" s="137"/>
      <c r="J22" s="137"/>
      <c r="K22" s="137"/>
    </row>
    <row r="23" spans="1:11" x14ac:dyDescent="0.3">
      <c r="A23" s="137"/>
      <c r="B23" s="137"/>
      <c r="C23" s="137"/>
      <c r="D23" s="137"/>
      <c r="E23" s="137"/>
      <c r="F23" s="137"/>
      <c r="G23" s="137"/>
      <c r="H23" s="137"/>
      <c r="I23" s="137"/>
      <c r="J23" s="137"/>
      <c r="K23" s="137"/>
    </row>
    <row r="24" spans="1:11" x14ac:dyDescent="0.3">
      <c r="A24" s="137"/>
      <c r="B24" s="137"/>
      <c r="C24" s="137"/>
      <c r="D24" s="137"/>
      <c r="E24" s="137"/>
      <c r="F24" s="137"/>
      <c r="G24" s="137"/>
      <c r="H24" s="137"/>
      <c r="I24" s="137"/>
      <c r="J24" s="137"/>
      <c r="K24" s="137"/>
    </row>
    <row r="25" spans="1:11" x14ac:dyDescent="0.3">
      <c r="A25" s="137"/>
      <c r="B25" s="137"/>
      <c r="C25" s="137"/>
      <c r="D25" s="137"/>
      <c r="E25" s="137"/>
      <c r="F25" s="137"/>
      <c r="G25" s="137"/>
      <c r="H25" s="137"/>
      <c r="I25" s="137"/>
      <c r="J25" s="137"/>
      <c r="K25" s="137"/>
    </row>
    <row r="26" spans="1:11" x14ac:dyDescent="0.3">
      <c r="A26" s="137"/>
      <c r="B26" s="137"/>
      <c r="C26" s="137"/>
      <c r="D26" s="137"/>
      <c r="E26" s="137"/>
      <c r="F26" s="137"/>
      <c r="G26" s="137"/>
      <c r="H26" s="137"/>
      <c r="I26" s="137"/>
      <c r="J26" s="137"/>
      <c r="K26" s="137"/>
    </row>
    <row r="27" spans="1:11" x14ac:dyDescent="0.3">
      <c r="A27" s="137"/>
      <c r="B27" s="137"/>
      <c r="C27" s="137"/>
      <c r="D27" s="137"/>
      <c r="E27" s="137"/>
      <c r="F27" s="137"/>
      <c r="G27" s="137"/>
      <c r="H27" s="137"/>
      <c r="I27" s="137"/>
      <c r="J27" s="137"/>
      <c r="K27" s="137"/>
    </row>
  </sheetData>
  <mergeCells count="1">
    <mergeCell ref="A2:K27"/>
  </mergeCells>
  <pageMargins left="0.7" right="0.7" top="0.78740157499999996" bottom="0.78740157499999996" header="0.3" footer="0.3"/>
  <pageSetup paperSize="9" scale="47"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8D6BF-D085-4CBF-A60B-6BF953A82A23}">
  <sheetPr codeName="Tabelle16"/>
  <dimension ref="A4:BB206"/>
  <sheetViews>
    <sheetView topLeftCell="A12" zoomScaleNormal="100" workbookViewId="0">
      <pane xSplit="1" topLeftCell="B1" activePane="topRight" state="frozen"/>
      <selection pane="topRight" activeCell="C6" sqref="C6"/>
    </sheetView>
  </sheetViews>
  <sheetFormatPr baseColWidth="10" defaultColWidth="11.44140625" defaultRowHeight="14.4" x14ac:dyDescent="0.3"/>
  <cols>
    <col min="1" max="16384" width="11.44140625" style="5"/>
  </cols>
  <sheetData>
    <row r="4" spans="1:54" x14ac:dyDescent="0.3">
      <c r="A4" s="4"/>
      <c r="B4" s="4"/>
      <c r="C4" s="4"/>
      <c r="D4" s="4">
        <v>4650</v>
      </c>
      <c r="E4" s="4">
        <v>4625</v>
      </c>
      <c r="F4" s="4">
        <v>4600</v>
      </c>
      <c r="G4" s="4">
        <v>4575</v>
      </c>
      <c r="H4" s="4">
        <v>4550</v>
      </c>
      <c r="I4" s="4">
        <v>4525</v>
      </c>
      <c r="J4" s="4">
        <v>4500</v>
      </c>
      <c r="K4" s="4">
        <v>4475</v>
      </c>
      <c r="L4" s="4">
        <v>4450</v>
      </c>
      <c r="M4" s="4">
        <v>4425</v>
      </c>
      <c r="N4" s="4">
        <v>4400</v>
      </c>
      <c r="O4" s="4">
        <v>4375</v>
      </c>
      <c r="P4" s="4">
        <v>4350</v>
      </c>
      <c r="Q4" s="4">
        <v>4325</v>
      </c>
      <c r="R4" s="4">
        <v>4300</v>
      </c>
      <c r="S4" s="4">
        <v>4275</v>
      </c>
      <c r="T4" s="4">
        <v>4250</v>
      </c>
      <c r="U4" s="4">
        <v>4225</v>
      </c>
      <c r="V4" s="4">
        <v>4200</v>
      </c>
      <c r="W4" s="4">
        <v>4175</v>
      </c>
      <c r="X4" s="4">
        <v>4150</v>
      </c>
      <c r="Y4" s="4">
        <v>4125</v>
      </c>
      <c r="Z4" s="4">
        <v>4100</v>
      </c>
      <c r="AA4" s="4">
        <v>4075</v>
      </c>
      <c r="AB4" s="4">
        <v>4050</v>
      </c>
      <c r="AC4" s="4">
        <v>4025</v>
      </c>
      <c r="AD4" s="4">
        <v>4000</v>
      </c>
      <c r="AE4" s="4">
        <v>3975</v>
      </c>
      <c r="AF4" s="4">
        <v>3950</v>
      </c>
      <c r="AG4" s="4"/>
      <c r="AH4" s="4"/>
      <c r="AI4" s="4"/>
      <c r="AJ4" s="4"/>
      <c r="AK4" s="4"/>
      <c r="AL4" s="4"/>
      <c r="AM4" s="4"/>
      <c r="AN4" s="4"/>
      <c r="AO4" s="4"/>
      <c r="AP4" s="4"/>
      <c r="AQ4" s="4"/>
      <c r="AR4" s="4"/>
      <c r="AS4" s="4"/>
      <c r="AT4" s="4"/>
      <c r="AU4" s="4"/>
      <c r="AV4" s="4"/>
      <c r="AW4" s="4"/>
      <c r="AX4" s="4"/>
      <c r="AY4" s="4"/>
      <c r="AZ4" s="4"/>
      <c r="BA4" s="4"/>
      <c r="BB4" s="4"/>
    </row>
    <row r="5" spans="1:54" x14ac:dyDescent="0.3">
      <c r="A5" s="4">
        <v>4650</v>
      </c>
      <c r="B5" s="4"/>
      <c r="C5" s="4">
        <v>-324.14319578905616</v>
      </c>
      <c r="D5" s="4">
        <v>-114.59578614066072</v>
      </c>
      <c r="E5" s="4">
        <v>-23.486056607396375</v>
      </c>
      <c r="F5" s="4">
        <v>-228.92886157930846</v>
      </c>
      <c r="G5" s="4">
        <v>-52.937310625090056</v>
      </c>
      <c r="H5" s="4">
        <v>-74.970729186808185</v>
      </c>
      <c r="I5" s="4">
        <v>-60.27126483836274</v>
      </c>
      <c r="J5" s="4">
        <v>-63.841214807266638</v>
      </c>
      <c r="K5" s="4">
        <v>-9.4185726468852042</v>
      </c>
      <c r="L5" s="4">
        <v>-13.913653474885427</v>
      </c>
      <c r="M5" s="4">
        <v>-3.339601083920174</v>
      </c>
      <c r="N5" s="4">
        <v>-1.9916648736819407</v>
      </c>
      <c r="O5" s="4">
        <v>-0.42908216257580251</v>
      </c>
      <c r="P5" s="4">
        <v>-0.1350562531869223</v>
      </c>
      <c r="Q5" s="4">
        <v>-2.0836111795015308E-2</v>
      </c>
      <c r="R5" s="4">
        <v>-5.6097371912729697E-3</v>
      </c>
      <c r="S5" s="4">
        <v>-1.1129448983107023E-3</v>
      </c>
      <c r="T5" s="4">
        <v>1.664746716093031E-5</v>
      </c>
      <c r="U5" s="4">
        <v>-9.8373835954490443E-6</v>
      </c>
      <c r="V5" s="4">
        <v>1.2975292446769013E-5</v>
      </c>
      <c r="W5" s="4">
        <v>1.3265179675089054E-6</v>
      </c>
      <c r="X5" s="4">
        <v>3.4643715668096873E-7</v>
      </c>
      <c r="Y5" s="4">
        <v>2.6118320633519806E-8</v>
      </c>
      <c r="Z5" s="4">
        <v>1.1071586745094367E-8</v>
      </c>
      <c r="AA5" s="4">
        <v>2.3909447229622521E-10</v>
      </c>
      <c r="AB5" s="4">
        <v>3.971735525912248E-11</v>
      </c>
      <c r="AC5" s="4">
        <v>7.7294645325713587E-13</v>
      </c>
      <c r="AD5" s="4">
        <v>3.0080612342059782E-13</v>
      </c>
      <c r="AE5" s="4">
        <v>4.2581442397121954E-15</v>
      </c>
      <c r="AF5" s="4">
        <v>3.4704831016944022E-16</v>
      </c>
      <c r="AG5" s="4"/>
      <c r="AH5" s="4"/>
      <c r="AI5" s="4"/>
      <c r="AJ5" s="4"/>
      <c r="AK5" s="4"/>
      <c r="AL5" s="4"/>
      <c r="AM5" s="4"/>
      <c r="AN5" s="4"/>
      <c r="AO5" s="4"/>
      <c r="AP5" s="4"/>
      <c r="AQ5" s="4"/>
      <c r="AR5" s="4"/>
      <c r="AS5" s="4"/>
      <c r="AT5" s="4"/>
      <c r="AU5" s="4"/>
      <c r="AV5" s="4"/>
      <c r="AW5" s="4"/>
      <c r="AX5" s="4"/>
      <c r="AY5" s="4"/>
      <c r="AZ5" s="4"/>
      <c r="BA5" s="4"/>
      <c r="BB5" s="4"/>
    </row>
    <row r="6" spans="1:54" x14ac:dyDescent="0.3">
      <c r="A6" s="4">
        <v>4640</v>
      </c>
      <c r="B6" s="4"/>
      <c r="C6" s="4">
        <v>-359.79117922272849</v>
      </c>
      <c r="D6" s="4">
        <v>-114.39952206620178</v>
      </c>
      <c r="E6" s="4">
        <v>-24.29517028531459</v>
      </c>
      <c r="F6" s="4">
        <v>-245.44174978119176</v>
      </c>
      <c r="G6" s="4">
        <v>-58.834556762692664</v>
      </c>
      <c r="H6" s="4">
        <v>-86.39143211649538</v>
      </c>
      <c r="I6" s="4">
        <v>-72.02514117860197</v>
      </c>
      <c r="J6" s="4">
        <v>-79.132946331110816</v>
      </c>
      <c r="K6" s="4">
        <v>-12.111896417363726</v>
      </c>
      <c r="L6" s="4">
        <v>-18.566437272981037</v>
      </c>
      <c r="M6" s="4">
        <v>-4.6252243355723914</v>
      </c>
      <c r="N6" s="4">
        <v>-2.8634974192336293</v>
      </c>
      <c r="O6" s="4">
        <v>-0.6405541742803158</v>
      </c>
      <c r="P6" s="4">
        <v>-0.2093912766847994</v>
      </c>
      <c r="Q6" s="4">
        <v>-3.3557047200800334E-2</v>
      </c>
      <c r="R6" s="4">
        <v>-9.38703710513486E-3</v>
      </c>
      <c r="S6" s="4">
        <v>-1.9354214286365528E-3</v>
      </c>
      <c r="T6" s="4">
        <v>3.0092893838074878E-5</v>
      </c>
      <c r="U6" s="4">
        <v>-1.8488790196128186E-5</v>
      </c>
      <c r="V6" s="4">
        <v>2.5360599734512599E-5</v>
      </c>
      <c r="W6" s="4">
        <v>2.6969354487620525E-6</v>
      </c>
      <c r="X6" s="4">
        <v>7.3282406827665478E-7</v>
      </c>
      <c r="Y6" s="4">
        <v>5.749662966857581E-8</v>
      </c>
      <c r="Z6" s="4">
        <v>2.5370801465683285E-8</v>
      </c>
      <c r="AA6" s="4">
        <v>5.7046318869419579E-10</v>
      </c>
      <c r="AB6" s="4">
        <v>9.8691575397192157E-11</v>
      </c>
      <c r="AC6" s="4">
        <v>2.0007834040333874E-12</v>
      </c>
      <c r="AD6" s="4">
        <v>8.113324499979956E-13</v>
      </c>
      <c r="AE6" s="4">
        <v>1.1970327513407811E-14</v>
      </c>
      <c r="AF6" s="4">
        <v>1.0170972678577786E-15</v>
      </c>
      <c r="AG6" s="4"/>
      <c r="AH6" s="4"/>
      <c r="AI6" s="4"/>
      <c r="AJ6" s="4"/>
      <c r="AK6" s="4"/>
      <c r="AL6" s="4"/>
      <c r="AM6" s="4"/>
      <c r="AN6" s="4"/>
      <c r="AO6" s="4"/>
      <c r="AP6" s="4"/>
      <c r="AQ6" s="4"/>
      <c r="AR6" s="4"/>
      <c r="AS6" s="4"/>
      <c r="AT6" s="4"/>
      <c r="AU6" s="4"/>
      <c r="AV6" s="4"/>
      <c r="AW6" s="4"/>
      <c r="AX6" s="4"/>
      <c r="AY6" s="4"/>
      <c r="AZ6" s="4"/>
      <c r="BA6" s="4"/>
      <c r="BB6" s="4"/>
    </row>
    <row r="7" spans="1:54" x14ac:dyDescent="0.3">
      <c r="A7" s="4">
        <v>4630</v>
      </c>
      <c r="B7" s="4"/>
      <c r="C7" s="4">
        <v>-396.31219300046195</v>
      </c>
      <c r="D7" s="4">
        <v>-112.58653648842483</v>
      </c>
      <c r="E7" s="4">
        <v>-24.778203832725254</v>
      </c>
      <c r="F7" s="4">
        <v>-259.45968190899026</v>
      </c>
      <c r="G7" s="4">
        <v>-64.47782171077256</v>
      </c>
      <c r="H7" s="4">
        <v>-98.172705943148145</v>
      </c>
      <c r="I7" s="4">
        <v>-84.885431005559482</v>
      </c>
      <c r="J7" s="4">
        <v>-96.743773476965387</v>
      </c>
      <c r="K7" s="4">
        <v>-15.363252016656135</v>
      </c>
      <c r="L7" s="4">
        <v>-24.439626650379136</v>
      </c>
      <c r="M7" s="4">
        <v>-6.3195252988839909</v>
      </c>
      <c r="N7" s="4">
        <v>-4.0618681044720564</v>
      </c>
      <c r="O7" s="4">
        <v>-0.94352845449663025</v>
      </c>
      <c r="P7" s="4">
        <v>-0.32034772817512158</v>
      </c>
      <c r="Q7" s="4">
        <v>-5.3334180103600901E-2</v>
      </c>
      <c r="R7" s="4">
        <v>-1.5502624699958877E-2</v>
      </c>
      <c r="S7" s="4">
        <v>-3.3220347548396597E-3</v>
      </c>
      <c r="T7" s="4">
        <v>5.3696101969612735E-5</v>
      </c>
      <c r="U7" s="4">
        <v>-3.4303378274055613E-5</v>
      </c>
      <c r="V7" s="4">
        <v>4.8937085524066727E-5</v>
      </c>
      <c r="W7" s="4">
        <v>5.4137863064138855E-6</v>
      </c>
      <c r="X7" s="4">
        <v>1.5306830517474444E-6</v>
      </c>
      <c r="Y7" s="4">
        <v>1.2499343089469937E-7</v>
      </c>
      <c r="Z7" s="4">
        <v>5.7417432402192786E-8</v>
      </c>
      <c r="AA7" s="4">
        <v>1.3443390216684981E-9</v>
      </c>
      <c r="AB7" s="4">
        <v>2.4223728697630781E-10</v>
      </c>
      <c r="AC7" s="4">
        <v>5.116231576307649E-12</v>
      </c>
      <c r="AD7" s="4">
        <v>2.1619667267040301E-12</v>
      </c>
      <c r="AE7" s="4">
        <v>3.3248224719401603E-14</v>
      </c>
      <c r="AF7" s="4">
        <v>2.9454443884049126E-15</v>
      </c>
      <c r="AG7" s="4"/>
      <c r="AH7" s="4"/>
      <c r="AI7" s="4"/>
      <c r="AJ7" s="4"/>
      <c r="AK7" s="4"/>
      <c r="AL7" s="4"/>
      <c r="AM7" s="4"/>
      <c r="AN7" s="4"/>
      <c r="AO7" s="4"/>
      <c r="AP7" s="4"/>
      <c r="AQ7" s="4"/>
      <c r="AR7" s="4"/>
      <c r="AS7" s="4"/>
      <c r="AT7" s="4"/>
      <c r="AU7" s="4"/>
      <c r="AV7" s="4"/>
      <c r="AW7" s="4"/>
      <c r="AX7" s="4"/>
      <c r="AY7" s="4"/>
      <c r="AZ7" s="4"/>
      <c r="BA7" s="4"/>
      <c r="BB7" s="4"/>
    </row>
    <row r="8" spans="1:54" x14ac:dyDescent="0.3">
      <c r="A8" s="4">
        <v>4620</v>
      </c>
      <c r="B8" s="4"/>
      <c r="C8" s="4">
        <v>-433.3224597530201</v>
      </c>
      <c r="D8" s="4">
        <v>-109.22327925678744</v>
      </c>
      <c r="E8" s="4">
        <v>-24.912636151957003</v>
      </c>
      <c r="F8" s="4">
        <v>-270.41139125561006</v>
      </c>
      <c r="G8" s="4">
        <v>-69.671592628122141</v>
      </c>
      <c r="H8" s="4">
        <v>-110.00499289233248</v>
      </c>
      <c r="I8" s="4">
        <v>-98.654743144619289</v>
      </c>
      <c r="J8" s="4">
        <v>-116.64305790464935</v>
      </c>
      <c r="K8" s="4">
        <v>-19.220246540051289</v>
      </c>
      <c r="L8" s="4">
        <v>-31.732197770934565</v>
      </c>
      <c r="M8" s="4">
        <v>-8.5174717206432611</v>
      </c>
      <c r="N8" s="4">
        <v>-5.6841381034501417</v>
      </c>
      <c r="O8" s="4">
        <v>-1.3711953006183639</v>
      </c>
      <c r="P8" s="4">
        <v>-0.48357683409041674</v>
      </c>
      <c r="Q8" s="4">
        <v>-8.3645789770415244E-2</v>
      </c>
      <c r="R8" s="4">
        <v>-2.5265885358902583E-2</v>
      </c>
      <c r="S8" s="4">
        <v>-5.6275790940202661E-3</v>
      </c>
      <c r="T8" s="4">
        <v>9.4568567020070701E-5</v>
      </c>
      <c r="U8" s="4">
        <v>-6.2824230906013474E-5</v>
      </c>
      <c r="V8" s="4">
        <v>9.3221360730786409E-5</v>
      </c>
      <c r="W8" s="4">
        <v>1.0729204114806403E-5</v>
      </c>
      <c r="X8" s="4">
        <v>3.1567774925650744E-6</v>
      </c>
      <c r="Y8" s="4">
        <v>2.6831359139243026E-7</v>
      </c>
      <c r="Z8" s="4">
        <v>1.2832219884933426E-7</v>
      </c>
      <c r="AA8" s="4">
        <v>3.1287900474538354E-9</v>
      </c>
      <c r="AB8" s="4">
        <v>5.8725479193998385E-10</v>
      </c>
      <c r="AC8" s="4">
        <v>1.2923002773675286E-11</v>
      </c>
      <c r="AD8" s="4">
        <v>5.6911626073483584E-12</v>
      </c>
      <c r="AE8" s="4">
        <v>9.1237140220622908E-14</v>
      </c>
      <c r="AF8" s="4">
        <v>8.4278953262772538E-15</v>
      </c>
      <c r="AG8" s="4"/>
      <c r="AH8" s="4"/>
      <c r="AI8" s="4"/>
      <c r="AJ8" s="4"/>
      <c r="AK8" s="4"/>
      <c r="AL8" s="4"/>
      <c r="AM8" s="4"/>
      <c r="AN8" s="4"/>
      <c r="AO8" s="4"/>
      <c r="AP8" s="4"/>
      <c r="AQ8" s="4"/>
      <c r="AR8" s="4"/>
      <c r="AS8" s="4"/>
      <c r="AT8" s="4"/>
      <c r="AU8" s="4"/>
      <c r="AV8" s="4"/>
      <c r="AW8" s="4"/>
      <c r="AX8" s="4"/>
      <c r="AY8" s="4"/>
      <c r="AZ8" s="4"/>
      <c r="BA8" s="4"/>
      <c r="BB8" s="4"/>
    </row>
    <row r="9" spans="1:54" x14ac:dyDescent="0.3">
      <c r="A9" s="4">
        <v>4610</v>
      </c>
      <c r="B9" s="4"/>
      <c r="C9" s="4">
        <v>-470.41882025687499</v>
      </c>
      <c r="D9" s="4">
        <v>-104.44074564559452</v>
      </c>
      <c r="E9" s="4">
        <v>-24.69045999529887</v>
      </c>
      <c r="F9" s="4">
        <v>-277.82641185499602</v>
      </c>
      <c r="G9" s="4">
        <v>-74.221301228108928</v>
      </c>
      <c r="H9" s="4">
        <v>-121.53340405901962</v>
      </c>
      <c r="I9" s="4">
        <v>-113.05734560690306</v>
      </c>
      <c r="J9" s="4">
        <v>-138.68367326847331</v>
      </c>
      <c r="K9" s="4">
        <v>-23.713741185563624</v>
      </c>
      <c r="L9" s="4">
        <v>-40.635537669065442</v>
      </c>
      <c r="M9" s="4">
        <v>-11.323283073572226</v>
      </c>
      <c r="N9" s="4">
        <v>-7.8464677252882664</v>
      </c>
      <c r="O9" s="4">
        <v>-1.9658480503737588</v>
      </c>
      <c r="P9" s="4">
        <v>-0.720197143718317</v>
      </c>
      <c r="Q9" s="4">
        <v>-0.12943763665526314</v>
      </c>
      <c r="R9" s="4">
        <v>-4.0632917029324922E-2</v>
      </c>
      <c r="S9" s="4">
        <v>-9.407833294703339E-3</v>
      </c>
      <c r="T9" s="4">
        <v>1.6437585221460609E-4</v>
      </c>
      <c r="U9" s="4">
        <v>-1.1356419739099771E-4</v>
      </c>
      <c r="V9" s="4">
        <v>1.7528863810440374E-4</v>
      </c>
      <c r="W9" s="4">
        <v>2.099095240385641E-5</v>
      </c>
      <c r="X9" s="4">
        <v>6.427445122206303E-6</v>
      </c>
      <c r="Y9" s="4">
        <v>5.6868472073255772E-7</v>
      </c>
      <c r="Z9" s="4">
        <v>2.8318558805657033E-7</v>
      </c>
      <c r="AA9" s="4">
        <v>7.1910701416239159E-9</v>
      </c>
      <c r="AB9" s="4">
        <v>1.4060476009228761E-9</v>
      </c>
      <c r="AC9" s="4">
        <v>3.2240605547858713E-11</v>
      </c>
      <c r="AD9" s="4">
        <v>1.4798522681771511E-11</v>
      </c>
      <c r="AE9" s="4">
        <v>2.4733145970961723E-13</v>
      </c>
      <c r="AF9" s="4">
        <v>2.3824911353439541E-14</v>
      </c>
      <c r="AG9" s="4"/>
      <c r="AH9" s="4"/>
      <c r="AI9" s="4"/>
      <c r="AJ9" s="4"/>
      <c r="AK9" s="4"/>
      <c r="AL9" s="4"/>
      <c r="AM9" s="4"/>
      <c r="AN9" s="4"/>
      <c r="AO9" s="4"/>
      <c r="AP9" s="4"/>
      <c r="AQ9" s="4"/>
      <c r="AR9" s="4"/>
      <c r="AS9" s="4"/>
      <c r="AT9" s="4"/>
      <c r="AU9" s="4"/>
      <c r="AV9" s="4"/>
      <c r="AW9" s="4"/>
      <c r="AX9" s="4"/>
      <c r="AY9" s="4"/>
      <c r="AZ9" s="4"/>
      <c r="BA9" s="4"/>
      <c r="BB9" s="4"/>
    </row>
    <row r="10" spans="1:54" x14ac:dyDescent="0.3">
      <c r="A10" s="4">
        <v>4600</v>
      </c>
      <c r="B10" s="4"/>
      <c r="C10" s="4">
        <v>-507.18752875686829</v>
      </c>
      <c r="D10" s="4">
        <v>-98.426012362981538</v>
      </c>
      <c r="E10" s="4">
        <v>-24.118907354128368</v>
      </c>
      <c r="F10" s="4">
        <v>-281.36818606352733</v>
      </c>
      <c r="G10" s="4">
        <v>-77.945033717786586</v>
      </c>
      <c r="H10" s="4">
        <v>-132.37327692476123</v>
      </c>
      <c r="I10" s="4">
        <v>-127.74253031182704</v>
      </c>
      <c r="J10" s="4">
        <v>-162.58572219955687</v>
      </c>
      <c r="K10" s="4">
        <v>-28.851389434593752</v>
      </c>
      <c r="L10" s="4">
        <v>-51.318329038153536</v>
      </c>
      <c r="M10" s="4">
        <v>-14.846701174155434</v>
      </c>
      <c r="N10" s="4">
        <v>-10.683540566247792</v>
      </c>
      <c r="O10" s="4">
        <v>-2.7801467315090864</v>
      </c>
      <c r="P10" s="4">
        <v>-1.0581332233683971</v>
      </c>
      <c r="Q10" s="4">
        <v>-0.19761332549660091</v>
      </c>
      <c r="R10" s="4">
        <v>-6.4475833969136906E-2</v>
      </c>
      <c r="S10" s="4">
        <v>-1.5519211108879882E-2</v>
      </c>
      <c r="T10" s="4">
        <v>2.8195383007243206E-4</v>
      </c>
      <c r="U10" s="4">
        <v>-2.0260092759561538E-4</v>
      </c>
      <c r="V10" s="4">
        <v>3.2532318824474209E-4</v>
      </c>
      <c r="W10" s="4">
        <v>4.0537514058853917E-5</v>
      </c>
      <c r="X10" s="4">
        <v>1.291905501655026E-5</v>
      </c>
      <c r="Y10" s="4">
        <v>1.1899707103692804E-6</v>
      </c>
      <c r="Z10" s="4">
        <v>6.170415602109856E-7</v>
      </c>
      <c r="AA10" s="4">
        <v>1.6320101892031198E-8</v>
      </c>
      <c r="AB10" s="4">
        <v>3.3244842106825005E-9</v>
      </c>
      <c r="AC10" s="4">
        <v>7.9438774733112537E-11</v>
      </c>
      <c r="AD10" s="4">
        <v>3.8007067663459268E-11</v>
      </c>
      <c r="AE10" s="4">
        <v>6.6230033512346194E-13</v>
      </c>
      <c r="AF10" s="4">
        <v>6.6535113697231709E-14</v>
      </c>
      <c r="AG10" s="4"/>
      <c r="AH10" s="4"/>
      <c r="AI10" s="4"/>
      <c r="AJ10" s="4"/>
      <c r="AK10" s="4"/>
      <c r="AL10" s="4"/>
      <c r="AM10" s="4"/>
      <c r="AN10" s="4"/>
      <c r="AO10" s="4"/>
      <c r="AP10" s="4"/>
      <c r="AQ10" s="4"/>
      <c r="AR10" s="4"/>
      <c r="AS10" s="4"/>
      <c r="AT10" s="4"/>
      <c r="AU10" s="4"/>
      <c r="AV10" s="4"/>
      <c r="AW10" s="4"/>
      <c r="AX10" s="4"/>
      <c r="AY10" s="4"/>
      <c r="AZ10" s="4"/>
      <c r="BA10" s="4"/>
      <c r="BB10" s="4"/>
    </row>
    <row r="11" spans="1:54" x14ac:dyDescent="0.3">
      <c r="A11" s="4">
        <v>4590</v>
      </c>
      <c r="B11" s="4"/>
      <c r="C11" s="4">
        <v>-543.2124502772831</v>
      </c>
      <c r="D11" s="4">
        <v>-91.410027568308053</v>
      </c>
      <c r="E11" s="4">
        <v>-23.220096768488489</v>
      </c>
      <c r="F11" s="4">
        <v>-280.8591054024559</v>
      </c>
      <c r="G11" s="4">
        <v>-80.685349756264927</v>
      </c>
      <c r="H11" s="4">
        <v>-142.13001826002289</v>
      </c>
      <c r="I11" s="4">
        <v>-142.29438099557353</v>
      </c>
      <c r="J11" s="4">
        <v>-187.9272870636708</v>
      </c>
      <c r="K11" s="4">
        <v>-34.611372439417771</v>
      </c>
      <c r="L11" s="4">
        <v>-63.908656726822251</v>
      </c>
      <c r="M11" s="4">
        <v>-19.197457295636578</v>
      </c>
      <c r="N11" s="4">
        <v>-14.346567594373173</v>
      </c>
      <c r="O11" s="4">
        <v>-3.8780476626474352</v>
      </c>
      <c r="P11" s="4">
        <v>-1.5335326362854425</v>
      </c>
      <c r="Q11" s="4">
        <v>-0.29762668444105372</v>
      </c>
      <c r="R11" s="4">
        <v>-0.10093746760356367</v>
      </c>
      <c r="S11" s="4">
        <v>-2.5259388493426016E-2</v>
      </c>
      <c r="T11" s="4">
        <v>4.7723034729929564E-4</v>
      </c>
      <c r="U11" s="4">
        <v>-3.566881027252006E-4</v>
      </c>
      <c r="V11" s="4">
        <v>5.9588276100343502E-4</v>
      </c>
      <c r="W11" s="4">
        <v>7.7268805747523559E-5</v>
      </c>
      <c r="X11" s="4">
        <v>2.5632031826324434E-5</v>
      </c>
      <c r="Y11" s="4">
        <v>2.4580964759646298E-6</v>
      </c>
      <c r="Z11" s="4">
        <v>1.3273757577260731E-6</v>
      </c>
      <c r="AA11" s="4">
        <v>3.6570162728531583E-8</v>
      </c>
      <c r="AB11" s="4">
        <v>7.7617908902546839E-9</v>
      </c>
      <c r="AC11" s="4">
        <v>1.9329217053989467E-10</v>
      </c>
      <c r="AD11" s="4">
        <v>9.6405531668867192E-11</v>
      </c>
      <c r="AE11" s="4">
        <v>1.7517076740081952E-12</v>
      </c>
      <c r="AF11" s="4">
        <v>1.835444517156581E-13</v>
      </c>
      <c r="AG11" s="4"/>
      <c r="AH11" s="4"/>
      <c r="AI11" s="4"/>
      <c r="AJ11" s="4"/>
      <c r="AK11" s="4"/>
      <c r="AL11" s="4"/>
      <c r="AM11" s="4"/>
      <c r="AN11" s="4"/>
      <c r="AO11" s="4"/>
      <c r="AP11" s="4"/>
      <c r="AQ11" s="4"/>
      <c r="AR11" s="4"/>
      <c r="AS11" s="4"/>
      <c r="AT11" s="4"/>
      <c r="AU11" s="4"/>
      <c r="AV11" s="4"/>
      <c r="AW11" s="4"/>
      <c r="AX11" s="4"/>
      <c r="AY11" s="4"/>
      <c r="AZ11" s="4"/>
      <c r="BA11" s="4"/>
      <c r="BB11" s="4"/>
    </row>
    <row r="12" spans="1:54" x14ac:dyDescent="0.3">
      <c r="A12" s="4">
        <v>4580</v>
      </c>
      <c r="B12" s="4"/>
      <c r="C12" s="4">
        <v>-578.08238966323779</v>
      </c>
      <c r="D12" s="4">
        <v>-83.652771055629358</v>
      </c>
      <c r="E12" s="4">
        <v>-22.029621565262673</v>
      </c>
      <c r="F12" s="4">
        <v>-276.29491916784428</v>
      </c>
      <c r="G12" s="4">
        <v>-82.320166471626251</v>
      </c>
      <c r="H12" s="4">
        <v>-150.42196376619961</v>
      </c>
      <c r="I12" s="4">
        <v>-156.24810595023561</v>
      </c>
      <c r="J12" s="4">
        <v>-214.14457430024368</v>
      </c>
      <c r="K12" s="4">
        <v>-40.936990440152883</v>
      </c>
      <c r="L12" s="4">
        <v>-78.474269932861176</v>
      </c>
      <c r="M12" s="4">
        <v>-24.477861544826194</v>
      </c>
      <c r="N12" s="4">
        <v>-18.999083248679963</v>
      </c>
      <c r="O12" s="4">
        <v>-5.3351472790504486</v>
      </c>
      <c r="P12" s="4">
        <v>-2.1921474467392823</v>
      </c>
      <c r="Q12" s="4">
        <v>-0.44216870571443878</v>
      </c>
      <c r="R12" s="4">
        <v>-0.15588523359232387</v>
      </c>
      <c r="S12" s="4">
        <v>-4.0561127202023733E-2</v>
      </c>
      <c r="T12" s="4">
        <v>7.9698320494748414E-4</v>
      </c>
      <c r="U12" s="4">
        <v>-6.1964674059859467E-4</v>
      </c>
      <c r="V12" s="4">
        <v>1.0770912184069163E-3</v>
      </c>
      <c r="W12" s="4">
        <v>1.4535664294261391E-4</v>
      </c>
      <c r="X12" s="4">
        <v>5.019458610874107E-5</v>
      </c>
      <c r="Y12" s="4">
        <v>5.0121184376611885E-6</v>
      </c>
      <c r="Z12" s="4">
        <v>2.8188470915496738E-6</v>
      </c>
      <c r="AA12" s="4">
        <v>8.0903581702363819E-8</v>
      </c>
      <c r="AB12" s="4">
        <v>1.7892677181995597E-8</v>
      </c>
      <c r="AC12" s="4">
        <v>4.6441993140253682E-10</v>
      </c>
      <c r="AD12" s="4">
        <v>2.4148701625952781E-10</v>
      </c>
      <c r="AE12" s="4">
        <v>4.5757486364823164E-12</v>
      </c>
      <c r="AF12" s="4">
        <v>5.0010979939966919E-13</v>
      </c>
      <c r="AG12" s="4"/>
      <c r="AH12" s="4"/>
      <c r="AI12" s="4"/>
      <c r="AJ12" s="4"/>
      <c r="AK12" s="4"/>
      <c r="AL12" s="4"/>
      <c r="AM12" s="4"/>
      <c r="AN12" s="4"/>
      <c r="AO12" s="4"/>
      <c r="AP12" s="4"/>
      <c r="AQ12" s="4"/>
      <c r="AR12" s="4"/>
      <c r="AS12" s="4"/>
      <c r="AT12" s="4"/>
      <c r="AU12" s="4"/>
      <c r="AV12" s="4"/>
      <c r="AW12" s="4"/>
      <c r="AX12" s="4"/>
      <c r="AY12" s="4"/>
      <c r="AZ12" s="4"/>
      <c r="BA12" s="4"/>
      <c r="BB12" s="4"/>
    </row>
    <row r="13" spans="1:54" x14ac:dyDescent="0.3">
      <c r="A13" s="4">
        <v>4570</v>
      </c>
      <c r="B13" s="4"/>
      <c r="C13" s="4">
        <v>-611.3974389243316</v>
      </c>
      <c r="D13" s="4">
        <v>-75.427124867831282</v>
      </c>
      <c r="E13" s="4">
        <v>-20.594203499814228</v>
      </c>
      <c r="F13" s="4">
        <v>-267.8469148169446</v>
      </c>
      <c r="G13" s="4">
        <v>-82.771675825585817</v>
      </c>
      <c r="H13" s="4">
        <v>-156.904512897036</v>
      </c>
      <c r="I13" s="4">
        <v>-169.11241323341724</v>
      </c>
      <c r="J13" s="4">
        <v>-240.54325913880484</v>
      </c>
      <c r="K13" s="4">
        <v>-47.732837598246945</v>
      </c>
      <c r="L13" s="4">
        <v>-95.002425447292779</v>
      </c>
      <c r="M13" s="4">
        <v>-30.773636279264039</v>
      </c>
      <c r="N13" s="4">
        <v>-24.810117910908403</v>
      </c>
      <c r="O13" s="4">
        <v>-7.2381470310663669</v>
      </c>
      <c r="P13" s="4">
        <v>-3.0905131646007309</v>
      </c>
      <c r="Q13" s="4">
        <v>-0.64792512925866608</v>
      </c>
      <c r="R13" s="4">
        <v>-0.23747343718110331</v>
      </c>
      <c r="S13" s="4">
        <v>-6.4252747180904207E-2</v>
      </c>
      <c r="T13" s="4">
        <v>1.3131127584111802E-3</v>
      </c>
      <c r="U13" s="4">
        <v>-1.0621085445829677E-3</v>
      </c>
      <c r="V13" s="4">
        <v>1.9211045943529298E-3</v>
      </c>
      <c r="W13" s="4">
        <v>2.6984248644095339E-4</v>
      </c>
      <c r="X13" s="4">
        <v>9.7009353407400247E-5</v>
      </c>
      <c r="Y13" s="4">
        <v>1.0087068539355942E-5</v>
      </c>
      <c r="Z13" s="4">
        <v>5.9089319905511801E-6</v>
      </c>
      <c r="AA13" s="4">
        <v>1.7668808684023569E-7</v>
      </c>
      <c r="AB13" s="4">
        <v>4.0721750992902144E-8</v>
      </c>
      <c r="AC13" s="4">
        <v>1.1017535887503889E-9</v>
      </c>
      <c r="AD13" s="4">
        <v>5.973133291892465E-10</v>
      </c>
      <c r="AE13" s="4">
        <v>1.1803724788482806E-11</v>
      </c>
      <c r="AF13" s="4">
        <v>1.3458166878505811E-12</v>
      </c>
      <c r="AG13" s="4"/>
      <c r="AH13" s="4"/>
      <c r="AI13" s="4"/>
      <c r="AJ13" s="4"/>
      <c r="AK13" s="4"/>
      <c r="AL13" s="4"/>
      <c r="AM13" s="4"/>
      <c r="AN13" s="4"/>
      <c r="AO13" s="4"/>
      <c r="AP13" s="4"/>
      <c r="AQ13" s="4"/>
      <c r="AR13" s="4"/>
      <c r="AS13" s="4"/>
      <c r="AT13" s="4"/>
      <c r="AU13" s="4"/>
      <c r="AV13" s="4"/>
      <c r="AW13" s="4"/>
      <c r="AX13" s="4"/>
      <c r="AY13" s="4"/>
      <c r="AZ13" s="4"/>
      <c r="BA13" s="4"/>
      <c r="BB13" s="4"/>
    </row>
    <row r="14" spans="1:54" x14ac:dyDescent="0.3">
      <c r="A14" s="4">
        <v>4560</v>
      </c>
      <c r="B14" s="4"/>
      <c r="C14" s="4">
        <v>-642.77437226327652</v>
      </c>
      <c r="D14" s="4">
        <v>-67.002862501018967</v>
      </c>
      <c r="E14" s="4">
        <v>-18.968627872710886</v>
      </c>
      <c r="F14" s="4">
        <v>-255.85146597470492</v>
      </c>
      <c r="G14" s="4">
        <v>-82.012398743399416</v>
      </c>
      <c r="H14" s="4">
        <v>-161.29347954049197</v>
      </c>
      <c r="I14" s="4">
        <v>-180.39667847459592</v>
      </c>
      <c r="J14" s="4">
        <v>-266.32194572339569</v>
      </c>
      <c r="K14" s="4">
        <v>-54.863279382833035</v>
      </c>
      <c r="L14" s="4">
        <v>-113.3811848874312</v>
      </c>
      <c r="M14" s="4">
        <v>-38.143361948283392</v>
      </c>
      <c r="N14" s="4">
        <v>-31.944489008136841</v>
      </c>
      <c r="O14" s="4">
        <v>-9.6831275780431998</v>
      </c>
      <c r="P14" s="4">
        <v>-4.2967020327334042</v>
      </c>
      <c r="Q14" s="4">
        <v>-0.93635858888012369</v>
      </c>
      <c r="R14" s="4">
        <v>-0.35681459753780898</v>
      </c>
      <c r="S14" s="4">
        <v>-0.10039869761681593</v>
      </c>
      <c r="T14" s="4">
        <v>2.1342582116266775E-3</v>
      </c>
      <c r="U14" s="4">
        <v>-1.7960703386680015E-3</v>
      </c>
      <c r="V14" s="4">
        <v>3.3807813251464382E-3</v>
      </c>
      <c r="W14" s="4">
        <v>4.9430088250448857E-4</v>
      </c>
      <c r="X14" s="4">
        <v>1.8501811273527132E-4</v>
      </c>
      <c r="Y14" s="4">
        <v>2.0035078506242499E-5</v>
      </c>
      <c r="Z14" s="4">
        <v>1.2225528837918117E-5</v>
      </c>
      <c r="AA14" s="4">
        <v>3.808964932352991E-7</v>
      </c>
      <c r="AB14" s="4">
        <v>9.1490707234367668E-8</v>
      </c>
      <c r="AC14" s="4">
        <v>2.5804592239990169E-9</v>
      </c>
      <c r="AD14" s="4">
        <v>1.458778170738057E-9</v>
      </c>
      <c r="AE14" s="4">
        <v>3.0067311362814365E-11</v>
      </c>
      <c r="AF14" s="4">
        <v>3.5765581024607569E-12</v>
      </c>
      <c r="AG14" s="4"/>
      <c r="AH14" s="4"/>
      <c r="AI14" s="4"/>
      <c r="AJ14" s="4"/>
      <c r="AK14" s="4"/>
      <c r="AL14" s="4"/>
      <c r="AM14" s="4"/>
      <c r="AN14" s="4"/>
      <c r="AO14" s="4"/>
      <c r="AP14" s="4"/>
      <c r="AQ14" s="4"/>
      <c r="AR14" s="4"/>
      <c r="AS14" s="4"/>
      <c r="AT14" s="4"/>
      <c r="AU14" s="4"/>
      <c r="AV14" s="4"/>
      <c r="AW14" s="4"/>
      <c r="AX14" s="4"/>
      <c r="AY14" s="4"/>
      <c r="AZ14" s="4"/>
      <c r="BA14" s="4"/>
      <c r="BB14" s="4"/>
    </row>
    <row r="15" spans="1:54" x14ac:dyDescent="0.3">
      <c r="A15" s="4">
        <v>4550</v>
      </c>
      <c r="B15" s="4"/>
      <c r="C15" s="4">
        <v>-671.85122454527868</v>
      </c>
      <c r="D15" s="4">
        <v>-58.632073793377963</v>
      </c>
      <c r="E15" s="4">
        <v>-17.212242291555139</v>
      </c>
      <c r="F15" s="4">
        <v>-240.78781098903625</v>
      </c>
      <c r="G15" s="4">
        <v>-80.067728421407878</v>
      </c>
      <c r="H15" s="4">
        <v>-163.38549704636776</v>
      </c>
      <c r="I15" s="4">
        <v>-189.64097837378375</v>
      </c>
      <c r="J15" s="4">
        <v>-290.60748680286855</v>
      </c>
      <c r="K15" s="4">
        <v>-62.153849271635025</v>
      </c>
      <c r="L15" s="4">
        <v>-133.38436396984267</v>
      </c>
      <c r="M15" s="4">
        <v>-46.607180724066311</v>
      </c>
      <c r="N15" s="4">
        <v>-40.550205302455616</v>
      </c>
      <c r="O15" s="4">
        <v>-12.772337663278181</v>
      </c>
      <c r="P15" s="4">
        <v>-5.8903765755540141</v>
      </c>
      <c r="Q15" s="4">
        <v>-1.3344418914406737</v>
      </c>
      <c r="R15" s="4">
        <v>-0.52874638014870812</v>
      </c>
      <c r="S15" s="4">
        <v>-0.15473160018798013</v>
      </c>
      <c r="T15" s="4">
        <v>3.4217164742348996E-3</v>
      </c>
      <c r="U15" s="4">
        <v>-2.9961784774345983E-3</v>
      </c>
      <c r="V15" s="4">
        <v>5.8696344891688108E-3</v>
      </c>
      <c r="W15" s="4">
        <v>8.9338484593966543E-4</v>
      </c>
      <c r="X15" s="4">
        <v>3.4819255872078653E-4</v>
      </c>
      <c r="Y15" s="4">
        <v>3.9269956675514611E-5</v>
      </c>
      <c r="Z15" s="4">
        <v>2.4963676396447876E-5</v>
      </c>
      <c r="AA15" s="4">
        <v>8.104534497803791E-7</v>
      </c>
      <c r="AB15" s="4">
        <v>2.0290293518997303E-7</v>
      </c>
      <c r="AC15" s="4">
        <v>5.9663672884135752E-9</v>
      </c>
      <c r="AD15" s="4">
        <v>3.5173587237926806E-9</v>
      </c>
      <c r="AE15" s="4">
        <v>7.5622428943406829E-11</v>
      </c>
      <c r="AF15" s="4">
        <v>9.3856762939170878E-12</v>
      </c>
      <c r="AG15" s="4"/>
      <c r="AH15" s="4"/>
      <c r="AI15" s="4"/>
      <c r="AJ15" s="4"/>
      <c r="AK15" s="4"/>
      <c r="AL15" s="4"/>
      <c r="AM15" s="4"/>
      <c r="AN15" s="4"/>
      <c r="AO15" s="4"/>
      <c r="AP15" s="4"/>
      <c r="AQ15" s="4"/>
      <c r="AR15" s="4"/>
      <c r="AS15" s="4"/>
      <c r="AT15" s="4"/>
      <c r="AU15" s="4"/>
      <c r="AV15" s="4"/>
      <c r="AW15" s="4"/>
      <c r="AX15" s="4"/>
      <c r="AY15" s="4"/>
      <c r="AZ15" s="4"/>
      <c r="BA15" s="4"/>
      <c r="BB15" s="4"/>
    </row>
    <row r="16" spans="1:54" x14ac:dyDescent="0.3">
      <c r="A16" s="4">
        <v>4540</v>
      </c>
      <c r="B16" s="4"/>
      <c r="C16" s="4">
        <v>-698.2912446791787</v>
      </c>
      <c r="D16" s="4">
        <v>-50.537111884797525</v>
      </c>
      <c r="E16" s="4">
        <v>-15.385333880601298</v>
      </c>
      <c r="F16" s="4">
        <v>-223.2461049081727</v>
      </c>
      <c r="G16" s="4">
        <v>-77.014651728190501</v>
      </c>
      <c r="H16" s="4">
        <v>-163.07346400115614</v>
      </c>
      <c r="I16" s="4">
        <v>-196.44653664708699</v>
      </c>
      <c r="J16" s="4">
        <v>-312.50057194392713</v>
      </c>
      <c r="K16" s="4">
        <v>-69.395978707097754</v>
      </c>
      <c r="L16" s="4">
        <v>-154.66245363480951</v>
      </c>
      <c r="M16" s="4">
        <v>-56.135678646998215</v>
      </c>
      <c r="N16" s="4">
        <v>-50.743321585356689</v>
      </c>
      <c r="O16" s="4">
        <v>-16.609268371970185</v>
      </c>
      <c r="P16" s="4">
        <v>-7.9618339775649734</v>
      </c>
      <c r="Q16" s="4">
        <v>-1.8752382050233327</v>
      </c>
      <c r="R16" s="4">
        <v>-0.77266065096566816</v>
      </c>
      <c r="S16" s="4">
        <v>-0.2351819866392578</v>
      </c>
      <c r="T16" s="4">
        <v>5.4106931582920256E-3</v>
      </c>
      <c r="U16" s="4">
        <v>-4.9301688381762363E-3</v>
      </c>
      <c r="V16" s="4">
        <v>1.005293747027021E-2</v>
      </c>
      <c r="W16" s="4">
        <v>1.5929866058298032E-3</v>
      </c>
      <c r="X16" s="4">
        <v>6.4653152053772674E-4</v>
      </c>
      <c r="Y16" s="4">
        <v>7.5951025025084413E-5</v>
      </c>
      <c r="Z16" s="4">
        <v>5.0302825378609894E-5</v>
      </c>
      <c r="AA16" s="4">
        <v>1.7018899022877699E-6</v>
      </c>
      <c r="AB16" s="4">
        <v>4.4414169157180177E-7</v>
      </c>
      <c r="AC16" s="4">
        <v>1.3617101184663879E-8</v>
      </c>
      <c r="AD16" s="4">
        <v>8.372320421426332E-9</v>
      </c>
      <c r="AE16" s="4">
        <v>1.8777974648001828E-10</v>
      </c>
      <c r="AF16" s="4">
        <v>2.4319158220957831E-11</v>
      </c>
      <c r="AG16" s="4"/>
      <c r="AH16" s="4"/>
      <c r="AI16" s="4"/>
      <c r="AJ16" s="4"/>
      <c r="AK16" s="4"/>
      <c r="AL16" s="4"/>
      <c r="AM16" s="4"/>
      <c r="AN16" s="4"/>
      <c r="AO16" s="4"/>
      <c r="AP16" s="4"/>
      <c r="AQ16" s="4"/>
      <c r="AR16" s="4"/>
      <c r="AS16" s="4"/>
      <c r="AT16" s="4"/>
      <c r="AU16" s="4"/>
      <c r="AV16" s="4"/>
      <c r="AW16" s="4"/>
      <c r="AX16" s="4"/>
      <c r="AY16" s="4"/>
      <c r="AZ16" s="4"/>
      <c r="BA16" s="4"/>
      <c r="BB16" s="4"/>
    </row>
    <row r="17" spans="1:54" x14ac:dyDescent="0.3">
      <c r="A17" s="4">
        <v>4530</v>
      </c>
      <c r="B17" s="4"/>
      <c r="C17" s="4">
        <v>-721.78641687486777</v>
      </c>
      <c r="D17" s="4">
        <v>-42.901815762208592</v>
      </c>
      <c r="E17" s="4">
        <v>-13.54569579784944</v>
      </c>
      <c r="F17" s="4">
        <v>-203.88872809302168</v>
      </c>
      <c r="G17" s="4">
        <v>-72.976721064992788</v>
      </c>
      <c r="H17" s="4">
        <v>-160.35541551956584</v>
      </c>
      <c r="I17" s="4">
        <v>-200.50384398688286</v>
      </c>
      <c r="J17" s="4">
        <v>-331.12865415225514</v>
      </c>
      <c r="K17" s="4">
        <v>-76.355179291953419</v>
      </c>
      <c r="L17" s="4">
        <v>-176.74168210235118</v>
      </c>
      <c r="M17" s="4">
        <v>-66.640099006976769</v>
      </c>
      <c r="N17" s="4">
        <v>-62.590993118843286</v>
      </c>
      <c r="O17" s="4">
        <v>-21.291906047689114</v>
      </c>
      <c r="P17" s="4">
        <v>-10.609724943483773</v>
      </c>
      <c r="Q17" s="4">
        <v>-2.5981929805627044</v>
      </c>
      <c r="R17" s="4">
        <v>-1.1133349010762281</v>
      </c>
      <c r="S17" s="4">
        <v>-0.35250266330215352</v>
      </c>
      <c r="T17" s="4">
        <v>8.4378731564922135E-3</v>
      </c>
      <c r="U17" s="4">
        <v>-8.0013859958692791E-3</v>
      </c>
      <c r="V17" s="4">
        <v>1.6983318840649655E-2</v>
      </c>
      <c r="W17" s="4">
        <v>2.8020242895122186E-3</v>
      </c>
      <c r="X17" s="4">
        <v>1.1843633269623792E-3</v>
      </c>
      <c r="Y17" s="4">
        <v>1.4493421541936964E-4</v>
      </c>
      <c r="Z17" s="4">
        <v>1.0001831978968173E-4</v>
      </c>
      <c r="AA17" s="4">
        <v>3.5267745862994365E-6</v>
      </c>
      <c r="AB17" s="4">
        <v>9.5948318241656897E-7</v>
      </c>
      <c r="AC17" s="4">
        <v>3.0674815511416344E-8</v>
      </c>
      <c r="AD17" s="4">
        <v>1.9671518563668591E-8</v>
      </c>
      <c r="AE17" s="4">
        <v>4.603098272376259E-10</v>
      </c>
      <c r="AF17" s="4">
        <v>6.2212211236044015E-11</v>
      </c>
      <c r="AG17" s="4"/>
      <c r="AH17" s="4"/>
      <c r="AI17" s="4"/>
      <c r="AJ17" s="4"/>
      <c r="AK17" s="4"/>
      <c r="AL17" s="4"/>
      <c r="AM17" s="4"/>
      <c r="AN17" s="4"/>
      <c r="AO17" s="4"/>
      <c r="AP17" s="4"/>
      <c r="AQ17" s="4"/>
      <c r="AR17" s="4"/>
      <c r="AS17" s="4"/>
      <c r="AT17" s="4"/>
      <c r="AU17" s="4"/>
      <c r="AV17" s="4"/>
      <c r="AW17" s="4"/>
      <c r="AX17" s="4"/>
      <c r="AY17" s="4"/>
      <c r="AZ17" s="4"/>
      <c r="BA17" s="4"/>
      <c r="BB17" s="4"/>
    </row>
    <row r="18" spans="1:54" x14ac:dyDescent="0.3">
      <c r="A18" s="4">
        <v>4520</v>
      </c>
      <c r="B18" s="4"/>
      <c r="C18" s="4">
        <v>-742.0606972256719</v>
      </c>
      <c r="D18" s="4">
        <v>-35.866375800762725</v>
      </c>
      <c r="E18" s="4">
        <v>-11.745655511001075</v>
      </c>
      <c r="F18" s="4">
        <v>-183.40841696058544</v>
      </c>
      <c r="G18" s="4">
        <v>-68.115730499095946</v>
      </c>
      <c r="H18" s="4">
        <v>-155.33581672622014</v>
      </c>
      <c r="I18" s="4">
        <v>-201.61573389616788</v>
      </c>
      <c r="J18" s="4">
        <v>-345.70212828155002</v>
      </c>
      <c r="K18" s="4">
        <v>-82.782433734047501</v>
      </c>
      <c r="L18" s="4">
        <v>-199.03292172047193</v>
      </c>
      <c r="M18" s="4">
        <v>-77.965181483701926</v>
      </c>
      <c r="N18" s="4">
        <v>-76.093920866727458</v>
      </c>
      <c r="O18" s="4">
        <v>-26.904239737798129</v>
      </c>
      <c r="P18" s="4">
        <v>-13.937165710985393</v>
      </c>
      <c r="Q18" s="4">
        <v>-3.5489763060959536</v>
      </c>
      <c r="R18" s="4">
        <v>-1.5816748231658135</v>
      </c>
      <c r="S18" s="4">
        <v>-0.52097026698990601</v>
      </c>
      <c r="T18" s="4">
        <v>1.297607436068713E-2</v>
      </c>
      <c r="U18" s="4">
        <v>-1.2806698377735596E-2</v>
      </c>
      <c r="V18" s="4">
        <v>2.829822436819502E-2</v>
      </c>
      <c r="W18" s="4">
        <v>4.8615801354416604E-3</v>
      </c>
      <c r="X18" s="4">
        <v>2.1402522123002894E-3</v>
      </c>
      <c r="Y18" s="4">
        <v>2.7285516073136974E-4</v>
      </c>
      <c r="Z18" s="4">
        <v>1.9621406784531287E-4</v>
      </c>
      <c r="AA18" s="4">
        <v>7.211523842032517E-6</v>
      </c>
      <c r="AB18" s="4">
        <v>2.0454846478611272E-6</v>
      </c>
      <c r="AC18" s="4">
        <v>6.8196559798371434E-8</v>
      </c>
      <c r="AD18" s="4">
        <v>4.561982092914932E-8</v>
      </c>
      <c r="AE18" s="4">
        <v>1.1138227198163017E-9</v>
      </c>
      <c r="AF18" s="4">
        <v>1.571115109730429E-10</v>
      </c>
      <c r="AG18" s="4"/>
      <c r="AH18" s="4"/>
      <c r="AI18" s="4"/>
      <c r="AJ18" s="4"/>
      <c r="AK18" s="4"/>
      <c r="AL18" s="4"/>
      <c r="AM18" s="4"/>
      <c r="AN18" s="4"/>
      <c r="AO18" s="4"/>
      <c r="AP18" s="4"/>
      <c r="AQ18" s="4"/>
      <c r="AR18" s="4"/>
      <c r="AS18" s="4"/>
      <c r="AT18" s="4"/>
      <c r="AU18" s="4"/>
      <c r="AV18" s="4"/>
      <c r="AW18" s="4"/>
      <c r="AX18" s="4"/>
      <c r="AY18" s="4"/>
      <c r="AZ18" s="4"/>
      <c r="BA18" s="4"/>
      <c r="BB18" s="4"/>
    </row>
    <row r="19" spans="1:54" x14ac:dyDescent="0.3">
      <c r="A19" s="4">
        <v>4510</v>
      </c>
      <c r="B19" s="4"/>
      <c r="C19" s="4">
        <v>-758.87303627857921</v>
      </c>
      <c r="D19" s="4">
        <v>-29.525822578152582</v>
      </c>
      <c r="E19" s="4">
        <v>-10.029771218558393</v>
      </c>
      <c r="F19" s="4">
        <v>-162.48694059464708</v>
      </c>
      <c r="G19" s="4">
        <v>-62.620879639919629</v>
      </c>
      <c r="H19" s="4">
        <v>-148.2190297157328</v>
      </c>
      <c r="I19" s="4">
        <v>-199.71304655883512</v>
      </c>
      <c r="J19" s="4">
        <v>-355.56888529473252</v>
      </c>
      <c r="K19" s="4">
        <v>-88.428161903367581</v>
      </c>
      <c r="L19" s="4">
        <v>-220.85136395508468</v>
      </c>
      <c r="M19" s="4">
        <v>-89.885928292152343</v>
      </c>
      <c r="N19" s="4">
        <v>-91.169791965481636</v>
      </c>
      <c r="O19" s="4">
        <v>-33.506335079642355</v>
      </c>
      <c r="P19" s="4">
        <v>-18.04605073489423</v>
      </c>
      <c r="Q19" s="4">
        <v>-4.7786996241562942</v>
      </c>
      <c r="R19" s="4">
        <v>-2.215242639985961</v>
      </c>
      <c r="S19" s="4">
        <v>-0.75912658416652123</v>
      </c>
      <c r="T19" s="4">
        <v>1.9676262777755058E-2</v>
      </c>
      <c r="U19" s="4">
        <v>-2.0213268690069196E-2</v>
      </c>
      <c r="V19" s="4">
        <v>4.6500957782795747E-2</v>
      </c>
      <c r="W19" s="4">
        <v>8.3193233443097092E-3</v>
      </c>
      <c r="X19" s="4">
        <v>3.8149522491482731E-3</v>
      </c>
      <c r="Y19" s="4">
        <v>5.0673039112729369E-4</v>
      </c>
      <c r="Z19" s="4">
        <v>3.7975533304495811E-4</v>
      </c>
      <c r="AA19" s="4">
        <v>1.4549209655382479E-5</v>
      </c>
      <c r="AB19" s="4">
        <v>4.3028698375279773E-6</v>
      </c>
      <c r="AC19" s="4">
        <v>1.4961890083260723E-7</v>
      </c>
      <c r="AD19" s="4">
        <v>1.0441270812888568E-7</v>
      </c>
      <c r="AE19" s="4">
        <v>2.6601544750577098E-9</v>
      </c>
      <c r="AF19" s="4">
        <v>3.9165750549143066E-10</v>
      </c>
      <c r="AG19" s="4"/>
      <c r="AH19" s="4"/>
      <c r="AI19" s="4"/>
      <c r="AJ19" s="4"/>
      <c r="AK19" s="4"/>
      <c r="AL19" s="4"/>
      <c r="AM19" s="4"/>
      <c r="AN19" s="4"/>
      <c r="AO19" s="4"/>
      <c r="AP19" s="4"/>
      <c r="AQ19" s="4"/>
      <c r="AR19" s="4"/>
      <c r="AS19" s="4"/>
      <c r="AT19" s="4"/>
      <c r="AU19" s="4"/>
      <c r="AV19" s="4"/>
      <c r="AW19" s="4"/>
      <c r="AX19" s="4"/>
      <c r="AY19" s="4"/>
      <c r="AZ19" s="4"/>
      <c r="BA19" s="4"/>
      <c r="BB19" s="4"/>
    </row>
    <row r="20" spans="1:54" x14ac:dyDescent="0.3">
      <c r="A20" s="4">
        <v>4500</v>
      </c>
      <c r="B20" s="4"/>
      <c r="C20" s="4">
        <v>-772.02017041108888</v>
      </c>
      <c r="D20" s="4">
        <v>-23.931778465966833</v>
      </c>
      <c r="E20" s="4">
        <v>-8.4333193028829623</v>
      </c>
      <c r="F20" s="4">
        <v>-141.75777702064886</v>
      </c>
      <c r="G20" s="4">
        <v>-56.696443871506958</v>
      </c>
      <c r="H20" s="4">
        <v>-139.29550746550942</v>
      </c>
      <c r="I20" s="4">
        <v>-194.86117006272909</v>
      </c>
      <c r="J20" s="4">
        <v>-360.26209554102581</v>
      </c>
      <c r="K20" s="4">
        <v>-93.057761445560246</v>
      </c>
      <c r="L20" s="4">
        <v>-241.4468398541427</v>
      </c>
      <c r="M20" s="4">
        <v>-102.10943596371216</v>
      </c>
      <c r="N20" s="4">
        <v>-107.63963410893446</v>
      </c>
      <c r="O20" s="4">
        <v>-41.123557895008226</v>
      </c>
      <c r="P20" s="4">
        <v>-23.02952352496472</v>
      </c>
      <c r="Q20" s="4">
        <v>-6.3423348543605309</v>
      </c>
      <c r="R20" s="4">
        <v>-3.0584131834045776</v>
      </c>
      <c r="S20" s="4">
        <v>-1.0904967878953529</v>
      </c>
      <c r="T20" s="4">
        <v>2.9416380014184122E-2</v>
      </c>
      <c r="U20" s="4">
        <v>-3.1457330546345724E-2</v>
      </c>
      <c r="V20" s="4">
        <v>7.5351068109556829E-2</v>
      </c>
      <c r="W20" s="4">
        <v>1.4039849322895693E-2</v>
      </c>
      <c r="X20" s="4">
        <v>6.7068171362328396E-3</v>
      </c>
      <c r="Y20" s="4">
        <v>9.2824901285623715E-4</v>
      </c>
      <c r="Z20" s="4">
        <v>7.2503702369568831E-4</v>
      </c>
      <c r="AA20" s="4">
        <v>2.8958386792449143E-5</v>
      </c>
      <c r="AB20" s="4">
        <v>8.9306503241725589E-6</v>
      </c>
      <c r="AC20" s="4">
        <v>3.2390218800582116E-7</v>
      </c>
      <c r="AD20" s="4">
        <v>2.3582908328351574E-7</v>
      </c>
      <c r="AE20" s="4">
        <v>6.2702218281737911E-9</v>
      </c>
      <c r="AF20" s="4">
        <v>9.6367694832943119E-10</v>
      </c>
      <c r="AG20" s="4"/>
      <c r="AH20" s="4"/>
      <c r="AI20" s="4"/>
      <c r="AJ20" s="4"/>
      <c r="AK20" s="4"/>
      <c r="AL20" s="4"/>
      <c r="AM20" s="4"/>
      <c r="AN20" s="4"/>
      <c r="AO20" s="4"/>
      <c r="AP20" s="4"/>
      <c r="AQ20" s="4"/>
      <c r="AR20" s="4"/>
      <c r="AS20" s="4"/>
      <c r="AT20" s="4"/>
      <c r="AU20" s="4"/>
      <c r="AV20" s="4"/>
      <c r="AW20" s="4"/>
      <c r="AX20" s="4"/>
      <c r="AY20" s="4"/>
      <c r="AZ20" s="4"/>
      <c r="BA20" s="4"/>
      <c r="BB20" s="4"/>
    </row>
    <row r="21" spans="1:54" x14ac:dyDescent="0.3">
      <c r="A21" s="4">
        <v>4490</v>
      </c>
      <c r="B21" s="4"/>
      <c r="C21" s="4">
        <v>-781.3390857757405</v>
      </c>
      <c r="D21" s="4">
        <v>-19.09685306926918</v>
      </c>
      <c r="E21" s="4">
        <v>-6.9816066247390696</v>
      </c>
      <c r="F21" s="4">
        <v>-121.77560122909389</v>
      </c>
      <c r="G21" s="4">
        <v>-50.549081340214109</v>
      </c>
      <c r="H21" s="4">
        <v>-128.9220128795491</v>
      </c>
      <c r="I21" s="4">
        <v>-187.25664145250067</v>
      </c>
      <c r="J21" s="4">
        <v>-359.53640995444221</v>
      </c>
      <c r="K21" s="4">
        <v>-96.467433674015325</v>
      </c>
      <c r="L21" s="4">
        <v>-260.04345387160589</v>
      </c>
      <c r="M21" s="4">
        <v>-114.28258467780444</v>
      </c>
      <c r="N21" s="4">
        <v>-125.2191428305715</v>
      </c>
      <c r="O21" s="4">
        <v>-49.73580709782221</v>
      </c>
      <c r="P21" s="4">
        <v>-28.962773608508858</v>
      </c>
      <c r="Q21" s="4">
        <v>-8.2961944390189348</v>
      </c>
      <c r="R21" s="4">
        <v>-4.1619748605014131</v>
      </c>
      <c r="S21" s="4">
        <v>-1.5441922381072604</v>
      </c>
      <c r="T21" s="4">
        <v>4.3355199914889481E-2</v>
      </c>
      <c r="U21" s="4">
        <v>-4.8267113866772113E-2</v>
      </c>
      <c r="V21" s="4">
        <v>0.12039268547046435</v>
      </c>
      <c r="W21" s="4">
        <v>2.3364652330405349E-2</v>
      </c>
      <c r="X21" s="4">
        <v>1.1628019528869075E-2</v>
      </c>
      <c r="Y21" s="4">
        <v>1.6770796993872128E-3</v>
      </c>
      <c r="Z21" s="4">
        <v>1.3653944197237996E-3</v>
      </c>
      <c r="AA21" s="4">
        <v>5.6857948179257259E-5</v>
      </c>
      <c r="AB21" s="4">
        <v>1.8286487128975518E-5</v>
      </c>
      <c r="AC21" s="4">
        <v>6.9183789169153316E-7</v>
      </c>
      <c r="AD21" s="4">
        <v>5.2558792332343256E-7</v>
      </c>
      <c r="AE21" s="4">
        <v>1.4584924815541119E-8</v>
      </c>
      <c r="AF21" s="4">
        <v>2.3401474151970226E-9</v>
      </c>
      <c r="AG21" s="4"/>
      <c r="AH21" s="4"/>
      <c r="AI21" s="4"/>
      <c r="AJ21" s="4"/>
      <c r="AK21" s="4"/>
      <c r="AL21" s="4"/>
      <c r="AM21" s="4"/>
      <c r="AN21" s="4"/>
      <c r="AO21" s="4"/>
      <c r="AP21" s="4"/>
      <c r="AQ21" s="4"/>
      <c r="AR21" s="4"/>
      <c r="AS21" s="4"/>
      <c r="AT21" s="4"/>
      <c r="AU21" s="4"/>
      <c r="AV21" s="4"/>
      <c r="AW21" s="4"/>
      <c r="AX21" s="4"/>
      <c r="AY21" s="4"/>
      <c r="AZ21" s="4"/>
      <c r="BA21" s="4"/>
      <c r="BB21" s="4"/>
    </row>
    <row r="22" spans="1:54" x14ac:dyDescent="0.3">
      <c r="A22" s="4">
        <v>4480</v>
      </c>
      <c r="B22" s="4"/>
      <c r="C22" s="4">
        <v>-786.70900338667047</v>
      </c>
      <c r="D22" s="4">
        <v>-15.000908004574166</v>
      </c>
      <c r="E22" s="4">
        <v>-5.6900583780132763</v>
      </c>
      <c r="F22" s="4">
        <v>-102.99448900445717</v>
      </c>
      <c r="G22" s="4">
        <v>-44.375884961322178</v>
      </c>
      <c r="H22" s="4">
        <v>-117.49775007590881</v>
      </c>
      <c r="I22" s="4">
        <v>-177.21400929846158</v>
      </c>
      <c r="J22" s="4">
        <v>-353.38871423502877</v>
      </c>
      <c r="K22" s="4">
        <v>-98.498845112292344</v>
      </c>
      <c r="L22" s="4">
        <v>-275.88597242766394</v>
      </c>
      <c r="M22" s="4">
        <v>-126.00585823709596</v>
      </c>
      <c r="N22" s="4">
        <v>-143.51694113009586</v>
      </c>
      <c r="O22" s="4">
        <v>-59.26785694711301</v>
      </c>
      <c r="P22" s="4">
        <v>-35.892587217310748</v>
      </c>
      <c r="Q22" s="4">
        <v>-10.694393622560872</v>
      </c>
      <c r="R22" s="4">
        <v>-5.5819832319242249</v>
      </c>
      <c r="S22" s="4">
        <v>-2.1552747119310385</v>
      </c>
      <c r="T22" s="4">
        <v>6.2987764192383361E-2</v>
      </c>
      <c r="U22" s="4">
        <v>-7.3010075720754186E-2</v>
      </c>
      <c r="V22" s="4">
        <v>0.18964962741527283</v>
      </c>
      <c r="W22" s="4">
        <v>3.8338651760775708E-2</v>
      </c>
      <c r="X22" s="4">
        <v>1.9879952739727213E-2</v>
      </c>
      <c r="Y22" s="4">
        <v>2.9881550362052594E-3</v>
      </c>
      <c r="Z22" s="4">
        <v>2.5360419601263089E-3</v>
      </c>
      <c r="AA22" s="4">
        <v>1.1011558056164662E-4</v>
      </c>
      <c r="AB22" s="4">
        <v>3.6936768923805033E-5</v>
      </c>
      <c r="AC22" s="4">
        <v>1.4578643788842228E-6</v>
      </c>
      <c r="AD22" s="4">
        <v>1.1557312702322636E-6</v>
      </c>
      <c r="AE22" s="4">
        <v>3.3475753963334189E-8</v>
      </c>
      <c r="AF22" s="4">
        <v>5.6079162431656612E-9</v>
      </c>
      <c r="AG22" s="4"/>
      <c r="AH22" s="4"/>
      <c r="AI22" s="4"/>
      <c r="AJ22" s="4"/>
      <c r="AK22" s="4"/>
      <c r="AL22" s="4"/>
      <c r="AM22" s="4"/>
      <c r="AN22" s="4"/>
      <c r="AO22" s="4"/>
      <c r="AP22" s="4"/>
      <c r="AQ22" s="4"/>
      <c r="AR22" s="4"/>
      <c r="AS22" s="4"/>
      <c r="AT22" s="4"/>
      <c r="AU22" s="4"/>
      <c r="AV22" s="4"/>
      <c r="AW22" s="4"/>
      <c r="AX22" s="4"/>
      <c r="AY22" s="4"/>
      <c r="AZ22" s="4"/>
      <c r="BA22" s="4"/>
      <c r="BB22" s="4"/>
    </row>
    <row r="23" spans="1:54" x14ac:dyDescent="0.3">
      <c r="A23" s="4">
        <v>4470</v>
      </c>
      <c r="B23" s="4"/>
      <c r="C23" s="4">
        <v>-788.05271008915634</v>
      </c>
      <c r="D23" s="4">
        <v>-11.598367722632501</v>
      </c>
      <c r="E23" s="4">
        <v>-4.5649646734219411</v>
      </c>
      <c r="F23" s="4">
        <v>-85.755701613035939</v>
      </c>
      <c r="G23" s="4">
        <v>-38.354140582085371</v>
      </c>
      <c r="H23" s="4">
        <v>-105.43865253698246</v>
      </c>
      <c r="I23" s="4">
        <v>-165.14417176966288</v>
      </c>
      <c r="J23" s="4">
        <v>-342.06103881854102</v>
      </c>
      <c r="K23" s="4">
        <v>-99.051179244024155</v>
      </c>
      <c r="L23" s="4">
        <v>-288.28933771463909</v>
      </c>
      <c r="M23" s="4">
        <v>-136.85291929295119</v>
      </c>
      <c r="N23" s="4">
        <v>-162.04134878923145</v>
      </c>
      <c r="O23" s="4">
        <v>-69.582066081483106</v>
      </c>
      <c r="P23" s="4">
        <v>-43.826364114100144</v>
      </c>
      <c r="Q23" s="4">
        <v>-13.584313997139741</v>
      </c>
      <c r="R23" s="4">
        <v>-7.3776894188917606</v>
      </c>
      <c r="S23" s="4">
        <v>-2.9647314073414717</v>
      </c>
      <c r="T23" s="4">
        <v>9.0196889073831429E-2</v>
      </c>
      <c r="U23" s="4">
        <v>-0.10886136505537658</v>
      </c>
      <c r="V23" s="4">
        <v>0.29451184748073544</v>
      </c>
      <c r="W23" s="4">
        <v>6.2023010723144895E-2</v>
      </c>
      <c r="X23" s="4">
        <v>3.3512226735631388E-2</v>
      </c>
      <c r="Y23" s="4">
        <v>5.2501411913612496E-3</v>
      </c>
      <c r="Z23" s="4">
        <v>4.645297265353834E-3</v>
      </c>
      <c r="AA23" s="4">
        <v>2.1033217195647841E-4</v>
      </c>
      <c r="AB23" s="4">
        <v>7.359150651453971E-5</v>
      </c>
      <c r="AC23" s="4">
        <v>3.0304781709247476E-6</v>
      </c>
      <c r="AD23" s="4">
        <v>2.5072113403467964E-6</v>
      </c>
      <c r="AE23" s="4">
        <v>7.5808993405722788E-8</v>
      </c>
      <c r="AF23" s="4">
        <v>1.3260682315372591E-8</v>
      </c>
      <c r="AG23" s="4"/>
      <c r="AH23" s="4"/>
      <c r="AI23" s="4"/>
      <c r="AJ23" s="4"/>
      <c r="AK23" s="4"/>
      <c r="AL23" s="4"/>
      <c r="AM23" s="4"/>
      <c r="AN23" s="4"/>
      <c r="AO23" s="4"/>
      <c r="AP23" s="4"/>
      <c r="AQ23" s="4"/>
      <c r="AR23" s="4"/>
      <c r="AS23" s="4"/>
      <c r="AT23" s="4"/>
      <c r="AU23" s="4"/>
      <c r="AV23" s="4"/>
      <c r="AW23" s="4"/>
      <c r="AX23" s="4"/>
      <c r="AY23" s="4"/>
      <c r="AZ23" s="4"/>
      <c r="BA23" s="4"/>
      <c r="BB23" s="4"/>
    </row>
    <row r="24" spans="1:54" x14ac:dyDescent="0.3">
      <c r="A24" s="4">
        <v>4460</v>
      </c>
      <c r="B24" s="4"/>
      <c r="C24" s="4">
        <v>-785.33706693473187</v>
      </c>
      <c r="D24" s="4">
        <v>-8.825800186013554</v>
      </c>
      <c r="E24" s="4">
        <v>-3.6047233346204792</v>
      </c>
      <c r="F24" s="4">
        <v>-70.28488868393012</v>
      </c>
      <c r="G24" s="4">
        <v>-32.633506577661073</v>
      </c>
      <c r="H24" s="4">
        <v>-93.152157814270097</v>
      </c>
      <c r="I24" s="4">
        <v>-151.52627457506895</v>
      </c>
      <c r="J24" s="4">
        <v>-326.02504340422985</v>
      </c>
      <c r="K24" s="4">
        <v>-98.089316134878402</v>
      </c>
      <c r="L24" s="4">
        <v>-296.68693508055583</v>
      </c>
      <c r="M24" s="4">
        <v>-146.39485771915216</v>
      </c>
      <c r="N24" s="4">
        <v>-180.21656808292039</v>
      </c>
      <c r="O24" s="4">
        <v>-80.474738767563807</v>
      </c>
      <c r="P24" s="4">
        <v>-52.721586677138959</v>
      </c>
      <c r="Q24" s="4">
        <v>-17.00121742116427</v>
      </c>
      <c r="R24" s="4">
        <v>-9.6084117871152923</v>
      </c>
      <c r="S24" s="4">
        <v>-4.0188919710839341</v>
      </c>
      <c r="T24" s="4">
        <v>0.12729292609659498</v>
      </c>
      <c r="U24" s="4">
        <v>-0.15998579220806061</v>
      </c>
      <c r="V24" s="4">
        <v>0.45082683738067231</v>
      </c>
      <c r="W24" s="4">
        <v>9.8915614786448183E-2</v>
      </c>
      <c r="X24" s="4">
        <v>5.569641646766773E-2</v>
      </c>
      <c r="Y24" s="4">
        <v>9.0952604030618417E-3</v>
      </c>
      <c r="Z24" s="4">
        <v>8.3904914379099443E-3</v>
      </c>
      <c r="AA24" s="4">
        <v>3.9620523816852766E-4</v>
      </c>
      <c r="AB24" s="4">
        <v>1.4460891564412856E-4</v>
      </c>
      <c r="AC24" s="4">
        <v>6.2136250972517085E-6</v>
      </c>
      <c r="AD24" s="4">
        <v>5.365453024309934E-6</v>
      </c>
      <c r="AE24" s="4">
        <v>1.6936912749770671E-7</v>
      </c>
      <c r="AF24" s="4">
        <v>3.0938227413219159E-8</v>
      </c>
      <c r="AG24" s="4"/>
      <c r="AH24" s="4"/>
      <c r="AI24" s="4"/>
      <c r="AJ24" s="4"/>
      <c r="AK24" s="4"/>
      <c r="AL24" s="4"/>
      <c r="AM24" s="4"/>
      <c r="AN24" s="4"/>
      <c r="AO24" s="4"/>
      <c r="AP24" s="4"/>
      <c r="AQ24" s="4"/>
      <c r="AR24" s="4"/>
      <c r="AS24" s="4"/>
      <c r="AT24" s="4"/>
      <c r="AU24" s="4"/>
      <c r="AV24" s="4"/>
      <c r="AW24" s="4"/>
      <c r="AX24" s="4"/>
      <c r="AY24" s="4"/>
      <c r="AZ24" s="4"/>
      <c r="BA24" s="4"/>
      <c r="BB24" s="4"/>
    </row>
    <row r="25" spans="1:54" x14ac:dyDescent="0.3">
      <c r="A25" s="4">
        <v>4450</v>
      </c>
      <c r="B25" s="4"/>
      <c r="C25" s="4">
        <v>-778.572556577726</v>
      </c>
      <c r="D25" s="4">
        <v>-6.6091122833120401</v>
      </c>
      <c r="E25" s="4">
        <v>-2.8013951034851901</v>
      </c>
      <c r="F25" s="4">
        <v>-56.697657032774082</v>
      </c>
      <c r="G25" s="4">
        <v>-27.331024122562908</v>
      </c>
      <c r="H25" s="4">
        <v>-81.014610667789228</v>
      </c>
      <c r="I25" s="4">
        <v>-136.87586642868905</v>
      </c>
      <c r="J25" s="4">
        <v>-305.94942504031815</v>
      </c>
      <c r="K25" s="4">
        <v>-95.647227658236361</v>
      </c>
      <c r="L25" s="4">
        <v>-300.67297222628736</v>
      </c>
      <c r="M25" s="4">
        <v>-154.22735818665939</v>
      </c>
      <c r="N25" s="4">
        <v>-197.40827370984979</v>
      </c>
      <c r="O25" s="4">
        <v>-91.677285542561592</v>
      </c>
      <c r="P25" s="4">
        <v>-62.476944156527424</v>
      </c>
      <c r="Q25" s="4">
        <v>-20.962312611250816</v>
      </c>
      <c r="R25" s="4">
        <v>-12.329302725912493</v>
      </c>
      <c r="S25" s="4">
        <v>-5.3681175202426932</v>
      </c>
      <c r="T25" s="4">
        <v>0.17703166267184139</v>
      </c>
      <c r="U25" s="4">
        <v>-0.23171946592157544</v>
      </c>
      <c r="V25" s="4">
        <v>0.68018953244699476</v>
      </c>
      <c r="W25" s="4">
        <v>0.15549986745927849</v>
      </c>
      <c r="X25" s="4">
        <v>9.1252460919603845E-2</v>
      </c>
      <c r="Y25" s="4">
        <v>1.5534350726657733E-2</v>
      </c>
      <c r="Z25" s="4">
        <v>1.4942931144208511E-2</v>
      </c>
      <c r="AA25" s="4">
        <v>7.3595315713742213E-4</v>
      </c>
      <c r="AB25" s="4">
        <v>2.8023288308499266E-4</v>
      </c>
      <c r="AC25" s="4">
        <v>1.2565420685199728E-5</v>
      </c>
      <c r="AD25" s="4">
        <v>1.132561151003484E-5</v>
      </c>
      <c r="AE25" s="4">
        <v>3.7327555648743378E-7</v>
      </c>
      <c r="AF25" s="4">
        <v>7.1211314245412221E-8</v>
      </c>
      <c r="AG25" s="4"/>
      <c r="AH25" s="4"/>
      <c r="AI25" s="4"/>
      <c r="AJ25" s="4"/>
      <c r="AK25" s="4"/>
      <c r="AL25" s="4"/>
      <c r="AM25" s="4"/>
      <c r="AN25" s="4"/>
      <c r="AO25" s="4"/>
      <c r="AP25" s="4"/>
      <c r="AQ25" s="4"/>
      <c r="AR25" s="4"/>
      <c r="AS25" s="4"/>
      <c r="AT25" s="4"/>
      <c r="AU25" s="4"/>
      <c r="AV25" s="4"/>
      <c r="AW25" s="4"/>
      <c r="AX25" s="4"/>
      <c r="AY25" s="4"/>
      <c r="AZ25" s="4"/>
      <c r="BA25" s="4"/>
      <c r="BB25" s="4"/>
    </row>
    <row r="26" spans="1:54" x14ac:dyDescent="0.3">
      <c r="A26" s="4">
        <v>4440</v>
      </c>
      <c r="B26" s="4"/>
      <c r="C26" s="4">
        <v>-767.81177417639856</v>
      </c>
      <c r="D26" s="4">
        <v>-4.8698719804150183</v>
      </c>
      <c r="E26" s="4">
        <v>-2.142389436034458</v>
      </c>
      <c r="F26" s="4">
        <v>-45.011795435757108</v>
      </c>
      <c r="G26" s="4">
        <v>-22.529045221533824</v>
      </c>
      <c r="H26" s="4">
        <v>-69.353014677410911</v>
      </c>
      <c r="I26" s="4">
        <v>-121.71228933706853</v>
      </c>
      <c r="J26" s="4">
        <v>-282.6533849028857</v>
      </c>
      <c r="K26" s="4">
        <v>-91.826154642223415</v>
      </c>
      <c r="L26" s="4">
        <v>-300.03461572704327</v>
      </c>
      <c r="M26" s="4">
        <v>-159.99849789056742</v>
      </c>
      <c r="N26" s="4">
        <v>-212.95751671980221</v>
      </c>
      <c r="O26" s="4">
        <v>-102.86300792245743</v>
      </c>
      <c r="P26" s="4">
        <v>-72.926425346118435</v>
      </c>
      <c r="Q26" s="4">
        <v>-25.460736518527717</v>
      </c>
      <c r="R26" s="4">
        <v>-15.586083722932679</v>
      </c>
      <c r="S26" s="4">
        <v>-7.0646148078154543</v>
      </c>
      <c r="T26" s="4">
        <v>0.24259835759331883</v>
      </c>
      <c r="U26" s="4">
        <v>-0.33072994882987861</v>
      </c>
      <c r="V26" s="4">
        <v>1.0113929853252326</v>
      </c>
      <c r="W26" s="4">
        <v>0.24093791520484467</v>
      </c>
      <c r="X26" s="4">
        <v>0.14737107830590057</v>
      </c>
      <c r="Y26" s="4">
        <v>2.6155441172321471E-2</v>
      </c>
      <c r="Z26" s="4">
        <v>2.6237112982253862E-2</v>
      </c>
      <c r="AA26" s="4">
        <v>1.3478858505283316E-3</v>
      </c>
      <c r="AB26" s="4">
        <v>5.3549754444700605E-4</v>
      </c>
      <c r="AC26" s="4">
        <v>2.5059074149842664E-5</v>
      </c>
      <c r="AD26" s="4">
        <v>2.3578426667350566E-5</v>
      </c>
      <c r="AE26" s="4">
        <v>8.1145587902967688E-7</v>
      </c>
      <c r="AF26" s="4">
        <v>1.6169070646154122E-7</v>
      </c>
      <c r="AG26" s="4"/>
      <c r="AH26" s="4"/>
      <c r="AI26" s="4"/>
      <c r="AJ26" s="4"/>
      <c r="AK26" s="4"/>
      <c r="AL26" s="4"/>
      <c r="AM26" s="4"/>
      <c r="AN26" s="4"/>
      <c r="AO26" s="4"/>
      <c r="AP26" s="4"/>
      <c r="AQ26" s="4"/>
      <c r="AR26" s="4"/>
      <c r="AS26" s="4"/>
      <c r="AT26" s="4"/>
      <c r="AU26" s="4"/>
      <c r="AV26" s="4"/>
      <c r="AW26" s="4"/>
      <c r="AX26" s="4"/>
      <c r="AY26" s="4"/>
      <c r="AZ26" s="4"/>
      <c r="BA26" s="4"/>
      <c r="BB26" s="4"/>
    </row>
    <row r="27" spans="1:54" x14ac:dyDescent="0.3">
      <c r="A27" s="4">
        <v>4430</v>
      </c>
      <c r="B27" s="4"/>
      <c r="C27" s="4">
        <v>-753.14681208572949</v>
      </c>
      <c r="D27" s="4">
        <v>-3.5304535708724605</v>
      </c>
      <c r="E27" s="4">
        <v>-1.6121202408515474</v>
      </c>
      <c r="F27" s="4">
        <v>-35.164069639338351</v>
      </c>
      <c r="G27" s="4">
        <v>-18.275869575486649</v>
      </c>
      <c r="H27" s="4">
        <v>-58.432266657910063</v>
      </c>
      <c r="I27" s="4">
        <v>-106.52820094709105</v>
      </c>
      <c r="J27" s="4">
        <v>-257.05069010928781</v>
      </c>
      <c r="K27" s="4">
        <v>-86.787679174193187</v>
      </c>
      <c r="L27" s="4">
        <v>-294.77038133726234</v>
      </c>
      <c r="M27" s="4">
        <v>-163.43458107902813</v>
      </c>
      <c r="N27" s="4">
        <v>-226.22074631459913</v>
      </c>
      <c r="O27" s="4">
        <v>-113.65983376491631</v>
      </c>
      <c r="P27" s="4">
        <v>-83.837651710310396</v>
      </c>
      <c r="Q27" s="4">
        <v>-30.460055957962876</v>
      </c>
      <c r="R27" s="4">
        <v>-19.40897572229256</v>
      </c>
      <c r="S27" s="4">
        <v>-9.1592828261134756</v>
      </c>
      <c r="T27" s="4">
        <v>0.32754493805955431</v>
      </c>
      <c r="U27" s="4">
        <v>-0.46512588318405051</v>
      </c>
      <c r="V27" s="4">
        <v>1.4819583471622062</v>
      </c>
      <c r="W27" s="4">
        <v>0.36791429938261738</v>
      </c>
      <c r="X27" s="4">
        <v>0.234577795666463</v>
      </c>
      <c r="Y27" s="4">
        <v>4.3408899112807674E-2</v>
      </c>
      <c r="Z27" s="4">
        <v>4.5413517021176401E-2</v>
      </c>
      <c r="AA27" s="4">
        <v>2.4338074212181954E-3</v>
      </c>
      <c r="AB27" s="4">
        <v>1.0089452398216547E-3</v>
      </c>
      <c r="AC27" s="4">
        <v>4.9279530095879485E-5</v>
      </c>
      <c r="AD27" s="4">
        <v>4.8408722184505449E-5</v>
      </c>
      <c r="AE27" s="4">
        <v>1.7397957090607215E-6</v>
      </c>
      <c r="AF27" s="4">
        <v>3.6212767651074024E-7</v>
      </c>
      <c r="AG27" s="4"/>
      <c r="AH27" s="4"/>
      <c r="AI27" s="4"/>
      <c r="AJ27" s="4"/>
      <c r="AK27" s="4"/>
      <c r="AL27" s="4"/>
      <c r="AM27" s="4"/>
      <c r="AN27" s="4"/>
      <c r="AO27" s="4"/>
      <c r="AP27" s="4"/>
      <c r="AQ27" s="4"/>
      <c r="AR27" s="4"/>
      <c r="AS27" s="4"/>
      <c r="AT27" s="4"/>
      <c r="AU27" s="4"/>
      <c r="AV27" s="4"/>
      <c r="AW27" s="4"/>
      <c r="AX27" s="4"/>
      <c r="AY27" s="4"/>
      <c r="AZ27" s="4"/>
      <c r="BA27" s="4"/>
      <c r="BB27" s="4"/>
    </row>
    <row r="28" spans="1:54" x14ac:dyDescent="0.3">
      <c r="A28" s="4">
        <v>4420</v>
      </c>
      <c r="B28" s="4"/>
      <c r="C28" s="4">
        <v>-734.70553153473691</v>
      </c>
      <c r="D28" s="4">
        <v>-2.5178786423454103</v>
      </c>
      <c r="E28" s="4">
        <v>-1.193505299410323</v>
      </c>
      <c r="F28" s="4">
        <v>-27.029412849510969</v>
      </c>
      <c r="G28" s="4">
        <v>-14.58864566451015</v>
      </c>
      <c r="H28" s="4">
        <v>-48.448347170207356</v>
      </c>
      <c r="I28" s="4">
        <v>-91.76371376361827</v>
      </c>
      <c r="J28" s="4">
        <v>-230.08969958110518</v>
      </c>
      <c r="K28" s="4">
        <v>-80.742347622711478</v>
      </c>
      <c r="L28" s="4">
        <v>-285.09260824784246</v>
      </c>
      <c r="M28" s="4">
        <v>-164.36141224432137</v>
      </c>
      <c r="N28" s="4">
        <v>-236.61277712333057</v>
      </c>
      <c r="O28" s="4">
        <v>-123.66869595563392</v>
      </c>
      <c r="P28" s="4">
        <v>-94.915499355271251</v>
      </c>
      <c r="Q28" s="4">
        <v>-35.889994544372783</v>
      </c>
      <c r="R28" s="4">
        <v>-23.806224532051043</v>
      </c>
      <c r="S28" s="4">
        <v>-11.69758779168267</v>
      </c>
      <c r="T28" s="4">
        <v>0.43566792380146896</v>
      </c>
      <c r="U28" s="4">
        <v>-0.64447960934642634</v>
      </c>
      <c r="V28" s="4">
        <v>2.1396070296728786</v>
      </c>
      <c r="W28" s="4">
        <v>0.55361857752701282</v>
      </c>
      <c r="X28" s="4">
        <v>0.36798046315869343</v>
      </c>
      <c r="Y28" s="4">
        <v>7.100676290109742E-2</v>
      </c>
      <c r="Z28" s="4">
        <v>7.7481799192108639E-2</v>
      </c>
      <c r="AA28" s="4">
        <v>4.3321778440640344E-3</v>
      </c>
      <c r="AB28" s="4">
        <v>1.8741590002061563E-3</v>
      </c>
      <c r="AC28" s="4">
        <v>9.555179159240879E-5</v>
      </c>
      <c r="AD28" s="4">
        <v>9.8004367858538165E-5</v>
      </c>
      <c r="AE28" s="4">
        <v>3.6786388842609063E-6</v>
      </c>
      <c r="AF28" s="4">
        <v>7.9990193050200336E-7</v>
      </c>
      <c r="AG28" s="4"/>
      <c r="AH28" s="4"/>
      <c r="AI28" s="4"/>
      <c r="AJ28" s="4"/>
      <c r="AK28" s="4"/>
      <c r="AL28" s="4"/>
      <c r="AM28" s="4"/>
      <c r="AN28" s="4"/>
      <c r="AO28" s="4"/>
      <c r="AP28" s="4"/>
      <c r="AQ28" s="4"/>
      <c r="AR28" s="4"/>
      <c r="AS28" s="4"/>
      <c r="AT28" s="4"/>
      <c r="AU28" s="4"/>
      <c r="AV28" s="4"/>
      <c r="AW28" s="4"/>
      <c r="AX28" s="4"/>
      <c r="AY28" s="4"/>
      <c r="AZ28" s="4"/>
      <c r="BA28" s="4"/>
      <c r="BB28" s="4"/>
    </row>
    <row r="29" spans="1:54" x14ac:dyDescent="0.3">
      <c r="A29" s="4">
        <v>4410</v>
      </c>
      <c r="B29" s="4"/>
      <c r="C29" s="4">
        <v>-712.64675429662429</v>
      </c>
      <c r="D29" s="4">
        <v>-1.7663745843902117</v>
      </c>
      <c r="E29" s="4">
        <v>-0.86922406337697344</v>
      </c>
      <c r="F29" s="4">
        <v>-20.440499468921587</v>
      </c>
      <c r="G29" s="4">
        <v>-11.457937753142868</v>
      </c>
      <c r="H29" s="4">
        <v>-39.527295689461873</v>
      </c>
      <c r="I29" s="4">
        <v>-77.786965437244234</v>
      </c>
      <c r="J29" s="4">
        <v>-202.69489051920459</v>
      </c>
      <c r="K29" s="4">
        <v>-73.934963737069808</v>
      </c>
      <c r="L29" s="4">
        <v>-271.41350313918196</v>
      </c>
      <c r="M29" s="4">
        <v>-162.71873299296141</v>
      </c>
      <c r="N29" s="4">
        <v>-243.6488426242843</v>
      </c>
      <c r="O29" s="4">
        <v>-132.4865472395052</v>
      </c>
      <c r="P29" s="4">
        <v>-105.81164474472548</v>
      </c>
      <c r="Q29" s="4">
        <v>-41.644118165628548</v>
      </c>
      <c r="R29" s="4">
        <v>-28.757791447432584</v>
      </c>
      <c r="S29" s="4">
        <v>-14.714584278628717</v>
      </c>
      <c r="T29" s="4">
        <v>0.5708172602871513</v>
      </c>
      <c r="U29" s="4">
        <v>-0.87972084895584834</v>
      </c>
      <c r="V29" s="4">
        <v>3.0434734411617717</v>
      </c>
      <c r="W29" s="4">
        <v>0.82082923699984234</v>
      </c>
      <c r="X29" s="4">
        <v>0.56882900637586953</v>
      </c>
      <c r="Y29" s="4">
        <v>0.11446717195281159</v>
      </c>
      <c r="Z29" s="4">
        <v>0.1302914713969858</v>
      </c>
      <c r="AA29" s="4">
        <v>7.6009830358149035E-3</v>
      </c>
      <c r="AB29" s="4">
        <v>3.4318684773648614E-3</v>
      </c>
      <c r="AC29" s="4">
        <v>1.8265799301280433E-4</v>
      </c>
      <c r="AD29" s="4">
        <v>1.9563082339827016E-4</v>
      </c>
      <c r="AE29" s="4">
        <v>7.6698846294326925E-6</v>
      </c>
      <c r="AF29" s="4">
        <v>1.742478980294028E-6</v>
      </c>
      <c r="AG29" s="4"/>
      <c r="AH29" s="4"/>
      <c r="AI29" s="4"/>
      <c r="AJ29" s="4"/>
      <c r="AK29" s="4"/>
      <c r="AL29" s="4"/>
      <c r="AM29" s="4"/>
      <c r="AN29" s="4"/>
      <c r="AO29" s="4"/>
      <c r="AP29" s="4"/>
      <c r="AQ29" s="4"/>
      <c r="AR29" s="4"/>
      <c r="AS29" s="4"/>
      <c r="AT29" s="4"/>
      <c r="AU29" s="4"/>
      <c r="AV29" s="4"/>
      <c r="AW29" s="4"/>
      <c r="AX29" s="4"/>
      <c r="AY29" s="4"/>
      <c r="AZ29" s="4"/>
      <c r="BA29" s="4"/>
      <c r="BB29" s="4"/>
    </row>
    <row r="30" spans="1:54" x14ac:dyDescent="0.3">
      <c r="A30" s="4">
        <v>4400</v>
      </c>
      <c r="B30" s="4"/>
      <c r="C30" s="4">
        <v>-687.15444900198145</v>
      </c>
      <c r="D30" s="4">
        <v>-1.2187834377242259</v>
      </c>
      <c r="E30" s="4">
        <v>-0.62268981802933876</v>
      </c>
      <c r="F30" s="4">
        <v>-15.206040453679941</v>
      </c>
      <c r="G30" s="4">
        <v>-8.8532963234137139</v>
      </c>
      <c r="H30" s="4">
        <v>-31.729250757870151</v>
      </c>
      <c r="I30" s="4">
        <v>-64.882112178728264</v>
      </c>
      <c r="J30" s="4">
        <v>-175.71492894992292</v>
      </c>
      <c r="K30" s="4">
        <v>-66.627993798615634</v>
      </c>
      <c r="L30" s="4">
        <v>-254.31599949721101</v>
      </c>
      <c r="M30" s="4">
        <v>-158.56617792608054</v>
      </c>
      <c r="N30" s="4">
        <v>-246.9816117152871</v>
      </c>
      <c r="O30" s="4">
        <v>-139.73233128410706</v>
      </c>
      <c r="P30" s="4">
        <v>-116.14008874680647</v>
      </c>
      <c r="Q30" s="4">
        <v>-47.580146212578647</v>
      </c>
      <c r="R30" s="4">
        <v>-34.209919452198108</v>
      </c>
      <c r="S30" s="4">
        <v>-18.229347420481659</v>
      </c>
      <c r="T30" s="4">
        <v>0.73663136674355223</v>
      </c>
      <c r="U30" s="4">
        <v>-1.1828579244780544</v>
      </c>
      <c r="V30" s="4">
        <v>4.2647899618806573</v>
      </c>
      <c r="W30" s="4">
        <v>1.1990256888621258</v>
      </c>
      <c r="X30" s="4">
        <v>0.86638981660685987</v>
      </c>
      <c r="Y30" s="4">
        <v>0.18183529942930346</v>
      </c>
      <c r="Z30" s="4">
        <v>0.21591852642926174</v>
      </c>
      <c r="AA30" s="4">
        <v>1.3144157508344375E-2</v>
      </c>
      <c r="AB30" s="4">
        <v>6.1943605316151264E-3</v>
      </c>
      <c r="AC30" s="4">
        <v>3.4420927266092406E-4</v>
      </c>
      <c r="AD30" s="4">
        <v>3.8499565821893954E-4</v>
      </c>
      <c r="AE30" s="4">
        <v>1.5767401677071396E-5</v>
      </c>
      <c r="AF30" s="4">
        <v>3.7429254382023044E-6</v>
      </c>
      <c r="AG30" s="4"/>
      <c r="AH30" s="4"/>
      <c r="AI30" s="4"/>
      <c r="AJ30" s="4"/>
      <c r="AK30" s="4"/>
      <c r="AL30" s="4"/>
      <c r="AM30" s="4"/>
      <c r="AN30" s="4"/>
      <c r="AO30" s="4"/>
      <c r="AP30" s="4"/>
      <c r="AQ30" s="4"/>
      <c r="AR30" s="4"/>
      <c r="AS30" s="4"/>
      <c r="AT30" s="4"/>
      <c r="AU30" s="4"/>
      <c r="AV30" s="4"/>
      <c r="AW30" s="4"/>
      <c r="AX30" s="4"/>
      <c r="AY30" s="4"/>
      <c r="AZ30" s="4"/>
      <c r="BA30" s="4"/>
      <c r="BB30" s="4"/>
    </row>
    <row r="31" spans="1:54" x14ac:dyDescent="0.3">
      <c r="A31" s="4">
        <v>4390</v>
      </c>
      <c r="B31" s="4"/>
      <c r="C31" s="4">
        <v>-658.43103769958691</v>
      </c>
      <c r="D31" s="4">
        <v>-0.82702303376521358</v>
      </c>
      <c r="E31" s="4">
        <v>-0.43872884834243825</v>
      </c>
      <c r="F31" s="4">
        <v>-11.126599695600762</v>
      </c>
      <c r="G31" s="4">
        <v>-6.7291887461528992</v>
      </c>
      <c r="H31" s="4">
        <v>-25.056441201237668</v>
      </c>
      <c r="I31" s="4">
        <v>-53.244883623372608</v>
      </c>
      <c r="J31" s="4">
        <v>-149.88127544692293</v>
      </c>
      <c r="K31" s="4">
        <v>-59.084666241714714</v>
      </c>
      <c r="L31" s="4">
        <v>-234.51230045542462</v>
      </c>
      <c r="M31" s="4">
        <v>-152.07997182808271</v>
      </c>
      <c r="N31" s="4">
        <v>-246.4292861877947</v>
      </c>
      <c r="O31" s="4">
        <v>-145.073687709674</v>
      </c>
      <c r="P31" s="4">
        <v>-125.49802220945526</v>
      </c>
      <c r="Q31" s="4">
        <v>-53.523383266150233</v>
      </c>
      <c r="R31" s="4">
        <v>-40.071364423964098</v>
      </c>
      <c r="S31" s="4">
        <v>-22.23923838442472</v>
      </c>
      <c r="T31" s="4">
        <v>0.93620147934462117</v>
      </c>
      <c r="U31" s="4">
        <v>-1.5664872573879984</v>
      </c>
      <c r="V31" s="4">
        <v>5.8867173285441972</v>
      </c>
      <c r="W31" s="4">
        <v>1.725411253193545</v>
      </c>
      <c r="X31" s="4">
        <v>1.3000939035391104</v>
      </c>
      <c r="Y31" s="4">
        <v>0.28460778609370357</v>
      </c>
      <c r="Z31" s="4">
        <v>0.35259567226584032</v>
      </c>
      <c r="AA31" s="4">
        <v>2.2400152003998218E-2</v>
      </c>
      <c r="AB31" s="4">
        <v>1.101944874500169E-2</v>
      </c>
      <c r="AC31" s="4">
        <v>6.3936165424530948E-4</v>
      </c>
      <c r="AD31" s="4">
        <v>7.46891250003597E-4</v>
      </c>
      <c r="AE31" s="4">
        <v>3.1956377733331434E-5</v>
      </c>
      <c r="AF31" s="4">
        <v>7.9272821049040431E-6</v>
      </c>
      <c r="AG31" s="4"/>
      <c r="AH31" s="4"/>
      <c r="AI31" s="4"/>
      <c r="AJ31" s="4"/>
      <c r="AK31" s="4"/>
      <c r="AL31" s="4"/>
      <c r="AM31" s="4"/>
      <c r="AN31" s="4"/>
      <c r="AO31" s="4"/>
      <c r="AP31" s="4"/>
      <c r="AQ31" s="4"/>
      <c r="AR31" s="4"/>
      <c r="AS31" s="4"/>
      <c r="AT31" s="4"/>
      <c r="AU31" s="4"/>
      <c r="AV31" s="4"/>
      <c r="AW31" s="4"/>
      <c r="AX31" s="4"/>
      <c r="AY31" s="4"/>
      <c r="AZ31" s="4"/>
      <c r="BA31" s="4"/>
      <c r="BB31" s="4"/>
    </row>
    <row r="32" spans="1:54" x14ac:dyDescent="0.3">
      <c r="A32" s="4">
        <v>4380</v>
      </c>
      <c r="B32" s="4"/>
      <c r="C32" s="4">
        <v>-626.6900148564938</v>
      </c>
      <c r="D32" s="4">
        <v>-0.55183239375953097</v>
      </c>
      <c r="E32" s="4">
        <v>-0.30398796640300668</v>
      </c>
      <c r="F32" s="4">
        <v>-8.0072245558963395</v>
      </c>
      <c r="G32" s="4">
        <v>-5.030733322263333</v>
      </c>
      <c r="H32" s="4">
        <v>-19.463802789619553</v>
      </c>
      <c r="I32" s="4">
        <v>-42.985065346049744</v>
      </c>
      <c r="J32" s="4">
        <v>-125.77988279425155</v>
      </c>
      <c r="K32" s="4">
        <v>-51.553293623562126</v>
      </c>
      <c r="L32" s="4">
        <v>-212.79423580125896</v>
      </c>
      <c r="M32" s="4">
        <v>-143.54058268043914</v>
      </c>
      <c r="N32" s="4">
        <v>-241.99165043266834</v>
      </c>
      <c r="O32" s="4">
        <v>-148.25185329921811</v>
      </c>
      <c r="P32" s="4">
        <v>-133.49067850302814</v>
      </c>
      <c r="Q32" s="4">
        <v>-59.273489957947085</v>
      </c>
      <c r="R32" s="4">
        <v>-46.212069723612103</v>
      </c>
      <c r="S32" s="4">
        <v>-26.714570615741327</v>
      </c>
      <c r="T32" s="4">
        <v>1.1716785072669484</v>
      </c>
      <c r="U32" s="4">
        <v>-2.0430638465024655</v>
      </c>
      <c r="V32" s="4">
        <v>8.0029575414153751</v>
      </c>
      <c r="W32" s="4">
        <v>2.4456810106291345</v>
      </c>
      <c r="X32" s="4">
        <v>1.9218551436109355</v>
      </c>
      <c r="Y32" s="4">
        <v>0.43887581958279387</v>
      </c>
      <c r="Z32" s="4">
        <v>0.56732555449252009</v>
      </c>
      <c r="AA32" s="4">
        <v>3.761661700966077E-2</v>
      </c>
      <c r="AB32" s="4">
        <v>1.931863063305499E-2</v>
      </c>
      <c r="AC32" s="4">
        <v>1.1704866628781511E-3</v>
      </c>
      <c r="AD32" s="4">
        <v>1.4282289273811991E-3</v>
      </c>
      <c r="AE32" s="4">
        <v>6.3846514643320864E-5</v>
      </c>
      <c r="AF32" s="4">
        <v>1.6552487879967437E-5</v>
      </c>
      <c r="AG32" s="4"/>
      <c r="AH32" s="4"/>
      <c r="AI32" s="4"/>
      <c r="AJ32" s="4"/>
      <c r="AK32" s="4"/>
      <c r="AL32" s="4"/>
      <c r="AM32" s="4"/>
      <c r="AN32" s="4"/>
      <c r="AO32" s="4"/>
      <c r="AP32" s="4"/>
      <c r="AQ32" s="4"/>
      <c r="AR32" s="4"/>
      <c r="AS32" s="4"/>
      <c r="AT32" s="4"/>
      <c r="AU32" s="4"/>
      <c r="AV32" s="4"/>
      <c r="AW32" s="4"/>
      <c r="AX32" s="4"/>
      <c r="AY32" s="4"/>
      <c r="AZ32" s="4"/>
      <c r="BA32" s="4"/>
      <c r="BB32" s="4"/>
    </row>
    <row r="33" spans="1:54" x14ac:dyDescent="0.3">
      <c r="A33" s="4">
        <v>4370</v>
      </c>
      <c r="B33" s="4"/>
      <c r="C33" s="4">
        <v>-592.14815464314711</v>
      </c>
      <c r="D33" s="4">
        <v>-0.36203127748190417</v>
      </c>
      <c r="E33" s="4">
        <v>-0.20711107696693545</v>
      </c>
      <c r="F33" s="4">
        <v>-5.6666437319961824</v>
      </c>
      <c r="G33" s="4">
        <v>-3.698810357086296</v>
      </c>
      <c r="H33" s="4">
        <v>-14.870864622149844</v>
      </c>
      <c r="I33" s="4">
        <v>-34.134674046960725</v>
      </c>
      <c r="J33" s="4">
        <v>-103.83694591386643</v>
      </c>
      <c r="K33" s="4">
        <v>-44.254112006314337</v>
      </c>
      <c r="L33" s="4">
        <v>-189.98029701067804</v>
      </c>
      <c r="M33" s="4">
        <v>-133.31252722016109</v>
      </c>
      <c r="N33" s="4">
        <v>-233.85213854853112</v>
      </c>
      <c r="O33" s="4">
        <v>-149.10220433103589</v>
      </c>
      <c r="P33" s="4">
        <v>-139.7581776905574</v>
      </c>
      <c r="Q33" s="4">
        <v>-64.614453609875255</v>
      </c>
      <c r="R33" s="4">
        <v>-52.464940482532128</v>
      </c>
      <c r="S33" s="4">
        <v>-31.594350687986381</v>
      </c>
      <c r="T33" s="4">
        <v>1.4438472921416488</v>
      </c>
      <c r="U33" s="4">
        <v>-2.6239262268862489</v>
      </c>
      <c r="V33" s="4">
        <v>10.714789582001909</v>
      </c>
      <c r="W33" s="4">
        <v>3.414320139592685</v>
      </c>
      <c r="X33" s="4">
        <v>2.7983724116483351</v>
      </c>
      <c r="Y33" s="4">
        <v>0.66667996204748425</v>
      </c>
      <c r="Z33" s="4">
        <v>0.89931281601779156</v>
      </c>
      <c r="AA33" s="4">
        <v>6.224063665898838E-2</v>
      </c>
      <c r="AB33" s="4">
        <v>3.3373445398955502E-2</v>
      </c>
      <c r="AC33" s="4">
        <v>2.1117260052856278E-3</v>
      </c>
      <c r="AD33" s="4">
        <v>2.6917377209567874E-3</v>
      </c>
      <c r="AE33" s="4">
        <v>1.2573460531797824E-4</v>
      </c>
      <c r="AF33" s="4">
        <v>3.4070932230729458E-5</v>
      </c>
      <c r="AG33" s="4"/>
      <c r="AH33" s="4"/>
      <c r="AI33" s="4"/>
      <c r="AJ33" s="4"/>
      <c r="AK33" s="4"/>
      <c r="AL33" s="4"/>
      <c r="AM33" s="4"/>
      <c r="AN33" s="4"/>
      <c r="AO33" s="4"/>
      <c r="AP33" s="4"/>
      <c r="AQ33" s="4"/>
      <c r="AR33" s="4"/>
      <c r="AS33" s="4"/>
      <c r="AT33" s="4"/>
      <c r="AU33" s="4"/>
      <c r="AV33" s="4"/>
      <c r="AW33" s="4"/>
      <c r="AX33" s="4"/>
      <c r="AY33" s="4"/>
      <c r="AZ33" s="4"/>
      <c r="BA33" s="4"/>
      <c r="BB33" s="4"/>
    </row>
    <row r="34" spans="1:54" x14ac:dyDescent="0.3">
      <c r="A34" s="4">
        <v>4360</v>
      </c>
      <c r="B34" s="4"/>
      <c r="C34" s="4">
        <v>-555.01767716957977</v>
      </c>
      <c r="D34" s="4">
        <v>-0.23349882132307626</v>
      </c>
      <c r="E34" s="4">
        <v>-0.13873548282571832</v>
      </c>
      <c r="F34" s="4">
        <v>-3.9431644667140824</v>
      </c>
      <c r="G34" s="4">
        <v>-2.6742740829274472</v>
      </c>
      <c r="H34" s="4">
        <v>-11.173674966395318</v>
      </c>
      <c r="I34" s="4">
        <v>-26.660214352602861</v>
      </c>
      <c r="J34" s="4">
        <v>-84.318129881896354</v>
      </c>
      <c r="K34" s="4">
        <v>-37.369563978352126</v>
      </c>
      <c r="L34" s="4">
        <v>-166.86433230300639</v>
      </c>
      <c r="M34" s="4">
        <v>-121.81836107177726</v>
      </c>
      <c r="N34" s="4">
        <v>-222.36547119536746</v>
      </c>
      <c r="O34" s="4">
        <v>-147.56819662314544</v>
      </c>
      <c r="P34" s="4">
        <v>-144.00190934322436</v>
      </c>
      <c r="Q34" s="4">
        <v>-69.327218504027257</v>
      </c>
      <c r="R34" s="4">
        <v>-58.631134057109065</v>
      </c>
      <c r="S34" s="4">
        <v>-36.783806945353589</v>
      </c>
      <c r="T34" s="4">
        <v>1.7517049732699881</v>
      </c>
      <c r="U34" s="4">
        <v>-3.3180990151509571</v>
      </c>
      <c r="V34" s="4">
        <v>14.12622770964817</v>
      </c>
      <c r="W34" s="4">
        <v>4.694179792852581</v>
      </c>
      <c r="X34" s="4">
        <v>4.013130679457368</v>
      </c>
      <c r="Y34" s="4">
        <v>0.99753516502412098</v>
      </c>
      <c r="Z34" s="4">
        <v>1.4043219090386203</v>
      </c>
      <c r="AA34" s="4">
        <v>0.10145849550776757</v>
      </c>
      <c r="AB34" s="4">
        <v>5.6805287372788206E-2</v>
      </c>
      <c r="AC34" s="4">
        <v>3.7541779464962087E-3</v>
      </c>
      <c r="AD34" s="4">
        <v>4.9993931250995206E-3</v>
      </c>
      <c r="AE34" s="4">
        <v>2.4404268896551095E-4</v>
      </c>
      <c r="AF34" s="4">
        <v>6.9126106849470151E-5</v>
      </c>
      <c r="AG34" s="4"/>
      <c r="AH34" s="4"/>
      <c r="AI34" s="4"/>
      <c r="AJ34" s="4"/>
      <c r="AK34" s="4"/>
      <c r="AL34" s="4"/>
      <c r="AM34" s="4"/>
      <c r="AN34" s="4"/>
      <c r="AO34" s="4"/>
      <c r="AP34" s="4"/>
      <c r="AQ34" s="4"/>
      <c r="AR34" s="4"/>
      <c r="AS34" s="4"/>
      <c r="AT34" s="4"/>
      <c r="AU34" s="4"/>
      <c r="AV34" s="4"/>
      <c r="AW34" s="4"/>
      <c r="AX34" s="4"/>
      <c r="AY34" s="4"/>
      <c r="AZ34" s="4"/>
      <c r="BA34" s="4"/>
      <c r="BB34" s="4"/>
    </row>
    <row r="35" spans="1:54" x14ac:dyDescent="0.3">
      <c r="A35" s="4">
        <v>4350</v>
      </c>
      <c r="B35" s="4"/>
      <c r="C35" s="4">
        <v>-515.49883682013069</v>
      </c>
      <c r="D35" s="4">
        <v>-0.14803791407961056</v>
      </c>
      <c r="E35" s="4">
        <v>-9.1360654067133146E-2</v>
      </c>
      <c r="F35" s="4">
        <v>-2.6976727733366932</v>
      </c>
      <c r="G35" s="4">
        <v>-1.9011366522905246</v>
      </c>
      <c r="H35" s="4">
        <v>-8.2557740817790854</v>
      </c>
      <c r="I35" s="4">
        <v>-20.477270194759171</v>
      </c>
      <c r="J35" s="4">
        <v>-67.339421487184765</v>
      </c>
      <c r="K35" s="4">
        <v>-31.038506171366873</v>
      </c>
      <c r="L35" s="4">
        <v>-144.17039621227681</v>
      </c>
      <c r="M35" s="4">
        <v>-109.50945863626229</v>
      </c>
      <c r="N35" s="4">
        <v>-208.03199483628876</v>
      </c>
      <c r="O35" s="4">
        <v>-143.7070807894199</v>
      </c>
      <c r="P35" s="4">
        <v>-146.00781657348497</v>
      </c>
      <c r="Q35" s="4">
        <v>-73.20404599208095</v>
      </c>
      <c r="R35" s="4">
        <v>-64.488937578962137</v>
      </c>
      <c r="S35" s="4">
        <v>-42.154367553916373</v>
      </c>
      <c r="T35" s="4">
        <v>2.0920902296737389</v>
      </c>
      <c r="U35" s="4">
        <v>-4.1309328758740751</v>
      </c>
      <c r="V35" s="4">
        <v>18.337131794429695</v>
      </c>
      <c r="W35" s="4">
        <v>6.3550601875376653</v>
      </c>
      <c r="X35" s="4">
        <v>5.667710171979043</v>
      </c>
      <c r="Y35" s="4">
        <v>1.4700357392408034</v>
      </c>
      <c r="Z35" s="4">
        <v>2.160001289401936</v>
      </c>
      <c r="AA35" s="4">
        <v>0.16292101373845982</v>
      </c>
      <c r="AB35" s="4">
        <v>9.525633754133353E-2</v>
      </c>
      <c r="AC35" s="4">
        <v>6.5758654166438411E-3</v>
      </c>
      <c r="AD35" s="4">
        <v>9.1496874198114704E-3</v>
      </c>
      <c r="AE35" s="4">
        <v>4.6679384344117228E-4</v>
      </c>
      <c r="AF35" s="4">
        <v>1.3822694657540503E-4</v>
      </c>
      <c r="AG35" s="4"/>
      <c r="AH35" s="4"/>
      <c r="AI35" s="4"/>
      <c r="AJ35" s="4"/>
      <c r="AK35" s="4"/>
      <c r="AL35" s="4"/>
      <c r="AM35" s="4"/>
      <c r="AN35" s="4"/>
      <c r="AO35" s="4"/>
      <c r="AP35" s="4"/>
      <c r="AQ35" s="4"/>
      <c r="AR35" s="4"/>
      <c r="AS35" s="4"/>
      <c r="AT35" s="4"/>
      <c r="AU35" s="4"/>
      <c r="AV35" s="4"/>
      <c r="AW35" s="4"/>
      <c r="AX35" s="4"/>
      <c r="AY35" s="4"/>
      <c r="AZ35" s="4"/>
      <c r="BA35" s="4"/>
      <c r="BB35" s="4"/>
    </row>
    <row r="36" spans="1:54" x14ac:dyDescent="0.3">
      <c r="A36" s="4">
        <v>4340</v>
      </c>
      <c r="B36" s="4"/>
      <c r="C36" s="4">
        <v>-473.77346705542078</v>
      </c>
      <c r="D36" s="4">
        <v>-9.2248737925994653E-2</v>
      </c>
      <c r="E36" s="4">
        <v>-5.9138185943597321E-2</v>
      </c>
      <c r="F36" s="4">
        <v>-1.8142993136001055</v>
      </c>
      <c r="G36" s="4">
        <v>-1.3287228213677289</v>
      </c>
      <c r="H36" s="4">
        <v>-5.9975208506795994</v>
      </c>
      <c r="I36" s="4">
        <v>-15.465766805816626</v>
      </c>
      <c r="J36" s="4">
        <v>-52.886856818390804</v>
      </c>
      <c r="K36" s="4">
        <v>-25.354366086100004</v>
      </c>
      <c r="L36" s="4">
        <v>-122.51725503429093</v>
      </c>
      <c r="M36" s="4">
        <v>-96.836424833880628</v>
      </c>
      <c r="N36" s="4">
        <v>-191.46130832481379</v>
      </c>
      <c r="O36" s="4">
        <v>-137.68662962526255</v>
      </c>
      <c r="P36" s="4">
        <v>-145.66408821686696</v>
      </c>
      <c r="Q36" s="4">
        <v>-76.063356671754121</v>
      </c>
      <c r="R36" s="4">
        <v>-69.805885090560778</v>
      </c>
      <c r="S36" s="4">
        <v>-47.546593010012742</v>
      </c>
      <c r="T36" s="4">
        <v>2.4594163450305593</v>
      </c>
      <c r="U36" s="4">
        <v>-5.0626819821084474</v>
      </c>
      <c r="V36" s="4">
        <v>23.434305486895006</v>
      </c>
      <c r="W36" s="4">
        <v>8.4710472973814817</v>
      </c>
      <c r="X36" s="4">
        <v>7.8819145336842382</v>
      </c>
      <c r="Y36" s="4">
        <v>2.133388005746002</v>
      </c>
      <c r="Z36" s="4">
        <v>3.2720987772865961</v>
      </c>
      <c r="AA36" s="4">
        <v>0.25768781716644401</v>
      </c>
      <c r="AB36" s="4">
        <v>0.15735132384194131</v>
      </c>
      <c r="AC36" s="4">
        <v>1.1347650613968219E-2</v>
      </c>
      <c r="AD36" s="4">
        <v>1.6498864257615702E-2</v>
      </c>
      <c r="AE36" s="4">
        <v>8.7980693495306951E-4</v>
      </c>
      <c r="AF36" s="4">
        <v>2.7238969493042857E-4</v>
      </c>
      <c r="AG36" s="4"/>
      <c r="AH36" s="4"/>
      <c r="AI36" s="4"/>
      <c r="AJ36" s="4"/>
      <c r="AK36" s="4"/>
      <c r="AL36" s="4"/>
      <c r="AM36" s="4"/>
      <c r="AN36" s="4"/>
      <c r="AO36" s="4"/>
      <c r="AP36" s="4"/>
      <c r="AQ36" s="4"/>
      <c r="AR36" s="4"/>
      <c r="AS36" s="4"/>
      <c r="AT36" s="4"/>
      <c r="AU36" s="4"/>
      <c r="AV36" s="4"/>
      <c r="AW36" s="4"/>
      <c r="AX36" s="4"/>
      <c r="AY36" s="4"/>
      <c r="AZ36" s="4"/>
      <c r="BA36" s="4"/>
      <c r="BB36" s="4"/>
    </row>
    <row r="37" spans="1:54" x14ac:dyDescent="0.3">
      <c r="A37" s="4">
        <v>4330</v>
      </c>
      <c r="B37" s="4"/>
      <c r="C37" s="4">
        <v>-430.00004585397795</v>
      </c>
      <c r="D37" s="4">
        <v>-5.6493208948828456E-2</v>
      </c>
      <c r="E37" s="4">
        <v>-3.7623850789341558E-2</v>
      </c>
      <c r="F37" s="4">
        <v>-1.1993705159171826</v>
      </c>
      <c r="G37" s="4">
        <v>-0.91289062123397591</v>
      </c>
      <c r="H37" s="4">
        <v>-4.2833914205528716</v>
      </c>
      <c r="I37" s="4">
        <v>-11.484493209342492</v>
      </c>
      <c r="J37" s="4">
        <v>-40.841932250228432</v>
      </c>
      <c r="K37" s="4">
        <v>-20.366867395257671</v>
      </c>
      <c r="L37" s="4">
        <v>-102.39472022076779</v>
      </c>
      <c r="M37" s="4">
        <v>-84.221860514460857</v>
      </c>
      <c r="N37" s="4">
        <v>-173.3288816056384</v>
      </c>
      <c r="O37" s="4">
        <v>-129.77309960867052</v>
      </c>
      <c r="P37" s="4">
        <v>-142.97124656788637</v>
      </c>
      <c r="Q37" s="4">
        <v>-77.76361776759434</v>
      </c>
      <c r="R37" s="4">
        <v>-74.353326945621234</v>
      </c>
      <c r="S37" s="4">
        <v>-52.776307572813351</v>
      </c>
      <c r="T37" s="4">
        <v>2.8455612480696288</v>
      </c>
      <c r="U37" s="4">
        <v>-6.1071572871010575</v>
      </c>
      <c r="V37" s="4">
        <v>29.48089557632354</v>
      </c>
      <c r="W37" s="4">
        <v>11.1164125807234</v>
      </c>
      <c r="X37" s="4">
        <v>10.792160150276366</v>
      </c>
      <c r="Y37" s="4">
        <v>3.048646675102737</v>
      </c>
      <c r="Z37" s="4">
        <v>4.8813176169742976</v>
      </c>
      <c r="AA37" s="4">
        <v>0.40141368630864793</v>
      </c>
      <c r="AB37" s="4">
        <v>0.25601884536581021</v>
      </c>
      <c r="AC37" s="4">
        <v>1.9289802551868258E-2</v>
      </c>
      <c r="AD37" s="4">
        <v>2.9309922922327251E-2</v>
      </c>
      <c r="AE37" s="4">
        <v>1.6338297562930799E-3</v>
      </c>
      <c r="AF37" s="4">
        <v>5.2892049388030286E-4</v>
      </c>
      <c r="AG37" s="4"/>
      <c r="AH37" s="4"/>
      <c r="AI37" s="4"/>
      <c r="AJ37" s="4"/>
      <c r="AK37" s="4"/>
      <c r="AL37" s="4"/>
      <c r="AM37" s="4"/>
      <c r="AN37" s="4"/>
      <c r="AO37" s="4"/>
      <c r="AP37" s="4"/>
      <c r="AQ37" s="4"/>
      <c r="AR37" s="4"/>
      <c r="AS37" s="4"/>
      <c r="AT37" s="4"/>
      <c r="AU37" s="4"/>
      <c r="AV37" s="4"/>
      <c r="AW37" s="4"/>
      <c r="AX37" s="4"/>
      <c r="AY37" s="4"/>
      <c r="AZ37" s="4"/>
      <c r="BA37" s="4"/>
      <c r="BB37" s="4"/>
    </row>
    <row r="38" spans="1:54" x14ac:dyDescent="0.3">
      <c r="A38" s="4">
        <v>4320</v>
      </c>
      <c r="B38" s="4"/>
      <c r="C38" s="4">
        <v>-384.31081803128347</v>
      </c>
      <c r="D38" s="4">
        <v>-3.3996099039308891E-2</v>
      </c>
      <c r="E38" s="4">
        <v>-2.352305945400894E-2</v>
      </c>
      <c r="F38" s="4">
        <v>-0.7792406746887115</v>
      </c>
      <c r="G38" s="4">
        <v>-0.61647520622115981</v>
      </c>
      <c r="H38" s="4">
        <v>-3.0071507068911987</v>
      </c>
      <c r="I38" s="4">
        <v>-8.3838361093422478</v>
      </c>
      <c r="J38" s="4">
        <v>-31.009496858917778</v>
      </c>
      <c r="K38" s="4">
        <v>-16.086634620976419</v>
      </c>
      <c r="L38" s="4">
        <v>-84.152523047099365</v>
      </c>
      <c r="M38" s="4">
        <v>-72.037760066611483</v>
      </c>
      <c r="N38" s="4">
        <v>-154.33000591095922</v>
      </c>
      <c r="O38" s="4">
        <v>-120.31162188508858</v>
      </c>
      <c r="P38" s="4">
        <v>-138.04338784757996</v>
      </c>
      <c r="Q38" s="4">
        <v>-78.214821605481944</v>
      </c>
      <c r="R38" s="4">
        <v>-77.922267000092162</v>
      </c>
      <c r="S38" s="4">
        <v>-57.643828867133131</v>
      </c>
      <c r="T38" s="4">
        <v>3.2399603507192611</v>
      </c>
      <c r="U38" s="4">
        <v>-7.2506232552518251</v>
      </c>
      <c r="V38" s="4">
        <v>36.504733757384912</v>
      </c>
      <c r="W38" s="4">
        <v>14.360003216781434</v>
      </c>
      <c r="X38" s="4">
        <v>14.547555680511872</v>
      </c>
      <c r="Y38" s="4">
        <v>4.2893574676515156</v>
      </c>
      <c r="Z38" s="4">
        <v>7.1703244202289369</v>
      </c>
      <c r="AA38" s="4">
        <v>0.61577915228878022</v>
      </c>
      <c r="AB38" s="4">
        <v>0.41025293011843805</v>
      </c>
      <c r="AC38" s="4">
        <v>3.2297715891295695E-2</v>
      </c>
      <c r="AD38" s="4">
        <v>5.1291069623947111E-2</v>
      </c>
      <c r="AE38" s="4">
        <v>2.9890776940860119E-3</v>
      </c>
      <c r="AF38" s="4">
        <v>1.0119193672157307E-3</v>
      </c>
      <c r="AG38" s="4"/>
      <c r="AH38" s="4"/>
      <c r="AI38" s="4"/>
      <c r="AJ38" s="4"/>
      <c r="AK38" s="4"/>
      <c r="AL38" s="4"/>
      <c r="AM38" s="4"/>
      <c r="AN38" s="4"/>
      <c r="AO38" s="4"/>
      <c r="AP38" s="4"/>
      <c r="AQ38" s="4"/>
      <c r="AR38" s="4"/>
      <c r="AS38" s="4"/>
      <c r="AT38" s="4"/>
      <c r="AU38" s="4"/>
      <c r="AV38" s="4"/>
      <c r="AW38" s="4"/>
      <c r="AX38" s="4"/>
      <c r="AY38" s="4"/>
      <c r="AZ38" s="4"/>
      <c r="BA38" s="4"/>
      <c r="BB38" s="4"/>
    </row>
    <row r="39" spans="1:54" x14ac:dyDescent="0.3">
      <c r="A39" s="4">
        <v>4310</v>
      </c>
      <c r="B39" s="4"/>
      <c r="C39" s="4">
        <v>-336.81141705472419</v>
      </c>
      <c r="D39" s="4">
        <v>-2.0100516620867953E-2</v>
      </c>
      <c r="E39" s="4">
        <v>-1.4451340265773481E-2</v>
      </c>
      <c r="F39" s="4">
        <v>-0.49752200097706462</v>
      </c>
      <c r="G39" s="4">
        <v>-0.40914175126260011</v>
      </c>
      <c r="H39" s="4">
        <v>-2.075023591165309</v>
      </c>
      <c r="I39" s="4">
        <v>-6.0160778978197778</v>
      </c>
      <c r="J39" s="4">
        <v>-23.145278768724186</v>
      </c>
      <c r="K39" s="4">
        <v>-12.491804180342072</v>
      </c>
      <c r="L39" s="4">
        <v>-68.0010628785395</v>
      </c>
      <c r="M39" s="4">
        <v>-60.589134735780597</v>
      </c>
      <c r="N39" s="4">
        <v>-135.13548916834498</v>
      </c>
      <c r="O39" s="4">
        <v>-109.70104109908966</v>
      </c>
      <c r="P39" s="4">
        <v>-131.10029490556681</v>
      </c>
      <c r="Q39" s="4">
        <v>-77.386274765251216</v>
      </c>
      <c r="R39" s="4">
        <v>-80.33899525577371</v>
      </c>
      <c r="S39" s="4">
        <v>-61.945803034616944</v>
      </c>
      <c r="T39" s="4">
        <v>3.6299325189933547</v>
      </c>
      <c r="U39" s="4">
        <v>-8.4711187245205917</v>
      </c>
      <c r="V39" s="4">
        <v>44.486602421077578</v>
      </c>
      <c r="W39" s="4">
        <v>18.258225079883456</v>
      </c>
      <c r="X39" s="4">
        <v>19.303171478455255</v>
      </c>
      <c r="Y39" s="4">
        <v>5.9412454575192806</v>
      </c>
      <c r="Z39" s="4">
        <v>10.370125860565985</v>
      </c>
      <c r="AA39" s="4">
        <v>0.93013269654799369</v>
      </c>
      <c r="AB39" s="4">
        <v>0.6473847759829443</v>
      </c>
      <c r="AC39" s="4">
        <v>5.325876024076466E-2</v>
      </c>
      <c r="AD39" s="4">
        <v>8.8407377384957853E-2</v>
      </c>
      <c r="AE39" s="4">
        <v>5.3868144094090338E-3</v>
      </c>
      <c r="AF39" s="4">
        <v>1.9072641523663479E-3</v>
      </c>
      <c r="AG39" s="4"/>
      <c r="AH39" s="4"/>
      <c r="AI39" s="4"/>
      <c r="AJ39" s="4"/>
      <c r="AK39" s="4"/>
      <c r="AL39" s="4"/>
      <c r="AM39" s="4"/>
      <c r="AN39" s="4"/>
      <c r="AO39" s="4"/>
      <c r="AP39" s="4"/>
      <c r="AQ39" s="4"/>
      <c r="AR39" s="4"/>
      <c r="AS39" s="4"/>
      <c r="AT39" s="4"/>
      <c r="AU39" s="4"/>
      <c r="AV39" s="4"/>
      <c r="AW39" s="4"/>
      <c r="AX39" s="4"/>
      <c r="AY39" s="4"/>
      <c r="AZ39" s="4"/>
      <c r="BA39" s="4"/>
      <c r="BB39" s="4"/>
    </row>
    <row r="40" spans="1:54" x14ac:dyDescent="0.3">
      <c r="A40" s="4">
        <v>4300</v>
      </c>
      <c r="B40" s="4"/>
      <c r="C40" s="4">
        <v>-287.58327275404173</v>
      </c>
      <c r="D40" s="4">
        <v>-1.1675580201087391E-2</v>
      </c>
      <c r="E40" s="4">
        <v>-8.7227657397474095E-3</v>
      </c>
      <c r="F40" s="4">
        <v>-0.31212142587606856</v>
      </c>
      <c r="G40" s="4">
        <v>-0.26683430623631937</v>
      </c>
      <c r="H40" s="4">
        <v>-1.4071482101996731</v>
      </c>
      <c r="I40" s="4">
        <v>-4.242995554969121</v>
      </c>
      <c r="J40" s="4">
        <v>-16.98080525603633</v>
      </c>
      <c r="K40" s="4">
        <v>-9.5357145582794196</v>
      </c>
      <c r="L40" s="4">
        <v>-54.022232108547662</v>
      </c>
      <c r="M40" s="4">
        <v>-50.104640474832095</v>
      </c>
      <c r="N40" s="4">
        <v>-116.35303805238007</v>
      </c>
      <c r="O40" s="4">
        <v>-98.365777037972123</v>
      </c>
      <c r="P40" s="4">
        <v>-122.45116406710822</v>
      </c>
      <c r="Q40" s="4">
        <v>-75.309771450009222</v>
      </c>
      <c r="R40" s="4">
        <v>-81.478922263660792</v>
      </c>
      <c r="S40" s="4">
        <v>-65.488767311884942</v>
      </c>
      <c r="T40" s="4">
        <v>4.0012465490542759</v>
      </c>
      <c r="U40" s="4">
        <v>-9.738372760152977</v>
      </c>
      <c r="V40" s="4">
        <v>53.34970612091017</v>
      </c>
      <c r="W40" s="4">
        <v>22.84694373777209</v>
      </c>
      <c r="X40" s="4">
        <v>25.210177258565256</v>
      </c>
      <c r="Y40" s="4">
        <v>8.1005527286195207</v>
      </c>
      <c r="Z40" s="4">
        <v>14.764703504342631</v>
      </c>
      <c r="AA40" s="4">
        <v>1.3832611060784905</v>
      </c>
      <c r="AB40" s="4">
        <v>1.0059044079552744</v>
      </c>
      <c r="AC40" s="4">
        <v>8.6484468452914756E-2</v>
      </c>
      <c r="AD40" s="4">
        <v>0.15007479095263557</v>
      </c>
      <c r="AE40" s="4">
        <v>9.5619012497168022E-3</v>
      </c>
      <c r="AF40" s="4">
        <v>3.5411020494625681E-3</v>
      </c>
      <c r="AG40" s="4"/>
      <c r="AH40" s="4"/>
      <c r="AI40" s="4"/>
      <c r="AJ40" s="4"/>
      <c r="AK40" s="4"/>
      <c r="AL40" s="4"/>
      <c r="AM40" s="4"/>
      <c r="AN40" s="4"/>
      <c r="AO40" s="4"/>
      <c r="AP40" s="4"/>
      <c r="AQ40" s="4"/>
      <c r="AR40" s="4"/>
      <c r="AS40" s="4"/>
      <c r="AT40" s="4"/>
      <c r="AU40" s="4"/>
      <c r="AV40" s="4"/>
      <c r="AW40" s="4"/>
      <c r="AX40" s="4"/>
      <c r="AY40" s="4"/>
      <c r="AZ40" s="4"/>
      <c r="BA40" s="4"/>
      <c r="BB40" s="4"/>
    </row>
    <row r="41" spans="1:54" x14ac:dyDescent="0.3">
      <c r="A41" s="4">
        <v>4290</v>
      </c>
      <c r="B41" s="4"/>
      <c r="C41" s="4">
        <v>-236.68888654781389</v>
      </c>
      <c r="D41" s="4">
        <v>-6.6617790437000701E-3</v>
      </c>
      <c r="E41" s="4">
        <v>-5.1722512850617061E-3</v>
      </c>
      <c r="F41" s="4">
        <v>-0.19237703773674486</v>
      </c>
      <c r="G41" s="4">
        <v>-0.17098859208592654</v>
      </c>
      <c r="H41" s="4">
        <v>-0.93767797442701628</v>
      </c>
      <c r="I41" s="4">
        <v>-2.9408200470523269</v>
      </c>
      <c r="J41" s="4">
        <v>-12.244210678835385</v>
      </c>
      <c r="K41" s="4">
        <v>-7.1548096772954182</v>
      </c>
      <c r="L41" s="4">
        <v>-42.187759646374815</v>
      </c>
      <c r="M41" s="4">
        <v>-40.734166903251086</v>
      </c>
      <c r="N41" s="4">
        <v>-98.497346087468244</v>
      </c>
      <c r="O41" s="4">
        <v>-86.727501068214863</v>
      </c>
      <c r="P41" s="4">
        <v>-112.47162421069946</v>
      </c>
      <c r="Q41" s="4">
        <v>-72.07771772992399</v>
      </c>
      <c r="R41" s="4">
        <v>-81.277102720514435</v>
      </c>
      <c r="S41" s="4">
        <v>-68.103243425209328</v>
      </c>
      <c r="T41" s="4">
        <v>4.3389072290610002</v>
      </c>
      <c r="U41" s="4">
        <v>-11.014449584805059</v>
      </c>
      <c r="V41" s="4">
        <v>62.95182783900129</v>
      </c>
      <c r="W41" s="4">
        <v>28.132879379879832</v>
      </c>
      <c r="X41" s="4">
        <v>32.402826877952648</v>
      </c>
      <c r="Y41" s="4">
        <v>10.870639597139647</v>
      </c>
      <c r="Z41" s="4">
        <v>20.692477859267822</v>
      </c>
      <c r="AA41" s="4">
        <v>2.0251375880349705</v>
      </c>
      <c r="AB41" s="4">
        <v>1.5388148665630907</v>
      </c>
      <c r="AC41" s="4">
        <v>0.13828186073395735</v>
      </c>
      <c r="AD41" s="4">
        <v>0.25087182230178062</v>
      </c>
      <c r="AE41" s="4">
        <v>1.6715776106968467E-2</v>
      </c>
      <c r="AF41" s="4">
        <v>6.4756225521472536E-3</v>
      </c>
      <c r="AG41" s="4"/>
      <c r="AH41" s="4"/>
      <c r="AI41" s="4"/>
      <c r="AJ41" s="4"/>
      <c r="AK41" s="4"/>
      <c r="AL41" s="4"/>
      <c r="AM41" s="4"/>
      <c r="AN41" s="4"/>
      <c r="AO41" s="4"/>
      <c r="AP41" s="4"/>
      <c r="AQ41" s="4"/>
      <c r="AR41" s="4"/>
      <c r="AS41" s="4"/>
      <c r="AT41" s="4"/>
      <c r="AU41" s="4"/>
      <c r="AV41" s="4"/>
      <c r="AW41" s="4"/>
      <c r="AX41" s="4"/>
      <c r="AY41" s="4"/>
      <c r="AZ41" s="4"/>
      <c r="BA41" s="4"/>
      <c r="BB41" s="4"/>
    </row>
    <row r="42" spans="1:54" x14ac:dyDescent="0.3">
      <c r="A42" s="4">
        <v>4280</v>
      </c>
      <c r="B42" s="4"/>
      <c r="C42" s="4">
        <v>-184.17982457595326</v>
      </c>
      <c r="D42" s="4">
        <v>-3.733270119122238E-3</v>
      </c>
      <c r="E42" s="4">
        <v>-3.0125305925897271E-3</v>
      </c>
      <c r="F42" s="4">
        <v>-0.11647924396457279</v>
      </c>
      <c r="G42" s="4">
        <v>-0.1076459505442821</v>
      </c>
      <c r="H42" s="4">
        <v>-0.61392076428649156</v>
      </c>
      <c r="I42" s="4">
        <v>-2.0028523020030069</v>
      </c>
      <c r="J42" s="4">
        <v>-8.6761687780203403</v>
      </c>
      <c r="K42" s="4">
        <v>-5.2760381076547755</v>
      </c>
      <c r="L42" s="4">
        <v>-32.382168697822458</v>
      </c>
      <c r="M42" s="4">
        <v>-32.552625301655972</v>
      </c>
      <c r="N42" s="4">
        <v>-81.970694934316043</v>
      </c>
      <c r="O42" s="4">
        <v>-75.17927841522021</v>
      </c>
      <c r="P42" s="4">
        <v>-101.57644133281799</v>
      </c>
      <c r="Q42" s="4">
        <v>-67.836339407678992</v>
      </c>
      <c r="R42" s="4">
        <v>-79.734224992560087</v>
      </c>
      <c r="S42" s="4">
        <v>-69.65697174246371</v>
      </c>
      <c r="T42" s="4">
        <v>4.6281099449837324</v>
      </c>
      <c r="U42" s="4">
        <v>-12.255192648820477</v>
      </c>
      <c r="V42" s="4">
        <v>73.081682312317952</v>
      </c>
      <c r="W42" s="4">
        <v>34.085316510287036</v>
      </c>
      <c r="X42" s="4">
        <v>40.982687332636473</v>
      </c>
      <c r="Y42" s="4">
        <v>14.356540203819918</v>
      </c>
      <c r="Z42" s="4">
        <v>28.542926717857277</v>
      </c>
      <c r="AA42" s="4">
        <v>2.918417299877349</v>
      </c>
      <c r="AB42" s="4">
        <v>2.3174109200450745</v>
      </c>
      <c r="AC42" s="4">
        <v>0.2176828046039592</v>
      </c>
      <c r="AD42" s="4">
        <v>0.41292665457044947</v>
      </c>
      <c r="AE42" s="4">
        <v>2.877604446387436E-2</v>
      </c>
      <c r="AF42" s="4">
        <v>1.1662523171469834E-2</v>
      </c>
      <c r="AG42" s="4"/>
      <c r="AH42" s="4"/>
      <c r="AI42" s="4"/>
      <c r="AJ42" s="4"/>
      <c r="AK42" s="4"/>
      <c r="AL42" s="4"/>
      <c r="AM42" s="4"/>
      <c r="AN42" s="4"/>
      <c r="AO42" s="4"/>
      <c r="AP42" s="4"/>
      <c r="AQ42" s="4"/>
      <c r="AR42" s="4"/>
      <c r="AS42" s="4"/>
      <c r="AT42" s="4"/>
      <c r="AU42" s="4"/>
      <c r="AV42" s="4"/>
      <c r="AW42" s="4"/>
      <c r="AX42" s="4"/>
      <c r="AY42" s="4"/>
      <c r="AZ42" s="4"/>
      <c r="BA42" s="4"/>
      <c r="BB42" s="4"/>
    </row>
    <row r="43" spans="1:54" x14ac:dyDescent="0.3">
      <c r="A43" s="4">
        <v>4270</v>
      </c>
      <c r="B43" s="4"/>
      <c r="C43" s="4">
        <v>-130.107046709467</v>
      </c>
      <c r="D43" s="4">
        <v>-2.0545774987414706E-3</v>
      </c>
      <c r="E43" s="4">
        <v>-1.7232822954989181E-3</v>
      </c>
      <c r="F43" s="4">
        <v>-6.9271782590630576E-2</v>
      </c>
      <c r="G43" s="4">
        <v>-6.6570279890934211E-2</v>
      </c>
      <c r="H43" s="4">
        <v>-0.39487795342841536</v>
      </c>
      <c r="I43" s="4">
        <v>-1.3401746713769056</v>
      </c>
      <c r="J43" s="4">
        <v>-6.0408419208081598</v>
      </c>
      <c r="K43" s="4">
        <v>-3.8232310118153512</v>
      </c>
      <c r="L43" s="4">
        <v>-24.427493238927291</v>
      </c>
      <c r="M43" s="4">
        <v>-25.568641661454905</v>
      </c>
      <c r="N43" s="4">
        <v>-67.054564677808159</v>
      </c>
      <c r="O43" s="4">
        <v>-64.064366480272753</v>
      </c>
      <c r="P43" s="4">
        <v>-90.190696529601411</v>
      </c>
      <c r="Q43" s="4">
        <v>-62.774664582364913</v>
      </c>
      <c r="R43" s="4">
        <v>-76.917312254226374</v>
      </c>
      <c r="S43" s="4">
        <v>-70.06587185627663</v>
      </c>
      <c r="T43" s="4">
        <v>4.8552852684921239</v>
      </c>
      <c r="U43" s="4">
        <v>-13.412451166902766</v>
      </c>
      <c r="V43" s="4">
        <v>83.460798734499335</v>
      </c>
      <c r="W43" s="4">
        <v>40.629145264826683</v>
      </c>
      <c r="X43" s="4">
        <v>51.001016520426404</v>
      </c>
      <c r="Y43" s="4">
        <v>18.657320670366285</v>
      </c>
      <c r="Z43" s="4">
        <v>38.746589937336232</v>
      </c>
      <c r="AA43" s="4">
        <v>4.1393646724949891</v>
      </c>
      <c r="AB43" s="4">
        <v>3.4352464555625102</v>
      </c>
      <c r="AC43" s="4">
        <v>0.33733874127622981</v>
      </c>
      <c r="AD43" s="4">
        <v>0.66914837689340301</v>
      </c>
      <c r="AE43" s="4">
        <v>4.8776395085558165E-2</v>
      </c>
      <c r="AF43" s="4">
        <v>2.0683471346046402E-2</v>
      </c>
      <c r="AG43" s="4"/>
      <c r="AH43" s="4"/>
      <c r="AI43" s="4"/>
      <c r="AJ43" s="4"/>
      <c r="AK43" s="4"/>
      <c r="AL43" s="4"/>
      <c r="AM43" s="4"/>
      <c r="AN43" s="4"/>
      <c r="AO43" s="4"/>
      <c r="AP43" s="4"/>
      <c r="AQ43" s="4"/>
      <c r="AR43" s="4"/>
      <c r="AS43" s="4"/>
      <c r="AT43" s="4"/>
      <c r="AU43" s="4"/>
      <c r="AV43" s="4"/>
      <c r="AW43" s="4"/>
      <c r="AX43" s="4"/>
      <c r="AY43" s="4"/>
      <c r="AZ43" s="4"/>
      <c r="BA43" s="4"/>
      <c r="BB43" s="4"/>
    </row>
    <row r="44" spans="1:54" x14ac:dyDescent="0.3">
      <c r="A44" s="4">
        <v>4260</v>
      </c>
      <c r="B44" s="4"/>
      <c r="C44" s="4">
        <v>-74.532978729257522</v>
      </c>
      <c r="D44" s="4">
        <v>-1.1102878649029441E-3</v>
      </c>
      <c r="E44" s="4">
        <v>-9.6805651076818666E-4</v>
      </c>
      <c r="F44" s="4">
        <v>-4.0459740455564136E-2</v>
      </c>
      <c r="G44" s="4">
        <v>-4.0435403160026868E-2</v>
      </c>
      <c r="H44" s="4">
        <v>-0.24948944626657432</v>
      </c>
      <c r="I44" s="4">
        <v>-0.88095323324483221</v>
      </c>
      <c r="J44" s="4">
        <v>-4.1322480046120074</v>
      </c>
      <c r="K44" s="4">
        <v>-2.7221576453957761</v>
      </c>
      <c r="L44" s="4">
        <v>-18.107266913052097</v>
      </c>
      <c r="M44" s="4">
        <v>-19.736560523902519</v>
      </c>
      <c r="N44" s="4">
        <v>-53.911527043645066</v>
      </c>
      <c r="O44" s="4">
        <v>-53.661164003133514</v>
      </c>
      <c r="P44" s="4">
        <v>-78.722252432241135</v>
      </c>
      <c r="Q44" s="4">
        <v>-57.110441188361655</v>
      </c>
      <c r="R44" s="4">
        <v>-72.954969344550776</v>
      </c>
      <c r="S44" s="4">
        <v>-69.301480477714904</v>
      </c>
      <c r="T44" s="4">
        <v>5.0091347240134168</v>
      </c>
      <c r="U44" s="4">
        <v>-14.43697250496176</v>
      </c>
      <c r="V44" s="4">
        <v>93.751849753495136</v>
      </c>
      <c r="W44" s="4">
        <v>47.640350833225042</v>
      </c>
      <c r="X44" s="4">
        <v>62.440734953466311</v>
      </c>
      <c r="Y44" s="4">
        <v>23.8563316724162</v>
      </c>
      <c r="Z44" s="4">
        <v>51.756842257632741</v>
      </c>
      <c r="AA44" s="4">
        <v>5.7778193193625667</v>
      </c>
      <c r="AB44" s="4">
        <v>5.0118915538277848</v>
      </c>
      <c r="AC44" s="4">
        <v>0.51456761775564519</v>
      </c>
      <c r="AD44" s="4">
        <v>1.0674599265767386</v>
      </c>
      <c r="AE44" s="4">
        <v>8.1397999798908133E-2</v>
      </c>
      <c r="AF44" s="4">
        <v>3.6118178988349785E-2</v>
      </c>
      <c r="AG44" s="4"/>
      <c r="AH44" s="4"/>
      <c r="AI44" s="4"/>
      <c r="AJ44" s="4"/>
      <c r="AK44" s="4"/>
      <c r="AL44" s="4"/>
      <c r="AM44" s="4"/>
      <c r="AN44" s="4"/>
      <c r="AO44" s="4"/>
      <c r="AP44" s="4"/>
      <c r="AQ44" s="4"/>
      <c r="AR44" s="4"/>
      <c r="AS44" s="4"/>
      <c r="AT44" s="4"/>
      <c r="AU44" s="4"/>
      <c r="AV44" s="4"/>
      <c r="AW44" s="4"/>
      <c r="AX44" s="4"/>
      <c r="AY44" s="4"/>
      <c r="AZ44" s="4"/>
      <c r="BA44" s="4"/>
      <c r="BB44" s="4"/>
    </row>
    <row r="45" spans="1:54" x14ac:dyDescent="0.3">
      <c r="A45" s="4">
        <v>4250</v>
      </c>
      <c r="B45" s="4"/>
      <c r="C45" s="4">
        <v>-17.544562279402395</v>
      </c>
      <c r="D45" s="4">
        <v>-5.8907986626331775E-4</v>
      </c>
      <c r="E45" s="4">
        <v>-5.3396165605101484E-4</v>
      </c>
      <c r="F45" s="4">
        <v>-2.3205699778613038E-2</v>
      </c>
      <c r="G45" s="4">
        <v>-2.4120594501209722E-2</v>
      </c>
      <c r="H45" s="4">
        <v>-0.15481980392482261</v>
      </c>
      <c r="I45" s="4">
        <v>-0.56881333874452866</v>
      </c>
      <c r="J45" s="4">
        <v>-2.7767795896433838</v>
      </c>
      <c r="K45" s="4">
        <v>-1.9041581041634363</v>
      </c>
      <c r="L45" s="4">
        <v>-13.187880815184968</v>
      </c>
      <c r="M45" s="4">
        <v>-14.970101070561007</v>
      </c>
      <c r="N45" s="4">
        <v>-42.595717735428295</v>
      </c>
      <c r="O45" s="4">
        <v>-44.174991397529091</v>
      </c>
      <c r="P45" s="4">
        <v>-67.537995059494662</v>
      </c>
      <c r="Q45" s="4">
        <v>-51.074462285459305</v>
      </c>
      <c r="R45" s="4">
        <v>-68.027634470559235</v>
      </c>
      <c r="S45" s="4">
        <v>-67.393962351838695</v>
      </c>
      <c r="T45" s="4">
        <v>5.0815500357790473</v>
      </c>
      <c r="U45" s="4">
        <v>-15.281744284542215</v>
      </c>
      <c r="V45" s="4">
        <v>103.57370794377236</v>
      </c>
      <c r="W45" s="4">
        <v>54.945027341679179</v>
      </c>
      <c r="X45" s="4">
        <v>75.199928598828606</v>
      </c>
      <c r="Y45" s="4">
        <v>30.009767922603245</v>
      </c>
      <c r="Z45" s="4">
        <v>68.022289849245624</v>
      </c>
      <c r="AA45" s="4">
        <v>7.9357557840716941</v>
      </c>
      <c r="AB45" s="4">
        <v>7.195892308704015</v>
      </c>
      <c r="AC45" s="4">
        <v>0.77250863720502028</v>
      </c>
      <c r="AD45" s="4">
        <v>1.6761431594518912</v>
      </c>
      <c r="AE45" s="4">
        <v>0.13371931656621985</v>
      </c>
      <c r="AF45" s="4">
        <v>6.209418616413085E-2</v>
      </c>
      <c r="AG45" s="4"/>
      <c r="AH45" s="4"/>
      <c r="AI45" s="4"/>
      <c r="AJ45" s="4"/>
      <c r="AK45" s="4"/>
      <c r="AL45" s="4"/>
      <c r="AM45" s="4"/>
      <c r="AN45" s="4"/>
      <c r="AO45" s="4"/>
      <c r="AP45" s="4"/>
      <c r="AQ45" s="4"/>
      <c r="AR45" s="4"/>
      <c r="AS45" s="4"/>
      <c r="AT45" s="4"/>
      <c r="AU45" s="4"/>
      <c r="AV45" s="4"/>
      <c r="AW45" s="4"/>
      <c r="AX45" s="4"/>
      <c r="AY45" s="4"/>
      <c r="AZ45" s="4"/>
      <c r="BA45" s="4"/>
      <c r="BB45" s="4"/>
    </row>
    <row r="46" spans="1:54" x14ac:dyDescent="0.3">
      <c r="A46" s="4">
        <v>4240</v>
      </c>
      <c r="B46" s="4"/>
      <c r="C46" s="4">
        <v>40.733609621717001</v>
      </c>
      <c r="D46" s="4">
        <v>-3.0681980482819904E-4</v>
      </c>
      <c r="E46" s="4">
        <v>-2.8915439554716795E-4</v>
      </c>
      <c r="F46" s="4">
        <v>-1.3068224010011195E-2</v>
      </c>
      <c r="G46" s="4">
        <v>-1.4128782444724741E-2</v>
      </c>
      <c r="H46" s="4">
        <v>-9.4347792509645603E-2</v>
      </c>
      <c r="I46" s="4">
        <v>-0.36071001884911702</v>
      </c>
      <c r="J46" s="4">
        <v>-1.8327734997453695</v>
      </c>
      <c r="K46" s="4">
        <v>-1.3084169696459464</v>
      </c>
      <c r="L46" s="4">
        <v>-9.4360852236505188</v>
      </c>
      <c r="M46" s="4">
        <v>-11.156147795376761</v>
      </c>
      <c r="N46" s="4">
        <v>-33.069549735061763</v>
      </c>
      <c r="O46" s="4">
        <v>-35.736572723218863</v>
      </c>
      <c r="P46" s="4">
        <v>-56.945722260790106</v>
      </c>
      <c r="Q46" s="4">
        <v>-44.894885877693</v>
      </c>
      <c r="R46" s="4">
        <v>-62.353865018400086</v>
      </c>
      <c r="S46" s="4">
        <v>-64.430273572609707</v>
      </c>
      <c r="T46" s="4">
        <v>5.0683132059539382</v>
      </c>
      <c r="U46" s="4">
        <v>-15.905486829429421</v>
      </c>
      <c r="V46" s="4">
        <v>112.52271308939574</v>
      </c>
      <c r="W46" s="4">
        <v>62.322783524593056</v>
      </c>
      <c r="X46" s="4">
        <v>89.079164209142917</v>
      </c>
      <c r="Y46" s="4">
        <v>37.134316830255194</v>
      </c>
      <c r="Z46" s="4">
        <v>87.949498760015743</v>
      </c>
      <c r="AA46" s="4">
        <v>10.723989189411919</v>
      </c>
      <c r="AB46" s="4">
        <v>10.166155507751283</v>
      </c>
      <c r="AC46" s="4">
        <v>1.1412978202902557</v>
      </c>
      <c r="AD46" s="4">
        <v>2.5903075017041846</v>
      </c>
      <c r="AE46" s="4">
        <v>0.21622279163878202</v>
      </c>
      <c r="AF46" s="4">
        <v>0.10508711091640018</v>
      </c>
      <c r="AG46" s="4"/>
      <c r="AH46" s="4"/>
      <c r="AI46" s="4"/>
      <c r="AJ46" s="4"/>
      <c r="AK46" s="4"/>
      <c r="AL46" s="4"/>
      <c r="AM46" s="4"/>
      <c r="AN46" s="4"/>
      <c r="AO46" s="4"/>
      <c r="AP46" s="4"/>
      <c r="AQ46" s="4"/>
      <c r="AR46" s="4"/>
      <c r="AS46" s="4"/>
      <c r="AT46" s="4"/>
      <c r="AU46" s="4"/>
      <c r="AV46" s="4"/>
      <c r="AW46" s="4"/>
      <c r="AX46" s="4"/>
      <c r="AY46" s="4"/>
      <c r="AZ46" s="4"/>
      <c r="BA46" s="4"/>
      <c r="BB46" s="4"/>
    </row>
    <row r="47" spans="1:54" x14ac:dyDescent="0.3">
      <c r="A47" s="4">
        <v>4230</v>
      </c>
      <c r="B47" s="4"/>
      <c r="C47" s="4">
        <v>100.12704358227005</v>
      </c>
      <c r="D47" s="4">
        <v>-1.5685842655171353E-4</v>
      </c>
      <c r="E47" s="4">
        <v>-1.5371091626452662E-4</v>
      </c>
      <c r="F47" s="4">
        <v>-7.224932663988594E-3</v>
      </c>
      <c r="G47" s="4">
        <v>-8.1256323073903916E-3</v>
      </c>
      <c r="H47" s="4">
        <v>-5.645640999044086E-2</v>
      </c>
      <c r="I47" s="4">
        <v>-0.22462791890223155</v>
      </c>
      <c r="J47" s="4">
        <v>-1.1880489007872033</v>
      </c>
      <c r="K47" s="4">
        <v>-0.88305698013081779</v>
      </c>
      <c r="L47" s="4">
        <v>-6.6320774456403262</v>
      </c>
      <c r="M47" s="4">
        <v>-8.1674485839555455</v>
      </c>
      <c r="N47" s="4">
        <v>-25.224072903500826</v>
      </c>
      <c r="O47" s="4">
        <v>-28.40639496985305</v>
      </c>
      <c r="P47" s="4">
        <v>-47.182754424450472</v>
      </c>
      <c r="Q47" s="4">
        <v>-38.783042501734926</v>
      </c>
      <c r="R47" s="4">
        <v>-56.17411804625138</v>
      </c>
      <c r="S47" s="4">
        <v>-60.547612790696355</v>
      </c>
      <c r="T47" s="4">
        <v>4.9694942499812793</v>
      </c>
      <c r="U47" s="4">
        <v>-16.27594496798126</v>
      </c>
      <c r="V47" s="4">
        <v>120.19877265807223</v>
      </c>
      <c r="W47" s="4">
        <v>69.515024293865167</v>
      </c>
      <c r="X47" s="4">
        <v>103.77499346478433</v>
      </c>
      <c r="Y47" s="4">
        <v>45.195050059389899</v>
      </c>
      <c r="Z47" s="4">
        <v>111.85699535556488</v>
      </c>
      <c r="AA47" s="4">
        <v>14.256647236524815</v>
      </c>
      <c r="AB47" s="4">
        <v>14.130820743206932</v>
      </c>
      <c r="AC47" s="4">
        <v>1.6591247474189141</v>
      </c>
      <c r="AD47" s="4">
        <v>3.9393275853545537</v>
      </c>
      <c r="AE47" s="4">
        <v>0.34410088631345354</v>
      </c>
      <c r="AF47" s="4">
        <v>0.17505386225272188</v>
      </c>
      <c r="AG47" s="4"/>
      <c r="AH47" s="4"/>
      <c r="AI47" s="4"/>
      <c r="AJ47" s="4"/>
      <c r="AK47" s="4"/>
      <c r="AL47" s="4"/>
      <c r="AM47" s="4"/>
      <c r="AN47" s="4"/>
      <c r="AO47" s="4"/>
      <c r="AP47" s="4"/>
      <c r="AQ47" s="4"/>
      <c r="AR47" s="4"/>
      <c r="AS47" s="4"/>
      <c r="AT47" s="4"/>
      <c r="AU47" s="4"/>
      <c r="AV47" s="4"/>
      <c r="AW47" s="4"/>
      <c r="AX47" s="4"/>
      <c r="AY47" s="4"/>
      <c r="AZ47" s="4"/>
      <c r="BA47" s="4"/>
      <c r="BB47" s="4"/>
    </row>
    <row r="48" spans="1:54" x14ac:dyDescent="0.3">
      <c r="A48" s="4">
        <v>4220</v>
      </c>
      <c r="B48" s="4"/>
      <c r="C48" s="4">
        <v>160.40098944807855</v>
      </c>
      <c r="D48" s="4">
        <v>-7.8703080320890383E-5</v>
      </c>
      <c r="E48" s="4">
        <v>-8.0200883907058913E-5</v>
      </c>
      <c r="F48" s="4">
        <v>-3.9209463936512286E-3</v>
      </c>
      <c r="G48" s="4">
        <v>-4.5876472665578863E-3</v>
      </c>
      <c r="H48" s="4">
        <v>-3.3167747338481934E-2</v>
      </c>
      <c r="I48" s="4">
        <v>-0.13735088707020654</v>
      </c>
      <c r="J48" s="4">
        <v>-0.7562463201741082</v>
      </c>
      <c r="K48" s="4">
        <v>-0.58529684810937543</v>
      </c>
      <c r="L48" s="4">
        <v>-4.5781910722591164</v>
      </c>
      <c r="M48" s="4">
        <v>-5.8733661727670015</v>
      </c>
      <c r="N48" s="4">
        <v>-18.900479740384888</v>
      </c>
      <c r="O48" s="4">
        <v>-22.183620752842153</v>
      </c>
      <c r="P48" s="4">
        <v>-38.411495200657598</v>
      </c>
      <c r="Q48" s="4">
        <v>-32.921947060674988</v>
      </c>
      <c r="R48" s="4">
        <v>-49.733717303047285</v>
      </c>
      <c r="S48" s="4">
        <v>-55.922843229246766</v>
      </c>
      <c r="T48" s="4">
        <v>4.7894953735614427</v>
      </c>
      <c r="U48" s="4">
        <v>-16.372620067622588</v>
      </c>
      <c r="V48" s="4">
        <v>126.23412183076708</v>
      </c>
      <c r="W48" s="4">
        <v>76.238060364753139</v>
      </c>
      <c r="X48" s="4">
        <v>118.88178469955007</v>
      </c>
      <c r="Y48" s="4">
        <v>54.095020937602541</v>
      </c>
      <c r="Z48" s="4">
        <v>139.92301653448303</v>
      </c>
      <c r="AA48" s="4">
        <v>18.643188335007231</v>
      </c>
      <c r="AB48" s="4">
        <v>19.322600317686085</v>
      </c>
      <c r="AC48" s="4">
        <v>2.3729725872976002</v>
      </c>
      <c r="AD48" s="4">
        <v>5.8948514625934623</v>
      </c>
      <c r="AE48" s="4">
        <v>0.53888583344935503</v>
      </c>
      <c r="AF48" s="4">
        <v>0.28699051922507807</v>
      </c>
      <c r="AG48" s="4"/>
      <c r="AH48" s="4"/>
      <c r="AI48" s="4"/>
      <c r="AJ48" s="4"/>
      <c r="AK48" s="4"/>
      <c r="AL48" s="4"/>
      <c r="AM48" s="4"/>
      <c r="AN48" s="4"/>
      <c r="AO48" s="4"/>
      <c r="AP48" s="4"/>
      <c r="AQ48" s="4"/>
      <c r="AR48" s="4"/>
      <c r="AS48" s="4"/>
      <c r="AT48" s="4"/>
      <c r="AU48" s="4"/>
      <c r="AV48" s="4"/>
      <c r="AW48" s="4"/>
      <c r="AX48" s="4"/>
      <c r="AY48" s="4"/>
      <c r="AZ48" s="4"/>
      <c r="BA48" s="4"/>
      <c r="BB48" s="4"/>
    </row>
    <row r="49" spans="1:54" x14ac:dyDescent="0.3">
      <c r="A49" s="4">
        <v>4210</v>
      </c>
      <c r="B49" s="4"/>
      <c r="C49" s="4">
        <v>221.25296839702665</v>
      </c>
      <c r="D49" s="4">
        <v>-3.8750623298049106E-5</v>
      </c>
      <c r="E49" s="4">
        <v>-4.1067379734955874E-5</v>
      </c>
      <c r="F49" s="4">
        <v>-2.0884877384388829E-3</v>
      </c>
      <c r="G49" s="4">
        <v>-2.5424214526037292E-3</v>
      </c>
      <c r="H49" s="4">
        <v>-1.9128650857339894E-2</v>
      </c>
      <c r="I49" s="4">
        <v>-8.2452921372982643E-2</v>
      </c>
      <c r="J49" s="4">
        <v>-0.47265091438028195</v>
      </c>
      <c r="K49" s="4">
        <v>-0.38093736256988264</v>
      </c>
      <c r="L49" s="4">
        <v>-3.103630831039216</v>
      </c>
      <c r="M49" s="4">
        <v>-4.1482191383117124</v>
      </c>
      <c r="N49" s="4">
        <v>-13.910628507115147</v>
      </c>
      <c r="O49" s="4">
        <v>-17.017966306016465</v>
      </c>
      <c r="P49" s="4">
        <v>-30.721392906310314</v>
      </c>
      <c r="Q49" s="4">
        <v>-27.458323266809888</v>
      </c>
      <c r="R49" s="4">
        <v>-43.26670208829924</v>
      </c>
      <c r="S49" s="4">
        <v>-50.759025534370153</v>
      </c>
      <c r="T49" s="4">
        <v>4.536730626982159</v>
      </c>
      <c r="U49" s="4">
        <v>-16.18862413174126</v>
      </c>
      <c r="V49" s="4">
        <v>130.32197540870391</v>
      </c>
      <c r="W49" s="4">
        <v>82.200375415130893</v>
      </c>
      <c r="X49" s="4">
        <v>133.9034079793978</v>
      </c>
      <c r="Y49" s="4">
        <v>63.668205352350817</v>
      </c>
      <c r="Z49" s="4">
        <v>172.13116921136896</v>
      </c>
      <c r="AA49" s="4">
        <v>23.978005381885538</v>
      </c>
      <c r="AB49" s="4">
        <v>25.989615397006276</v>
      </c>
      <c r="AC49" s="4">
        <v>3.3387876610535128</v>
      </c>
      <c r="AD49" s="4">
        <v>8.6786589621025474</v>
      </c>
      <c r="AE49" s="4">
        <v>0.83039286749354468</v>
      </c>
      <c r="AF49" s="4">
        <v>0.46300581696535326</v>
      </c>
      <c r="AG49" s="4"/>
      <c r="AH49" s="4"/>
      <c r="AI49" s="4"/>
      <c r="AJ49" s="4"/>
      <c r="AK49" s="4"/>
      <c r="AL49" s="4"/>
      <c r="AM49" s="4"/>
      <c r="AN49" s="4"/>
      <c r="AO49" s="4"/>
      <c r="AP49" s="4"/>
      <c r="AQ49" s="4"/>
      <c r="AR49" s="4"/>
      <c r="AS49" s="4"/>
      <c r="AT49" s="4"/>
      <c r="AU49" s="4"/>
      <c r="AV49" s="4"/>
      <c r="AW49" s="4"/>
      <c r="AX49" s="4"/>
      <c r="AY49" s="4"/>
      <c r="AZ49" s="4"/>
      <c r="BA49" s="4"/>
      <c r="BB49" s="4"/>
    </row>
    <row r="50" spans="1:54" x14ac:dyDescent="0.3">
      <c r="A50" s="4">
        <v>4200</v>
      </c>
      <c r="B50" s="4"/>
      <c r="C50" s="4">
        <v>282.30910420802581</v>
      </c>
      <c r="D50" s="4">
        <v>-1.8720262298482451E-5</v>
      </c>
      <c r="E50" s="4">
        <v>-2.0634863945314939E-5</v>
      </c>
      <c r="F50" s="4">
        <v>-1.0916928162396412E-3</v>
      </c>
      <c r="G50" s="4">
        <v>-1.3828450220517198E-3</v>
      </c>
      <c r="H50" s="4">
        <v>-1.0828350678700754E-2</v>
      </c>
      <c r="I50" s="4">
        <v>-4.8588291534015712E-2</v>
      </c>
      <c r="J50" s="4">
        <v>-0.29000825209611958</v>
      </c>
      <c r="K50" s="4">
        <v>-0.24342514456454106</v>
      </c>
      <c r="L50" s="4">
        <v>-2.0659641036169409</v>
      </c>
      <c r="M50" s="4">
        <v>-2.8771016202864503</v>
      </c>
      <c r="N50" s="4">
        <v>-10.055001548773468</v>
      </c>
      <c r="O50" s="4">
        <v>-12.822926724773836</v>
      </c>
      <c r="P50" s="4">
        <v>-24.136145814678191</v>
      </c>
      <c r="Q50" s="4">
        <v>-22.498478346590748</v>
      </c>
      <c r="R50" s="4">
        <v>-36.982038817352205</v>
      </c>
      <c r="S50" s="4">
        <v>-45.270501019427904</v>
      </c>
      <c r="T50" s="4">
        <v>4.2229728186178113</v>
      </c>
      <c r="U50" s="4">
        <v>-15.731425488537699</v>
      </c>
      <c r="V50" s="4">
        <v>132.24203248238317</v>
      </c>
      <c r="W50" s="4">
        <v>87.122752412573973</v>
      </c>
      <c r="X50" s="4">
        <v>148.27532743457132</v>
      </c>
      <c r="Y50" s="4">
        <v>73.677395771574837</v>
      </c>
      <c r="Z50" s="4">
        <v>208.21973688343377</v>
      </c>
      <c r="AA50" s="4">
        <v>30.328008023223035</v>
      </c>
      <c r="AB50" s="4">
        <v>34.380986617707144</v>
      </c>
      <c r="AC50" s="4">
        <v>4.6207832724927345</v>
      </c>
      <c r="AD50" s="4">
        <v>12.569265794518429</v>
      </c>
      <c r="AE50" s="4">
        <v>1.2589111747393407</v>
      </c>
      <c r="AF50" s="4">
        <v>0.73498314609150539</v>
      </c>
      <c r="AG50" s="4"/>
      <c r="AH50" s="4"/>
      <c r="AI50" s="4"/>
      <c r="AJ50" s="4"/>
      <c r="AK50" s="4"/>
      <c r="AL50" s="4"/>
      <c r="AM50" s="4"/>
      <c r="AN50" s="4"/>
      <c r="AO50" s="4"/>
      <c r="AP50" s="4"/>
      <c r="AQ50" s="4"/>
      <c r="AR50" s="4"/>
      <c r="AS50" s="4"/>
      <c r="AT50" s="4"/>
      <c r="AU50" s="4"/>
      <c r="AV50" s="4"/>
      <c r="AW50" s="4"/>
      <c r="AX50" s="4"/>
      <c r="AY50" s="4"/>
      <c r="AZ50" s="4"/>
      <c r="BA50" s="4"/>
      <c r="BB50" s="4"/>
    </row>
    <row r="51" spans="1:54" x14ac:dyDescent="0.3">
      <c r="A51" s="4">
        <v>4190</v>
      </c>
      <c r="B51" s="4"/>
      <c r="C51" s="4">
        <v>343.12502426411049</v>
      </c>
      <c r="D51" s="4">
        <v>-8.8722575251500143E-6</v>
      </c>
      <c r="E51" s="4">
        <v>-1.0172691931000113E-5</v>
      </c>
      <c r="F51" s="4">
        <v>-5.599375044763673E-4</v>
      </c>
      <c r="G51" s="4">
        <v>-7.3809318837957073E-4</v>
      </c>
      <c r="H51" s="4">
        <v>-6.0157997012735059E-3</v>
      </c>
      <c r="I51" s="4">
        <v>-2.8102948343788479E-2</v>
      </c>
      <c r="J51" s="4">
        <v>-0.17466935099895728</v>
      </c>
      <c r="K51" s="4">
        <v>-0.15270591334146286</v>
      </c>
      <c r="L51" s="4">
        <v>-1.3501944796774792</v>
      </c>
      <c r="M51" s="4">
        <v>-1.9593502828680049</v>
      </c>
      <c r="N51" s="4">
        <v>-7.1371310676381396</v>
      </c>
      <c r="O51" s="4">
        <v>-9.4888988319624197</v>
      </c>
      <c r="P51" s="4">
        <v>-18.624617133331039</v>
      </c>
      <c r="Q51" s="4">
        <v>-18.107904800756089</v>
      </c>
      <c r="R51" s="4">
        <v>-31.053288081327043</v>
      </c>
      <c r="S51" s="4">
        <v>-39.668066074145727</v>
      </c>
      <c r="T51" s="4">
        <v>3.8624383062656933</v>
      </c>
      <c r="U51" s="4">
        <v>-15.022379474507368</v>
      </c>
      <c r="V51" s="4">
        <v>131.87992447629136</v>
      </c>
      <c r="W51" s="4">
        <v>90.759428949533046</v>
      </c>
      <c r="X51" s="4">
        <v>161.39641083813009</v>
      </c>
      <c r="Y51" s="4">
        <v>83.818378887858742</v>
      </c>
      <c r="Z51" s="4">
        <v>247.64153628393009</v>
      </c>
      <c r="AA51" s="4">
        <v>37.718994875873229</v>
      </c>
      <c r="AB51" s="4">
        <v>44.726886192958062</v>
      </c>
      <c r="AC51" s="4">
        <v>6.2895704723137742</v>
      </c>
      <c r="AD51" s="4">
        <v>17.905762494457719</v>
      </c>
      <c r="AE51" s="4">
        <v>1.8774981479079444</v>
      </c>
      <c r="AF51" s="4">
        <v>1.1478599169422266</v>
      </c>
      <c r="AG51" s="4"/>
      <c r="AH51" s="4"/>
      <c r="AI51" s="4"/>
      <c r="AJ51" s="4"/>
      <c r="AK51" s="4"/>
      <c r="AL51" s="4"/>
      <c r="AM51" s="4"/>
      <c r="AN51" s="4"/>
      <c r="AO51" s="4"/>
      <c r="AP51" s="4"/>
      <c r="AQ51" s="4"/>
      <c r="AR51" s="4"/>
      <c r="AS51" s="4"/>
      <c r="AT51" s="4"/>
      <c r="AU51" s="4"/>
      <c r="AV51" s="4"/>
      <c r="AW51" s="4"/>
      <c r="AX51" s="4"/>
      <c r="AY51" s="4"/>
      <c r="AZ51" s="4"/>
      <c r="BA51" s="4"/>
      <c r="BB51" s="4"/>
    </row>
    <row r="52" spans="1:54" x14ac:dyDescent="0.3">
      <c r="A52" s="4">
        <v>4180</v>
      </c>
      <c r="B52" s="4"/>
      <c r="C52" s="4">
        <v>403.19184095075065</v>
      </c>
      <c r="D52" s="4">
        <v>-4.1246539877286666E-6</v>
      </c>
      <c r="E52" s="4">
        <v>-4.91974097599134E-6</v>
      </c>
      <c r="F52" s="4">
        <v>-2.817681077691874E-4</v>
      </c>
      <c r="G52" s="4">
        <v>-3.8654796566920627E-4</v>
      </c>
      <c r="H52" s="4">
        <v>-3.2795970922858894E-3</v>
      </c>
      <c r="I52" s="4">
        <v>-1.5951811205486569E-2</v>
      </c>
      <c r="J52" s="4">
        <v>-0.10325306173906987</v>
      </c>
      <c r="K52" s="4">
        <v>-9.4030427418480528E-2</v>
      </c>
      <c r="L52" s="4">
        <v>-0.86623258072291742</v>
      </c>
      <c r="M52" s="4">
        <v>-1.3100151793548798</v>
      </c>
      <c r="N52" s="4">
        <v>-4.9741117555797691</v>
      </c>
      <c r="O52" s="4">
        <v>-6.8950596372492923</v>
      </c>
      <c r="P52" s="4">
        <v>-14.113795091526901</v>
      </c>
      <c r="Q52" s="4">
        <v>-14.314098373680743</v>
      </c>
      <c r="R52" s="4">
        <v>-25.612327335088413</v>
      </c>
      <c r="S52" s="4">
        <v>-34.145674117340214</v>
      </c>
      <c r="T52" s="4">
        <v>3.4707093658816364</v>
      </c>
      <c r="U52" s="4">
        <v>-14.095080174250771</v>
      </c>
      <c r="V52" s="4">
        <v>129.23824443882063</v>
      </c>
      <c r="W52" s="4">
        <v>92.918115057657033</v>
      </c>
      <c r="X52" s="4">
        <v>172.66840513721107</v>
      </c>
      <c r="Y52" s="4">
        <v>93.731183760444708</v>
      </c>
      <c r="Z52" s="4">
        <v>289.54165298985447</v>
      </c>
      <c r="AA52" s="4">
        <v>46.122059417607673</v>
      </c>
      <c r="AB52" s="4">
        <v>57.213435244748418</v>
      </c>
      <c r="AC52" s="4">
        <v>8.4188422628581154</v>
      </c>
      <c r="AD52" s="4">
        <v>25.087014688070763</v>
      </c>
      <c r="AE52" s="4">
        <v>2.7541320255412183</v>
      </c>
      <c r="AF52" s="4">
        <v>1.7634740155231468</v>
      </c>
      <c r="AG52" s="4"/>
      <c r="AH52" s="4"/>
      <c r="AI52" s="4"/>
      <c r="AJ52" s="4"/>
      <c r="AK52" s="4"/>
      <c r="AL52" s="4"/>
      <c r="AM52" s="4"/>
      <c r="AN52" s="4"/>
      <c r="AO52" s="4"/>
      <c r="AP52" s="4"/>
      <c r="AQ52" s="4"/>
      <c r="AR52" s="4"/>
      <c r="AS52" s="4"/>
      <c r="AT52" s="4"/>
      <c r="AU52" s="4"/>
      <c r="AV52" s="4"/>
      <c r="AW52" s="4"/>
      <c r="AX52" s="4"/>
      <c r="AY52" s="4"/>
      <c r="AZ52" s="4"/>
      <c r="BA52" s="4"/>
      <c r="BB52" s="4"/>
    </row>
    <row r="53" spans="1:54" x14ac:dyDescent="0.3">
      <c r="A53" s="4">
        <v>4170</v>
      </c>
      <c r="B53" s="4"/>
      <c r="C53" s="4">
        <v>461.9473449266826</v>
      </c>
      <c r="D53" s="4">
        <v>-1.8806751102777469E-6</v>
      </c>
      <c r="E53" s="4">
        <v>-2.3337941136580558E-6</v>
      </c>
      <c r="F53" s="4">
        <v>-1.3909111169408585E-4</v>
      </c>
      <c r="G53" s="4">
        <v>-1.9860600891759248E-4</v>
      </c>
      <c r="H53" s="4">
        <v>-1.7542285524530532E-3</v>
      </c>
      <c r="I53" s="4">
        <v>-8.8848206433168389E-3</v>
      </c>
      <c r="J53" s="4">
        <v>-5.9897947646562762E-2</v>
      </c>
      <c r="K53" s="4">
        <v>-5.6825883315702076E-2</v>
      </c>
      <c r="L53" s="4">
        <v>-0.5454822542324147</v>
      </c>
      <c r="M53" s="4">
        <v>-0.85978810900654457</v>
      </c>
      <c r="N53" s="4">
        <v>-3.4033095099910775</v>
      </c>
      <c r="O53" s="4">
        <v>-4.919236539465544</v>
      </c>
      <c r="P53" s="4">
        <v>-10.502227107844668</v>
      </c>
      <c r="Q53" s="4">
        <v>-11.111811426706716</v>
      </c>
      <c r="R53" s="4">
        <v>-20.747212075647397</v>
      </c>
      <c r="S53" s="4">
        <v>-28.86981789883114</v>
      </c>
      <c r="T53" s="4">
        <v>3.0636089498490939</v>
      </c>
      <c r="U53" s="4">
        <v>-12.992709419895339</v>
      </c>
      <c r="V53" s="4">
        <v>124.43770508887745</v>
      </c>
      <c r="W53" s="4">
        <v>93.476643706728595</v>
      </c>
      <c r="X53" s="4">
        <v>181.53975255903208</v>
      </c>
      <c r="Y53" s="4">
        <v>103.0184125143134</v>
      </c>
      <c r="Z53" s="4">
        <v>332.75979315353828</v>
      </c>
      <c r="AA53" s="4">
        <v>55.441646598306882</v>
      </c>
      <c r="AB53" s="4">
        <v>71.953700602424064</v>
      </c>
      <c r="AC53" s="4">
        <v>11.080432125561252</v>
      </c>
      <c r="AD53" s="4">
        <v>34.564125497014253</v>
      </c>
      <c r="AE53" s="4">
        <v>3.9733626073424224</v>
      </c>
      <c r="AF53" s="4">
        <v>2.664805583746046</v>
      </c>
      <c r="AG53" s="4"/>
      <c r="AH53" s="4"/>
      <c r="AI53" s="4"/>
      <c r="AJ53" s="4"/>
      <c r="AK53" s="4"/>
      <c r="AL53" s="4"/>
      <c r="AM53" s="4"/>
      <c r="AN53" s="4"/>
      <c r="AO53" s="4"/>
      <c r="AP53" s="4"/>
      <c r="AQ53" s="4"/>
      <c r="AR53" s="4"/>
      <c r="AS53" s="4"/>
      <c r="AT53" s="4"/>
      <c r="AU53" s="4"/>
      <c r="AV53" s="4"/>
      <c r="AW53" s="4"/>
      <c r="AX53" s="4"/>
      <c r="AY53" s="4"/>
      <c r="AZ53" s="4"/>
      <c r="BA53" s="4"/>
      <c r="BB53" s="4"/>
    </row>
    <row r="54" spans="1:54" x14ac:dyDescent="0.3">
      <c r="A54" s="4">
        <v>4160</v>
      </c>
      <c r="B54" s="4"/>
      <c r="C54" s="4">
        <v>518.79203885718198</v>
      </c>
      <c r="D54" s="4">
        <v>-8.4091886474675928E-7</v>
      </c>
      <c r="E54" s="4">
        <v>-1.0857708757032844E-6</v>
      </c>
      <c r="F54" s="4">
        <v>-6.7344754298114662E-5</v>
      </c>
      <c r="G54" s="4">
        <v>-1.0009674617709257E-4</v>
      </c>
      <c r="H54" s="4">
        <v>-9.2051824973024988E-4</v>
      </c>
      <c r="I54" s="4">
        <v>-4.8552328876034622E-3</v>
      </c>
      <c r="J54" s="4">
        <v>-3.4094639905163766E-2</v>
      </c>
      <c r="K54" s="4">
        <v>-3.3700147764831545E-2</v>
      </c>
      <c r="L54" s="4">
        <v>-0.33711452483865356</v>
      </c>
      <c r="M54" s="4">
        <v>-0.5538605210993095</v>
      </c>
      <c r="N54" s="4">
        <v>-2.2857283364432894</v>
      </c>
      <c r="O54" s="4">
        <v>-3.4453891031029831</v>
      </c>
      <c r="P54" s="4">
        <v>-7.6726215735026697</v>
      </c>
      <c r="Q54" s="4">
        <v>-8.4698289655311267</v>
      </c>
      <c r="R54" s="4">
        <v>-16.503792523202289</v>
      </c>
      <c r="S54" s="4">
        <v>-23.972336015439165</v>
      </c>
      <c r="T54" s="4">
        <v>2.6561419696962818</v>
      </c>
      <c r="U54" s="4">
        <v>-11.764675498009401</v>
      </c>
      <c r="V54" s="4">
        <v>117.70812330058993</v>
      </c>
      <c r="W54" s="4">
        <v>92.394271996213419</v>
      </c>
      <c r="X54" s="4">
        <v>187.54945723637093</v>
      </c>
      <c r="Y54" s="4">
        <v>111.26974342724783</v>
      </c>
      <c r="Z54" s="4">
        <v>375.86222151191237</v>
      </c>
      <c r="AA54" s="4">
        <v>65.507107140748815</v>
      </c>
      <c r="AB54" s="4">
        <v>88.957023221381363</v>
      </c>
      <c r="AC54" s="4">
        <v>14.337731294458427</v>
      </c>
      <c r="AD54" s="4">
        <v>46.824083881252804</v>
      </c>
      <c r="AE54" s="4">
        <v>5.6369837612323357</v>
      </c>
      <c r="AF54" s="4">
        <v>3.9602759414258557</v>
      </c>
      <c r="AG54" s="4"/>
      <c r="AH54" s="4"/>
      <c r="AI54" s="4"/>
      <c r="AJ54" s="4"/>
      <c r="AK54" s="4"/>
      <c r="AL54" s="4"/>
      <c r="AM54" s="4"/>
      <c r="AN54" s="4"/>
      <c r="AO54" s="4"/>
      <c r="AP54" s="4"/>
      <c r="AQ54" s="4"/>
      <c r="AR54" s="4"/>
      <c r="AS54" s="4"/>
      <c r="AT54" s="4"/>
      <c r="AU54" s="4"/>
      <c r="AV54" s="4"/>
      <c r="AW54" s="4"/>
      <c r="AX54" s="4"/>
      <c r="AY54" s="4"/>
      <c r="AZ54" s="4"/>
      <c r="BA54" s="4"/>
      <c r="BB54" s="4"/>
    </row>
    <row r="55" spans="1:54" x14ac:dyDescent="0.3">
      <c r="A55" s="4">
        <v>4150</v>
      </c>
      <c r="B55" s="4"/>
      <c r="C55" s="4">
        <v>573.10904574691051</v>
      </c>
      <c r="D55" s="4">
        <v>-3.6867964058356579E-7</v>
      </c>
      <c r="E55" s="4">
        <v>-4.9534759508403595E-7</v>
      </c>
      <c r="F55" s="4">
        <v>-3.1977616938315927E-5</v>
      </c>
      <c r="G55" s="4">
        <v>-4.9479738741163814E-5</v>
      </c>
      <c r="H55" s="4">
        <v>-4.7380610797897701E-4</v>
      </c>
      <c r="I55" s="4">
        <v>-2.6027705668869956E-3</v>
      </c>
      <c r="J55" s="4">
        <v>-1.9040016642159163E-2</v>
      </c>
      <c r="K55" s="4">
        <v>-1.9609536662644186E-2</v>
      </c>
      <c r="L55" s="4">
        <v>-0.20444068525589859</v>
      </c>
      <c r="M55" s="4">
        <v>-0.35014325190972029</v>
      </c>
      <c r="N55" s="4">
        <v>-1.5067033329234321</v>
      </c>
      <c r="O55" s="4">
        <v>-2.368659649768222</v>
      </c>
      <c r="P55" s="4">
        <v>-5.5026775401101489</v>
      </c>
      <c r="Q55" s="4">
        <v>-6.3383567647894603</v>
      </c>
      <c r="R55" s="4">
        <v>-12.890347740685074</v>
      </c>
      <c r="S55" s="4">
        <v>-19.546923116928141</v>
      </c>
      <c r="T55" s="4">
        <v>2.2616016141070583</v>
      </c>
      <c r="U55" s="4">
        <v>-10.462908875354245</v>
      </c>
      <c r="V55" s="4">
        <v>109.3701498548956</v>
      </c>
      <c r="W55" s="4">
        <v>89.716196423149043</v>
      </c>
      <c r="X55" s="4">
        <v>190.36625516547971</v>
      </c>
      <c r="Y55" s="4">
        <v>118.09075421847766</v>
      </c>
      <c r="Z55" s="4">
        <v>417.2053411610546</v>
      </c>
      <c r="AA55" s="4">
        <v>76.069600788929847</v>
      </c>
      <c r="AB55" s="4">
        <v>108.09985614776498</v>
      </c>
      <c r="AC55" s="4">
        <v>18.237679905020865</v>
      </c>
      <c r="AD55" s="4">
        <v>62.3629082485295</v>
      </c>
      <c r="AE55" s="4">
        <v>7.8631573234379291</v>
      </c>
      <c r="AF55" s="4">
        <v>5.7875600520610444</v>
      </c>
      <c r="AG55" s="4"/>
      <c r="AH55" s="4"/>
      <c r="AI55" s="4"/>
      <c r="AJ55" s="4"/>
      <c r="AK55" s="4"/>
      <c r="AL55" s="4"/>
      <c r="AM55" s="4"/>
      <c r="AN55" s="4"/>
      <c r="AO55" s="4"/>
      <c r="AP55" s="4"/>
      <c r="AQ55" s="4"/>
      <c r="AR55" s="4"/>
      <c r="AS55" s="4"/>
      <c r="AT55" s="4"/>
      <c r="AU55" s="4"/>
      <c r="AV55" s="4"/>
      <c r="AW55" s="4"/>
      <c r="AX55" s="4"/>
      <c r="AY55" s="4"/>
      <c r="AZ55" s="4"/>
      <c r="BA55" s="4"/>
      <c r="BB55" s="4"/>
    </row>
    <row r="56" spans="1:54" x14ac:dyDescent="0.3">
      <c r="A56" s="4">
        <v>4140</v>
      </c>
      <c r="B56" s="4"/>
      <c r="C56" s="4">
        <v>624.28631255680034</v>
      </c>
      <c r="D56" s="4">
        <v>-1.5846710244108874E-7</v>
      </c>
      <c r="E56" s="4">
        <v>-2.2157385415557687E-7</v>
      </c>
      <c r="F56" s="4">
        <v>-1.4889047257718305E-5</v>
      </c>
      <c r="G56" s="4">
        <v>-2.398586916882467E-5</v>
      </c>
      <c r="H56" s="4">
        <v>-2.3918387543448068E-4</v>
      </c>
      <c r="I56" s="4">
        <v>-1.3685708914925689E-3</v>
      </c>
      <c r="J56" s="4">
        <v>-1.0430303991006855E-2</v>
      </c>
      <c r="K56" s="4">
        <v>-1.1194233470082991E-2</v>
      </c>
      <c r="L56" s="4">
        <v>-0.12164436844135459</v>
      </c>
      <c r="M56" s="4">
        <v>-0.2172048349496834</v>
      </c>
      <c r="N56" s="4">
        <v>-0.97465983316836913</v>
      </c>
      <c r="O56" s="4">
        <v>-1.5982079518557191</v>
      </c>
      <c r="P56" s="4">
        <v>-3.8736011099668461</v>
      </c>
      <c r="Q56" s="4">
        <v>-4.6562236489932651</v>
      </c>
      <c r="R56" s="4">
        <v>-9.8842892433207457</v>
      </c>
      <c r="S56" s="4">
        <v>-15.649175854835674</v>
      </c>
      <c r="T56" s="4">
        <v>1.8909118897471409</v>
      </c>
      <c r="U56" s="4">
        <v>-9.138205385458285</v>
      </c>
      <c r="V56" s="4">
        <v>99.809768154086015</v>
      </c>
      <c r="W56" s="4">
        <v>85.570621562643211</v>
      </c>
      <c r="X56" s="4">
        <v>189.8185220049518</v>
      </c>
      <c r="Y56" s="4">
        <v>123.13340525501356</v>
      </c>
      <c r="Z56" s="4">
        <v>455.02916052044191</v>
      </c>
      <c r="AA56" s="4">
        <v>86.80591694686224</v>
      </c>
      <c r="AB56" s="4">
        <v>129.10202276134834</v>
      </c>
      <c r="AC56" s="4">
        <v>22.801828387453835</v>
      </c>
      <c r="AD56" s="4">
        <v>81.647433199495069</v>
      </c>
      <c r="AE56" s="4">
        <v>10.783375462779384</v>
      </c>
      <c r="AF56" s="4">
        <v>8.3161427469537852</v>
      </c>
      <c r="AG56" s="4"/>
      <c r="AH56" s="4"/>
      <c r="AI56" s="4"/>
      <c r="AJ56" s="4"/>
      <c r="AK56" s="4"/>
      <c r="AL56" s="4"/>
      <c r="AM56" s="4"/>
      <c r="AN56" s="4"/>
      <c r="AO56" s="4"/>
      <c r="AP56" s="4"/>
      <c r="AQ56" s="4"/>
      <c r="AR56" s="4"/>
      <c r="AS56" s="4"/>
      <c r="AT56" s="4"/>
      <c r="AU56" s="4"/>
      <c r="AV56" s="4"/>
      <c r="AW56" s="4"/>
      <c r="AX56" s="4"/>
      <c r="AY56" s="4"/>
      <c r="AZ56" s="4"/>
      <c r="BA56" s="4"/>
      <c r="BB56" s="4"/>
    </row>
    <row r="57" spans="1:54" x14ac:dyDescent="0.3">
      <c r="A57" s="4">
        <v>4130</v>
      </c>
      <c r="B57" s="4"/>
      <c r="C57" s="4">
        <v>671.73900765382996</v>
      </c>
      <c r="D57" s="4">
        <v>-6.6767269430320479E-8</v>
      </c>
      <c r="E57" s="4">
        <v>-9.7163552450314649E-8</v>
      </c>
      <c r="F57" s="4">
        <v>-6.7968275373578546E-6</v>
      </c>
      <c r="G57" s="4">
        <v>-1.1401037960180661E-5</v>
      </c>
      <c r="H57" s="4">
        <v>-1.184040564888533E-4</v>
      </c>
      <c r="I57" s="4">
        <v>-7.0574036196573186E-4</v>
      </c>
      <c r="J57" s="4">
        <v>-5.6042293085238363E-3</v>
      </c>
      <c r="K57" s="4">
        <v>-6.2683604216605265E-3</v>
      </c>
      <c r="L57" s="4">
        <v>-7.1005629871537607E-2</v>
      </c>
      <c r="M57" s="4">
        <v>-0.13219440748464337</v>
      </c>
      <c r="N57" s="4">
        <v>-0.61864609161118433</v>
      </c>
      <c r="O57" s="4">
        <v>-1.0582105008912994</v>
      </c>
      <c r="P57" s="4">
        <v>-2.6761373952744516</v>
      </c>
      <c r="Q57" s="4">
        <v>-3.3572867844183421</v>
      </c>
      <c r="R57" s="4">
        <v>-7.4399283630232551</v>
      </c>
      <c r="S57" s="4">
        <v>-12.299638145393651</v>
      </c>
      <c r="T57" s="4">
        <v>1.5522434823469151</v>
      </c>
      <c r="U57" s="4">
        <v>-7.8369772872304866</v>
      </c>
      <c r="V57" s="4">
        <v>89.448404030912869</v>
      </c>
      <c r="W57" s="4">
        <v>80.158616606258818</v>
      </c>
      <c r="X57" s="4">
        <v>185.91120416684558</v>
      </c>
      <c r="Y57" s="4">
        <v>126.12500120161559</v>
      </c>
      <c r="Z57" s="4">
        <v>487.57466154818491</v>
      </c>
      <c r="AA57" s="4">
        <v>97.330189363944299</v>
      </c>
      <c r="AB57" s="4">
        <v>151.51262964955711</v>
      </c>
      <c r="AC57" s="4">
        <v>28.017263945266443</v>
      </c>
      <c r="AD57" s="4">
        <v>105.06621420983497</v>
      </c>
      <c r="AE57" s="4">
        <v>14.536691396463016</v>
      </c>
      <c r="AF57" s="4">
        <v>11.747635407573059</v>
      </c>
      <c r="AG57" s="4"/>
      <c r="AH57" s="4"/>
      <c r="AI57" s="4"/>
      <c r="AJ57" s="4"/>
      <c r="AK57" s="4"/>
      <c r="AL57" s="4"/>
      <c r="AM57" s="4"/>
      <c r="AN57" s="4"/>
      <c r="AO57" s="4"/>
      <c r="AP57" s="4"/>
      <c r="AQ57" s="4"/>
      <c r="AR57" s="4"/>
      <c r="AS57" s="4"/>
      <c r="AT57" s="4"/>
      <c r="AU57" s="4"/>
      <c r="AV57" s="4"/>
      <c r="AW57" s="4"/>
      <c r="AX57" s="4"/>
      <c r="AY57" s="4"/>
      <c r="AZ57" s="4"/>
      <c r="BA57" s="4"/>
      <c r="BB57" s="4"/>
    </row>
    <row r="58" spans="1:54" x14ac:dyDescent="0.3">
      <c r="A58" s="4">
        <v>4120</v>
      </c>
      <c r="B58" s="4"/>
      <c r="C58" s="4">
        <v>714.92971179709741</v>
      </c>
      <c r="D58" s="4">
        <v>-2.75715864598696E-8</v>
      </c>
      <c r="E58" s="4">
        <v>-4.1764182591147961E-8</v>
      </c>
      <c r="F58" s="4">
        <v>-3.0416107480286541E-6</v>
      </c>
      <c r="G58" s="4">
        <v>-5.3129277417809433E-6</v>
      </c>
      <c r="H58" s="4">
        <v>-5.747045409029674E-5</v>
      </c>
      <c r="I58" s="4">
        <v>-3.5686913690448038E-4</v>
      </c>
      <c r="J58" s="4">
        <v>-2.9530068675860345E-3</v>
      </c>
      <c r="K58" s="4">
        <v>-3.4426009226613367E-3</v>
      </c>
      <c r="L58" s="4">
        <v>-4.065466796616559E-2</v>
      </c>
      <c r="M58" s="4">
        <v>-7.8925531886799224E-2</v>
      </c>
      <c r="N58" s="4">
        <v>-0.38524459186734872</v>
      </c>
      <c r="O58" s="4">
        <v>-0.68748052929047676</v>
      </c>
      <c r="P58" s="4">
        <v>-1.8142461572007487</v>
      </c>
      <c r="Q58" s="4">
        <v>-2.3756493647912129</v>
      </c>
      <c r="R58" s="4">
        <v>-5.4963782347474357</v>
      </c>
      <c r="S58" s="4">
        <v>-9.4890616669795627</v>
      </c>
      <c r="T58" s="4">
        <v>1.2509047918869316</v>
      </c>
      <c r="U58" s="4">
        <v>-6.5986968783353976</v>
      </c>
      <c r="V58" s="4">
        <v>78.71189980782124</v>
      </c>
      <c r="W58" s="4">
        <v>73.737871635613899</v>
      </c>
      <c r="X58" s="4">
        <v>178.82749223914354</v>
      </c>
      <c r="Y58" s="4">
        <v>126.89233659776583</v>
      </c>
      <c r="Z58" s="4">
        <v>513.21507295644267</v>
      </c>
      <c r="AA58" s="4">
        <v>107.21361329431774</v>
      </c>
      <c r="AB58" s="4">
        <v>174.7096093329113</v>
      </c>
      <c r="AC58" s="4">
        <v>33.828463941638084</v>
      </c>
      <c r="AD58" s="4">
        <v>132.87178844480201</v>
      </c>
      <c r="AE58" s="4">
        <v>19.260808342360814</v>
      </c>
      <c r="AF58" s="4">
        <v>16.31271820381123</v>
      </c>
      <c r="AG58" s="4"/>
      <c r="AH58" s="4"/>
      <c r="AI58" s="4"/>
      <c r="AJ58" s="4"/>
      <c r="AK58" s="4"/>
      <c r="AL58" s="4"/>
      <c r="AM58" s="4"/>
      <c r="AN58" s="4"/>
      <c r="AO58" s="4"/>
      <c r="AP58" s="4"/>
      <c r="AQ58" s="4"/>
      <c r="AR58" s="4"/>
      <c r="AS58" s="4"/>
      <c r="AT58" s="4"/>
      <c r="AU58" s="4"/>
      <c r="AV58" s="4"/>
      <c r="AW58" s="4"/>
      <c r="AX58" s="4"/>
      <c r="AY58" s="4"/>
      <c r="AZ58" s="4"/>
      <c r="BA58" s="4"/>
      <c r="BB58" s="4"/>
    </row>
    <row r="59" spans="1:54" x14ac:dyDescent="0.3">
      <c r="A59" s="4">
        <v>4110</v>
      </c>
      <c r="B59" s="4"/>
      <c r="C59" s="4">
        <v>753.38405170085923</v>
      </c>
      <c r="D59" s="4">
        <v>-1.1157633928947502E-8</v>
      </c>
      <c r="E59" s="4">
        <v>-1.7593777240655663E-8</v>
      </c>
      <c r="F59" s="4">
        <v>-1.334129661481167E-6</v>
      </c>
      <c r="G59" s="4">
        <v>-2.4269632498435531E-6</v>
      </c>
      <c r="H59" s="4">
        <v>-2.7346731993023279E-5</v>
      </c>
      <c r="I59" s="4">
        <v>-1.7692899317755457E-4</v>
      </c>
      <c r="J59" s="4">
        <v>-1.5257467717573448E-3</v>
      </c>
      <c r="K59" s="4">
        <v>-1.8540974157171841E-3</v>
      </c>
      <c r="L59" s="4">
        <v>-2.282890854078358E-2</v>
      </c>
      <c r="M59" s="4">
        <v>-4.6219287260206979E-2</v>
      </c>
      <c r="N59" s="4">
        <v>-0.23532960545229964</v>
      </c>
      <c r="O59" s="4">
        <v>-0.43816650685907427</v>
      </c>
      <c r="P59" s="4">
        <v>-1.2067558478703615</v>
      </c>
      <c r="Q59" s="4">
        <v>-1.6495172125799291</v>
      </c>
      <c r="R59" s="4">
        <v>-3.9848369549768563</v>
      </c>
      <c r="S59" s="4">
        <v>-7.1849877797913244</v>
      </c>
      <c r="T59" s="4">
        <v>0.98947883448157026</v>
      </c>
      <c r="U59" s="4">
        <v>-5.4542104774898243</v>
      </c>
      <c r="V59" s="4">
        <v>68.001559749846535</v>
      </c>
      <c r="W59" s="4">
        <v>66.602188258997316</v>
      </c>
      <c r="X59" s="4">
        <v>168.91477575315082</v>
      </c>
      <c r="Y59" s="4">
        <v>125.37808692687604</v>
      </c>
      <c r="Z59" s="4">
        <v>530.58797155381217</v>
      </c>
      <c r="AA59" s="4">
        <v>116.01122170659535</v>
      </c>
      <c r="AB59" s="4">
        <v>197.91591957243702</v>
      </c>
      <c r="AC59" s="4">
        <v>40.131314835653207</v>
      </c>
      <c r="AD59" s="4">
        <v>165.11856638674055</v>
      </c>
      <c r="AE59" s="4">
        <v>25.079915258203613</v>
      </c>
      <c r="AF59" s="4">
        <v>22.263545055502025</v>
      </c>
      <c r="AG59" s="4"/>
      <c r="AH59" s="4"/>
      <c r="AI59" s="4"/>
      <c r="AJ59" s="4"/>
      <c r="AK59" s="4"/>
      <c r="AL59" s="4"/>
      <c r="AM59" s="4"/>
      <c r="AN59" s="4"/>
      <c r="AO59" s="4"/>
      <c r="AP59" s="4"/>
      <c r="AQ59" s="4"/>
      <c r="AR59" s="4"/>
      <c r="AS59" s="4"/>
      <c r="AT59" s="4"/>
      <c r="AU59" s="4"/>
      <c r="AV59" s="4"/>
      <c r="AW59" s="4"/>
      <c r="AX59" s="4"/>
      <c r="AY59" s="4"/>
      <c r="AZ59" s="4"/>
      <c r="BA59" s="4"/>
      <c r="BB59" s="4"/>
    </row>
    <row r="60" spans="1:54" x14ac:dyDescent="0.3">
      <c r="A60" s="4">
        <v>4100</v>
      </c>
      <c r="B60" s="4"/>
      <c r="C60" s="4">
        <v>786.69990433808891</v>
      </c>
      <c r="D60" s="4">
        <v>-4.4241791108579214E-9</v>
      </c>
      <c r="E60" s="4">
        <v>-7.2628475504960549E-9</v>
      </c>
      <c r="F60" s="4">
        <v>-5.7349271893669853E-7</v>
      </c>
      <c r="G60" s="4">
        <v>-1.0866030339761686E-6</v>
      </c>
      <c r="H60" s="4">
        <v>-1.2755217180605655E-5</v>
      </c>
      <c r="I60" s="4">
        <v>-8.5991212400388846E-5</v>
      </c>
      <c r="J60" s="4">
        <v>-7.7287486999216978E-4</v>
      </c>
      <c r="K60" s="4">
        <v>-9.7910903282587454E-4</v>
      </c>
      <c r="L60" s="4">
        <v>-1.257061952251377E-2</v>
      </c>
      <c r="M60" s="4">
        <v>-2.6544233327489855E-2</v>
      </c>
      <c r="N60" s="4">
        <v>-0.14099459406338344</v>
      </c>
      <c r="O60" s="4">
        <v>-0.27393577215679032</v>
      </c>
      <c r="P60" s="4">
        <v>-0.78744201646099998</v>
      </c>
      <c r="Q60" s="4">
        <v>-1.1237061815842411</v>
      </c>
      <c r="R60" s="4">
        <v>-2.8347294013263493</v>
      </c>
      <c r="S60" s="4">
        <v>-5.3387781058865524</v>
      </c>
      <c r="T60" s="4">
        <v>0.76815359729407084</v>
      </c>
      <c r="U60" s="4">
        <v>-4.4249811289933785</v>
      </c>
      <c r="V60" s="4">
        <v>57.670000168485032</v>
      </c>
      <c r="W60" s="4">
        <v>59.058996182244748</v>
      </c>
      <c r="X60" s="4">
        <v>156.65635004611212</v>
      </c>
      <c r="Y60" s="4">
        <v>121.64731376300233</v>
      </c>
      <c r="Z60" s="4">
        <v>538.71362415443173</v>
      </c>
      <c r="AA60" s="4">
        <v>123.29368812325276</v>
      </c>
      <c r="AB60" s="4">
        <v>220.2337896009428</v>
      </c>
      <c r="AC60" s="4">
        <v>46.770563104931057</v>
      </c>
      <c r="AD60" s="4">
        <v>201.60265756905727</v>
      </c>
      <c r="AE60" s="4">
        <v>32.089596652493547</v>
      </c>
      <c r="AF60" s="4">
        <v>29.860610169367298</v>
      </c>
      <c r="AG60" s="4"/>
      <c r="AH60" s="4"/>
      <c r="AI60" s="4"/>
      <c r="AJ60" s="4"/>
      <c r="AK60" s="4"/>
      <c r="AL60" s="4"/>
      <c r="AM60" s="4"/>
      <c r="AN60" s="4"/>
      <c r="AO60" s="4"/>
      <c r="AP60" s="4"/>
      <c r="AQ60" s="4"/>
      <c r="AR60" s="4"/>
      <c r="AS60" s="4"/>
      <c r="AT60" s="4"/>
      <c r="AU60" s="4"/>
      <c r="AV60" s="4"/>
      <c r="AW60" s="4"/>
      <c r="AX60" s="4"/>
      <c r="AY60" s="4"/>
      <c r="AZ60" s="4"/>
      <c r="BA60" s="4"/>
      <c r="BB60" s="4"/>
    </row>
    <row r="61" spans="1:54" x14ac:dyDescent="0.3">
      <c r="A61" s="4">
        <v>4090</v>
      </c>
      <c r="B61" s="4"/>
      <c r="C61" s="4">
        <v>814.54921267162979</v>
      </c>
      <c r="D61" s="4">
        <v>-1.7186245576647228E-9</v>
      </c>
      <c r="E61" s="4">
        <v>-2.9375494864266133E-9</v>
      </c>
      <c r="F61" s="4">
        <v>-2.4156340152451801E-7</v>
      </c>
      <c r="G61" s="4">
        <v>-4.7675488893782384E-7</v>
      </c>
      <c r="H61" s="4">
        <v>-5.8308277974032598E-6</v>
      </c>
      <c r="I61" s="4">
        <v>-4.0964977240652132E-5</v>
      </c>
      <c r="J61" s="4">
        <v>-3.8378092015767002E-4</v>
      </c>
      <c r="K61" s="4">
        <v>-5.0689868410048989E-4</v>
      </c>
      <c r="L61" s="4">
        <v>-6.7867865710117044E-3</v>
      </c>
      <c r="M61" s="4">
        <v>-1.4948504056983312E-2</v>
      </c>
      <c r="N61" s="4">
        <v>-8.2842623340077345E-2</v>
      </c>
      <c r="O61" s="4">
        <v>-0.16796892550489934</v>
      </c>
      <c r="P61" s="4">
        <v>-0.50400375982395362</v>
      </c>
      <c r="Q61" s="4">
        <v>-0.75094886561032115</v>
      </c>
      <c r="R61" s="4">
        <v>-1.9784280446099289</v>
      </c>
      <c r="S61" s="4">
        <v>-3.8923465248713844</v>
      </c>
      <c r="T61" s="4">
        <v>0.58518054507654649</v>
      </c>
      <c r="U61" s="4">
        <v>-3.523205198422112</v>
      </c>
      <c r="V61" s="4">
        <v>48.003734941207554</v>
      </c>
      <c r="W61" s="4">
        <v>51.407314211944247</v>
      </c>
      <c r="X61" s="4">
        <v>142.63208618706844</v>
      </c>
      <c r="Y61" s="4">
        <v>115.88310950258303</v>
      </c>
      <c r="Z61" s="4">
        <v>537.08547325863606</v>
      </c>
      <c r="AA61" s="4">
        <v>128.68117737239481</v>
      </c>
      <c r="AB61" s="4">
        <v>240.69621536570946</v>
      </c>
      <c r="AC61" s="4">
        <v>53.541797244171562</v>
      </c>
      <c r="AD61" s="4">
        <v>241.81157653088681</v>
      </c>
      <c r="AE61" s="4">
        <v>40.339694903533598</v>
      </c>
      <c r="AF61" s="4">
        <v>39.353482711241753</v>
      </c>
      <c r="AG61" s="4"/>
      <c r="AH61" s="4"/>
      <c r="AI61" s="4"/>
      <c r="AJ61" s="4"/>
      <c r="AK61" s="4"/>
      <c r="AL61" s="4"/>
      <c r="AM61" s="4"/>
      <c r="AN61" s="4"/>
      <c r="AO61" s="4"/>
      <c r="AP61" s="4"/>
      <c r="AQ61" s="4"/>
      <c r="AR61" s="4"/>
      <c r="AS61" s="4"/>
      <c r="AT61" s="4"/>
      <c r="AU61" s="4"/>
      <c r="AV61" s="4"/>
      <c r="AW61" s="4"/>
      <c r="AX61" s="4"/>
      <c r="AY61" s="4"/>
      <c r="AZ61" s="4"/>
      <c r="BA61" s="4"/>
      <c r="BB61" s="4"/>
    </row>
    <row r="62" spans="1:54" x14ac:dyDescent="0.3">
      <c r="A62" s="4">
        <v>4080</v>
      </c>
      <c r="B62" s="4"/>
      <c r="C62" s="4">
        <v>836.67270268922687</v>
      </c>
      <c r="D62" s="4">
        <v>-6.5396419642268929E-10</v>
      </c>
      <c r="E62" s="4">
        <v>-1.1639411279276686E-9</v>
      </c>
      <c r="F62" s="4">
        <v>-9.9688501874362919E-8</v>
      </c>
      <c r="G62" s="4">
        <v>-2.0496206268114008E-7</v>
      </c>
      <c r="H62" s="4">
        <v>-2.6119825890410468E-6</v>
      </c>
      <c r="I62" s="4">
        <v>-1.912550567740667E-5</v>
      </c>
      <c r="J62" s="4">
        <v>-1.8678553381835087E-4</v>
      </c>
      <c r="K62" s="4">
        <v>-2.5724164767991411E-4</v>
      </c>
      <c r="L62" s="4">
        <v>-3.5920825617066082E-3</v>
      </c>
      <c r="M62" s="4">
        <v>-8.2536250636507484E-3</v>
      </c>
      <c r="N62" s="4">
        <v>-4.7727620313434492E-2</v>
      </c>
      <c r="O62" s="4">
        <v>-0.10099946053531676</v>
      </c>
      <c r="P62" s="4">
        <v>-0.31637670682543823</v>
      </c>
      <c r="Q62" s="4">
        <v>-0.49223146887841829</v>
      </c>
      <c r="R62" s="4">
        <v>-1.3544920865612504</v>
      </c>
      <c r="S62" s="4">
        <v>-2.7840376302910448</v>
      </c>
      <c r="T62" s="4">
        <v>0.43739353049696411</v>
      </c>
      <c r="U62" s="4">
        <v>-2.7526568981321033</v>
      </c>
      <c r="V62" s="4">
        <v>39.213443151457298</v>
      </c>
      <c r="W62" s="4">
        <v>43.918365098182278</v>
      </c>
      <c r="X62" s="4">
        <v>127.47254941991648</v>
      </c>
      <c r="Y62" s="4">
        <v>108.37174403182112</v>
      </c>
      <c r="Z62" s="4">
        <v>525.72127165008817</v>
      </c>
      <c r="AA62" s="4">
        <v>131.87564347617311</v>
      </c>
      <c r="AB62" s="4">
        <v>258.33243783609834</v>
      </c>
      <c r="AC62" s="4">
        <v>60.198677815431168</v>
      </c>
      <c r="AD62" s="4">
        <v>284.89260920332526</v>
      </c>
      <c r="AE62" s="4">
        <v>49.816604989022288</v>
      </c>
      <c r="AF62" s="4">
        <v>50.955498826741845</v>
      </c>
      <c r="AG62" s="4"/>
      <c r="AH62" s="4"/>
      <c r="AI62" s="4"/>
      <c r="AJ62" s="4"/>
      <c r="AK62" s="4"/>
      <c r="AL62" s="4"/>
      <c r="AM62" s="4"/>
      <c r="AN62" s="4"/>
      <c r="AO62" s="4"/>
      <c r="AP62" s="4"/>
      <c r="AQ62" s="4"/>
      <c r="AR62" s="4"/>
      <c r="AS62" s="4"/>
      <c r="AT62" s="4"/>
      <c r="AU62" s="4"/>
      <c r="AV62" s="4"/>
      <c r="AW62" s="4"/>
      <c r="AX62" s="4"/>
      <c r="AY62" s="4"/>
      <c r="AZ62" s="4"/>
      <c r="BA62" s="4"/>
      <c r="BB62" s="4"/>
    </row>
    <row r="63" spans="1:54" x14ac:dyDescent="0.3">
      <c r="A63" s="4">
        <v>4070</v>
      </c>
      <c r="B63" s="4"/>
      <c r="C63" s="4">
        <v>852.86917998256081</v>
      </c>
      <c r="D63" s="4">
        <v>-2.4371818984618195E-10</v>
      </c>
      <c r="E63" s="4">
        <v>-4.51732122034647E-10</v>
      </c>
      <c r="F63" s="4">
        <v>-4.0300134589336355E-8</v>
      </c>
      <c r="G63" s="4">
        <v>-8.6326254554052201E-8</v>
      </c>
      <c r="H63" s="4">
        <v>-1.1464239757099769E-6</v>
      </c>
      <c r="I63" s="4">
        <v>-8.7496791900534931E-6</v>
      </c>
      <c r="J63" s="4">
        <v>-8.9089476816642566E-5</v>
      </c>
      <c r="K63" s="4">
        <v>-1.2794675598388843E-4</v>
      </c>
      <c r="L63" s="4">
        <v>-1.8635503050624092E-3</v>
      </c>
      <c r="M63" s="4">
        <v>-4.4673450574145507E-3</v>
      </c>
      <c r="N63" s="4">
        <v>-2.6958070288064153E-2</v>
      </c>
      <c r="O63" s="4">
        <v>-5.9546717648913873E-2</v>
      </c>
      <c r="P63" s="4">
        <v>-0.19474653132913861</v>
      </c>
      <c r="Q63" s="4">
        <v>-0.31642369383805879</v>
      </c>
      <c r="R63" s="4">
        <v>-0.90953553091136086</v>
      </c>
      <c r="S63" s="4">
        <v>-1.9533152182191968</v>
      </c>
      <c r="T63" s="4">
        <v>0.32072689319774805</v>
      </c>
      <c r="U63" s="4">
        <v>-2.1100559337626841</v>
      </c>
      <c r="V63" s="4">
        <v>31.4318642937417</v>
      </c>
      <c r="W63" s="4">
        <v>36.820559863719751</v>
      </c>
      <c r="X63" s="4">
        <v>111.81166806888103</v>
      </c>
      <c r="Y63" s="4">
        <v>99.4789831866143</v>
      </c>
      <c r="Z63" s="4">
        <v>505.16781689386636</v>
      </c>
      <c r="AA63" s="4">
        <v>132.68782195930223</v>
      </c>
      <c r="AB63" s="4">
        <v>272.24176894158114</v>
      </c>
      <c r="AC63" s="4">
        <v>66.465553739264976</v>
      </c>
      <c r="AD63" s="4">
        <v>329.64825780664154</v>
      </c>
      <c r="AE63" s="4">
        <v>60.427037882771515</v>
      </c>
      <c r="AF63" s="4">
        <v>64.813440086557051</v>
      </c>
      <c r="AG63" s="4"/>
      <c r="AH63" s="4"/>
      <c r="AI63" s="4"/>
      <c r="AJ63" s="4"/>
      <c r="AK63" s="4"/>
      <c r="AL63" s="4"/>
      <c r="AM63" s="4"/>
      <c r="AN63" s="4"/>
      <c r="AO63" s="4"/>
      <c r="AP63" s="4"/>
      <c r="AQ63" s="4"/>
      <c r="AR63" s="4"/>
      <c r="AS63" s="4"/>
      <c r="AT63" s="4"/>
      <c r="AU63" s="4"/>
      <c r="AV63" s="4"/>
      <c r="AW63" s="4"/>
      <c r="AX63" s="4"/>
      <c r="AY63" s="4"/>
      <c r="AZ63" s="4"/>
      <c r="BA63" s="4"/>
      <c r="BB63" s="4"/>
    </row>
    <row r="64" spans="1:54" x14ac:dyDescent="0.3">
      <c r="A64" s="4">
        <v>4060</v>
      </c>
      <c r="B64" s="4"/>
      <c r="C64" s="4">
        <v>862.98234008190525</v>
      </c>
      <c r="D64" s="4">
        <v>-8.8944424472619556E-11</v>
      </c>
      <c r="E64" s="4">
        <v>-1.7170031130264609E-10</v>
      </c>
      <c r="F64" s="4">
        <v>-1.5957014648755855E-8</v>
      </c>
      <c r="G64" s="4">
        <v>-3.5615565322626144E-8</v>
      </c>
      <c r="H64" s="4">
        <v>-4.9293745540619401E-7</v>
      </c>
      <c r="I64" s="4">
        <v>-3.9218158743108163E-6</v>
      </c>
      <c r="J64" s="4">
        <v>-4.1636094218689632E-5</v>
      </c>
      <c r="K64" s="4">
        <v>-6.2362348712394338E-5</v>
      </c>
      <c r="L64" s="4">
        <v>-9.4751513188839594E-4</v>
      </c>
      <c r="M64" s="4">
        <v>-2.3700077875379332E-3</v>
      </c>
      <c r="N64" s="4">
        <v>-1.4926187032038589E-2</v>
      </c>
      <c r="O64" s="4">
        <v>-3.4417828247189676E-2</v>
      </c>
      <c r="P64" s="4">
        <v>-0.1175351839700417</v>
      </c>
      <c r="Q64" s="4">
        <v>-0.19945635603696676</v>
      </c>
      <c r="R64" s="4">
        <v>-0.59894746609625615</v>
      </c>
      <c r="S64" s="4">
        <v>-1.3441331894332391</v>
      </c>
      <c r="T64" s="4">
        <v>0.2306844320162178</v>
      </c>
      <c r="U64" s="4">
        <v>-1.5867304881149744</v>
      </c>
      <c r="V64" s="4">
        <v>24.718398282450124</v>
      </c>
      <c r="W64" s="4">
        <v>30.289885043986228</v>
      </c>
      <c r="X64" s="4">
        <v>96.24293903025125</v>
      </c>
      <c r="Y64" s="4">
        <v>89.620318022315644</v>
      </c>
      <c r="Z64" s="4">
        <v>476.45790434658767</v>
      </c>
      <c r="AA64" s="4">
        <v>131.05555745225502</v>
      </c>
      <c r="AB64" s="4">
        <v>281.66828301315957</v>
      </c>
      <c r="AC64" s="4">
        <v>72.054888510507311</v>
      </c>
      <c r="AD64" s="4">
        <v>374.56536893952403</v>
      </c>
      <c r="AE64" s="4">
        <v>71.985681266018517</v>
      </c>
      <c r="AF64" s="4">
        <v>80.974344511618952</v>
      </c>
      <c r="AG64" s="4"/>
      <c r="AH64" s="4"/>
      <c r="AI64" s="4"/>
      <c r="AJ64" s="4"/>
      <c r="AK64" s="4"/>
      <c r="AL64" s="4"/>
      <c r="AM64" s="4"/>
      <c r="AN64" s="4"/>
      <c r="AO64" s="4"/>
      <c r="AP64" s="4"/>
      <c r="AQ64" s="4"/>
      <c r="AR64" s="4"/>
      <c r="AS64" s="4"/>
      <c r="AT64" s="4"/>
      <c r="AU64" s="4"/>
      <c r="AV64" s="4"/>
      <c r="AW64" s="4"/>
      <c r="AX64" s="4"/>
      <c r="AY64" s="4"/>
      <c r="AZ64" s="4"/>
      <c r="BA64" s="4"/>
      <c r="BB64" s="4"/>
    </row>
    <row r="65" spans="1:54" x14ac:dyDescent="0.3">
      <c r="A65" s="4">
        <v>4050</v>
      </c>
      <c r="B65" s="4"/>
      <c r="C65" s="4">
        <v>866.88885659363882</v>
      </c>
      <c r="D65" s="4">
        <v>-3.178202437895927E-11</v>
      </c>
      <c r="E65" s="4">
        <v>-6.3905285976132629E-11</v>
      </c>
      <c r="F65" s="4">
        <v>-6.1875136177621148E-9</v>
      </c>
      <c r="G65" s="4">
        <v>-1.4391305317245617E-8</v>
      </c>
      <c r="H65" s="4">
        <v>-2.0760893670362272E-7</v>
      </c>
      <c r="I65" s="4">
        <v>-1.7220051509492798E-6</v>
      </c>
      <c r="J65" s="4">
        <v>-1.9063844568638926E-5</v>
      </c>
      <c r="K65" s="4">
        <v>-2.9782255468795136E-5</v>
      </c>
      <c r="L65" s="4">
        <v>-4.720830228114696E-4</v>
      </c>
      <c r="M65" s="4">
        <v>-1.2322043968760988E-3</v>
      </c>
      <c r="N65" s="4">
        <v>-8.100045045450378E-3</v>
      </c>
      <c r="O65" s="4">
        <v>-1.9499954895312047E-2</v>
      </c>
      <c r="P65" s="4">
        <v>-6.954034716843828E-2</v>
      </c>
      <c r="Q65" s="4">
        <v>-0.12326623441945503</v>
      </c>
      <c r="R65" s="4">
        <v>-0.38674258023679825</v>
      </c>
      <c r="S65" s="4">
        <v>-0.90703402048326731</v>
      </c>
      <c r="T65" s="4">
        <v>0.16272709723451007</v>
      </c>
      <c r="U65" s="4">
        <v>-1.170357943591561</v>
      </c>
      <c r="V65" s="4">
        <v>19.06886287646449</v>
      </c>
      <c r="W65" s="4">
        <v>24.445975782370105</v>
      </c>
      <c r="X65" s="4">
        <v>81.283362503123612</v>
      </c>
      <c r="Y65" s="4">
        <v>79.228506651517392</v>
      </c>
      <c r="Z65" s="4">
        <v>441.02413105702976</v>
      </c>
      <c r="AA65" s="4">
        <v>127.05102808579178</v>
      </c>
      <c r="AB65" s="4">
        <v>286.06795621021229</v>
      </c>
      <c r="AC65" s="4">
        <v>76.688169839698318</v>
      </c>
      <c r="AD65" s="4">
        <v>417.88125548835916</v>
      </c>
      <c r="AE65" s="4">
        <v>84.209291572132898</v>
      </c>
      <c r="AF65" s="4">
        <v>99.352742232991773</v>
      </c>
      <c r="AG65" s="4"/>
      <c r="AH65" s="4"/>
      <c r="AI65" s="4"/>
      <c r="AJ65" s="4"/>
      <c r="AK65" s="4"/>
      <c r="AL65" s="4"/>
      <c r="AM65" s="4"/>
      <c r="AN65" s="4"/>
      <c r="AO65" s="4"/>
      <c r="AP65" s="4"/>
      <c r="AQ65" s="4"/>
      <c r="AR65" s="4"/>
      <c r="AS65" s="4"/>
      <c r="AT65" s="4"/>
      <c r="AU65" s="4"/>
      <c r="AV65" s="4"/>
      <c r="AW65" s="4"/>
      <c r="AX65" s="4"/>
      <c r="AY65" s="4"/>
      <c r="AZ65" s="4"/>
      <c r="BA65" s="4"/>
      <c r="BB65" s="4"/>
    </row>
    <row r="66" spans="1:54" x14ac:dyDescent="0.3">
      <c r="A66" s="4">
        <v>4040</v>
      </c>
      <c r="B66" s="4"/>
      <c r="C66" s="4">
        <v>864.49166650499194</v>
      </c>
      <c r="D66" s="4">
        <v>-1.1117600772359901E-11</v>
      </c>
      <c r="E66" s="4">
        <v>-2.328696758728462E-11</v>
      </c>
      <c r="F66" s="4">
        <v>-2.3492819926477348E-9</v>
      </c>
      <c r="G66" s="4">
        <v>-5.6945476545647685E-9</v>
      </c>
      <c r="H66" s="4">
        <v>-8.5633452445285851E-8</v>
      </c>
      <c r="I66" s="4">
        <v>-7.4057595268077601E-7</v>
      </c>
      <c r="J66" s="4">
        <v>-8.5503498540251729E-6</v>
      </c>
      <c r="K66" s="4">
        <v>-1.3933840165986255E-5</v>
      </c>
      <c r="L66" s="4">
        <v>-2.3044867227007965E-4</v>
      </c>
      <c r="M66" s="4">
        <v>-6.2774761642883301E-4</v>
      </c>
      <c r="N66" s="4">
        <v>-4.307659057994814E-3</v>
      </c>
      <c r="O66" s="4">
        <v>-1.0827927589897207E-2</v>
      </c>
      <c r="P66" s="4">
        <v>-4.0328673144176611E-2</v>
      </c>
      <c r="Q66" s="4">
        <v>-7.4678448357687527E-2</v>
      </c>
      <c r="R66" s="4">
        <v>-0.24482582112033266</v>
      </c>
      <c r="S66" s="4">
        <v>-0.60014218734737601</v>
      </c>
      <c r="T66" s="4">
        <v>0.11256370824335736</v>
      </c>
      <c r="U66" s="4">
        <v>-0.84660156609320891</v>
      </c>
      <c r="V66" s="4">
        <v>14.428535951570719</v>
      </c>
      <c r="W66" s="4">
        <v>19.353459024548751</v>
      </c>
      <c r="X66" s="4">
        <v>67.347995220438136</v>
      </c>
      <c r="Y66" s="4">
        <v>68.721992130865189</v>
      </c>
      <c r="Z66" s="4">
        <v>400.5795759338319</v>
      </c>
      <c r="AA66" s="4">
        <v>120.87575835449985</v>
      </c>
      <c r="AB66" s="4">
        <v>285.1600786449834</v>
      </c>
      <c r="AC66" s="4">
        <v>80.118315740077122</v>
      </c>
      <c r="AD66" s="4">
        <v>457.68560840748773</v>
      </c>
      <c r="AE66" s="4">
        <v>96.719469059122332</v>
      </c>
      <c r="AF66" s="4">
        <v>119.70257463179267</v>
      </c>
      <c r="AG66" s="4"/>
      <c r="AH66" s="4"/>
      <c r="AI66" s="4"/>
      <c r="AJ66" s="4"/>
      <c r="AK66" s="4"/>
      <c r="AL66" s="4"/>
      <c r="AM66" s="4"/>
      <c r="AN66" s="4"/>
      <c r="AO66" s="4"/>
      <c r="AP66" s="4"/>
      <c r="AQ66" s="4"/>
      <c r="AR66" s="4"/>
      <c r="AS66" s="4"/>
      <c r="AT66" s="4"/>
      <c r="AU66" s="4"/>
      <c r="AV66" s="4"/>
      <c r="AW66" s="4"/>
      <c r="AX66" s="4"/>
      <c r="AY66" s="4"/>
      <c r="AZ66" s="4"/>
      <c r="BA66" s="4"/>
      <c r="BB66" s="4"/>
    </row>
    <row r="67" spans="1:54" x14ac:dyDescent="0.3">
      <c r="A67" s="4">
        <v>4030</v>
      </c>
      <c r="B67" s="4"/>
      <c r="C67" s="4">
        <v>855.72171724956581</v>
      </c>
      <c r="D67" s="4">
        <v>-3.8066359791315556E-12</v>
      </c>
      <c r="E67" s="4">
        <v>-8.3068014822002818E-12</v>
      </c>
      <c r="F67" s="4">
        <v>-8.7325903776138292E-10</v>
      </c>
      <c r="G67" s="4">
        <v>-2.2062346173394671E-9</v>
      </c>
      <c r="H67" s="4">
        <v>-3.4587485194190869E-8</v>
      </c>
      <c r="I67" s="4">
        <v>-3.1190895228083584E-7</v>
      </c>
      <c r="J67" s="4">
        <v>-3.755999762089663E-6</v>
      </c>
      <c r="K67" s="4">
        <v>-6.3855423656973736E-6</v>
      </c>
      <c r="L67" s="4">
        <v>-1.1020199863154948E-4</v>
      </c>
      <c r="M67" s="4">
        <v>-3.1332336895305307E-4</v>
      </c>
      <c r="N67" s="4">
        <v>-2.2446406955972664E-3</v>
      </c>
      <c r="O67" s="4">
        <v>-5.891897572431767E-3</v>
      </c>
      <c r="P67" s="4">
        <v>-2.2921122183022814E-2</v>
      </c>
      <c r="Q67" s="4">
        <v>-4.4344353717924667E-2</v>
      </c>
      <c r="R67" s="4">
        <v>-0.15192583536881141</v>
      </c>
      <c r="S67" s="4">
        <v>-0.38928842712254647</v>
      </c>
      <c r="T67" s="4">
        <v>7.6343402787513948E-2</v>
      </c>
      <c r="U67" s="4">
        <v>-0.60051266135059256</v>
      </c>
      <c r="V67" s="4">
        <v>10.706583194051099</v>
      </c>
      <c r="W67" s="4">
        <v>15.027602039162479</v>
      </c>
      <c r="X67" s="4">
        <v>54.736440591679766</v>
      </c>
      <c r="Y67" s="4">
        <v>58.477416365577206</v>
      </c>
      <c r="Z67" s="4">
        <v>356.97928407824838</v>
      </c>
      <c r="AA67" s="4">
        <v>112.84385184064091</v>
      </c>
      <c r="AB67" s="4">
        <v>278.95625727460049</v>
      </c>
      <c r="AC67" s="4">
        <v>82.151147721827513</v>
      </c>
      <c r="AD67" s="4">
        <v>492.05181920954084</v>
      </c>
      <c r="AE67" s="4">
        <v>109.05564850091461</v>
      </c>
      <c r="AF67" s="4">
        <v>141.59860323460924</v>
      </c>
      <c r="AG67" s="4"/>
      <c r="AH67" s="4"/>
      <c r="AI67" s="4"/>
      <c r="AJ67" s="4"/>
      <c r="AK67" s="4"/>
      <c r="AL67" s="4"/>
      <c r="AM67" s="4"/>
      <c r="AN67" s="4"/>
      <c r="AO67" s="4"/>
      <c r="AP67" s="4"/>
      <c r="AQ67" s="4"/>
      <c r="AR67" s="4"/>
      <c r="AS67" s="4"/>
      <c r="AT67" s="4"/>
      <c r="AU67" s="4"/>
      <c r="AV67" s="4"/>
      <c r="AW67" s="4"/>
      <c r="AX67" s="4"/>
      <c r="AY67" s="4"/>
      <c r="AZ67" s="4"/>
      <c r="BA67" s="4"/>
      <c r="BB67" s="4"/>
    </row>
    <row r="68" spans="1:54" x14ac:dyDescent="0.3">
      <c r="A68" s="4">
        <v>4020</v>
      </c>
      <c r="B68" s="4"/>
      <c r="C68" s="4">
        <v>840.55000176535248</v>
      </c>
      <c r="D68" s="4">
        <v>-1.2755745598176936E-12</v>
      </c>
      <c r="E68" s="4">
        <v>-2.900234755038744E-12</v>
      </c>
      <c r="F68" s="4">
        <v>-3.1774146680076081E-10</v>
      </c>
      <c r="G68" s="4">
        <v>-8.3678080163426324E-10</v>
      </c>
      <c r="H68" s="4">
        <v>-1.3677508572613961E-8</v>
      </c>
      <c r="I68" s="4">
        <v>-1.2863043107802246E-7</v>
      </c>
      <c r="J68" s="4">
        <v>-1.6157356336649611E-6</v>
      </c>
      <c r="K68" s="4">
        <v>-2.8659823439449747E-6</v>
      </c>
      <c r="L68" s="4">
        <v>-5.1617791516306217E-5</v>
      </c>
      <c r="M68" s="4">
        <v>-1.5319386832301631E-4</v>
      </c>
      <c r="N68" s="4">
        <v>-1.1458814173901362E-3</v>
      </c>
      <c r="O68" s="4">
        <v>-3.141225300399837E-3</v>
      </c>
      <c r="P68" s="4">
        <v>-1.2765530235987534E-2</v>
      </c>
      <c r="Q68" s="4">
        <v>-2.5805345077554043E-2</v>
      </c>
      <c r="R68" s="4">
        <v>-9.2402107095415478E-2</v>
      </c>
      <c r="S68" s="4">
        <v>-0.24752123680004362</v>
      </c>
      <c r="T68" s="4">
        <v>5.075938612078261E-2</v>
      </c>
      <c r="U68" s="4">
        <v>-0.41762392274759785</v>
      </c>
      <c r="V68" s="4">
        <v>7.7901942044594206</v>
      </c>
      <c r="W68" s="4">
        <v>11.442962705989505</v>
      </c>
      <c r="X68" s="4">
        <v>43.631021994775693</v>
      </c>
      <c r="Y68" s="4">
        <v>48.808685024099567</v>
      </c>
      <c r="Z68" s="4">
        <v>312.0782943924263</v>
      </c>
      <c r="AA68" s="4">
        <v>103.35537757938694</v>
      </c>
      <c r="AB68" s="4">
        <v>267.76291741364037</v>
      </c>
      <c r="AC68" s="4">
        <v>82.663382178722088</v>
      </c>
      <c r="AD68" s="4">
        <v>519.18629888755925</v>
      </c>
      <c r="AE68" s="4">
        <v>120.69870957456574</v>
      </c>
      <c r="AF68" s="4">
        <v>164.43201487447803</v>
      </c>
      <c r="AG68" s="4"/>
      <c r="AH68" s="4"/>
      <c r="AI68" s="4"/>
      <c r="AJ68" s="4"/>
      <c r="AK68" s="4"/>
      <c r="AL68" s="4"/>
      <c r="AM68" s="4"/>
      <c r="AN68" s="4"/>
      <c r="AO68" s="4"/>
      <c r="AP68" s="4"/>
      <c r="AQ68" s="4"/>
      <c r="AR68" s="4"/>
      <c r="AS68" s="4"/>
      <c r="AT68" s="4"/>
      <c r="AU68" s="4"/>
      <c r="AV68" s="4"/>
      <c r="AW68" s="4"/>
      <c r="AX68" s="4"/>
      <c r="AY68" s="4"/>
      <c r="AZ68" s="4"/>
      <c r="BA68" s="4"/>
      <c r="BB68" s="4"/>
    </row>
    <row r="69" spans="1:54" x14ac:dyDescent="0.3">
      <c r="A69" s="4">
        <v>4010</v>
      </c>
      <c r="B69" s="4"/>
      <c r="C69" s="4">
        <v>819.00968991249783</v>
      </c>
      <c r="D69" s="4">
        <v>-4.1825144628866535E-13</v>
      </c>
      <c r="E69" s="4">
        <v>-9.909323244827484E-13</v>
      </c>
      <c r="F69" s="4">
        <v>-1.1315164869124773E-10</v>
      </c>
      <c r="G69" s="4">
        <v>-3.1065103745255574E-10</v>
      </c>
      <c r="H69" s="4">
        <v>-5.2946986081747699E-9</v>
      </c>
      <c r="I69" s="4">
        <v>-5.1933937193426965E-8</v>
      </c>
      <c r="J69" s="4">
        <v>-6.8053793534807088E-7</v>
      </c>
      <c r="K69" s="4">
        <v>-1.2595993416007092E-6</v>
      </c>
      <c r="L69" s="4">
        <v>-2.3677656963779527E-5</v>
      </c>
      <c r="M69" s="4">
        <v>-7.3361086957101978E-5</v>
      </c>
      <c r="N69" s="4">
        <v>-5.7300048008086183E-4</v>
      </c>
      <c r="O69" s="4">
        <v>-1.6406366234884544E-3</v>
      </c>
      <c r="P69" s="4">
        <v>-6.9655991495448577E-3</v>
      </c>
      <c r="Q69" s="4">
        <v>-1.4714487568818423E-2</v>
      </c>
      <c r="R69" s="4">
        <v>-5.5073669624438409E-2</v>
      </c>
      <c r="S69" s="4">
        <v>-0.15424581333870357</v>
      </c>
      <c r="T69" s="4">
        <v>3.3080303275878048E-2</v>
      </c>
      <c r="U69" s="4">
        <v>-0.28471179241275085</v>
      </c>
      <c r="V69" s="4">
        <v>5.5571415916829379</v>
      </c>
      <c r="W69" s="4">
        <v>8.5436266743659459</v>
      </c>
      <c r="X69" s="4">
        <v>34.105050120988857</v>
      </c>
      <c r="Y69" s="4">
        <v>39.954003173276156</v>
      </c>
      <c r="Z69" s="4">
        <v>267.60145237663789</v>
      </c>
      <c r="AA69" s="4">
        <v>92.863062980040795</v>
      </c>
      <c r="AB69" s="4">
        <v>252.15652643317549</v>
      </c>
      <c r="AC69" s="4">
        <v>81.614849814103664</v>
      </c>
      <c r="AD69" s="4">
        <v>537.5803974818632</v>
      </c>
      <c r="AE69" s="4">
        <v>131.10418964735069</v>
      </c>
      <c r="AF69" s="4">
        <v>187.42402326396692</v>
      </c>
      <c r="AG69" s="4"/>
      <c r="AH69" s="4"/>
      <c r="AI69" s="4"/>
      <c r="AJ69" s="4"/>
      <c r="AK69" s="4"/>
      <c r="AL69" s="4"/>
      <c r="AM69" s="4"/>
      <c r="AN69" s="4"/>
      <c r="AO69" s="4"/>
      <c r="AP69" s="4"/>
      <c r="AQ69" s="4"/>
      <c r="AR69" s="4"/>
      <c r="AS69" s="4"/>
      <c r="AT69" s="4"/>
      <c r="AU69" s="4"/>
      <c r="AV69" s="4"/>
      <c r="AW69" s="4"/>
      <c r="AX69" s="4"/>
      <c r="AY69" s="4"/>
      <c r="AZ69" s="4"/>
      <c r="BA69" s="4"/>
      <c r="BB69" s="4"/>
    </row>
    <row r="70" spans="1:54" x14ac:dyDescent="0.3">
      <c r="A70" s="4">
        <v>4000</v>
      </c>
      <c r="B70" s="4"/>
      <c r="C70" s="4">
        <v>791.22592261116688</v>
      </c>
      <c r="D70" s="4">
        <v>-1.3417401751828608E-13</v>
      </c>
      <c r="E70" s="4">
        <v>-3.3128277144857674E-13</v>
      </c>
      <c r="F70" s="4">
        <v>-3.9430907575078806E-11</v>
      </c>
      <c r="G70" s="4">
        <v>-1.1286724769693517E-10</v>
      </c>
      <c r="H70" s="4">
        <v>-2.0061106964415596E-9</v>
      </c>
      <c r="I70" s="4">
        <v>-2.0525029962424014E-8</v>
      </c>
      <c r="J70" s="4">
        <v>-2.806113817850978E-7</v>
      </c>
      <c r="K70" s="4">
        <v>-5.4201134998970288E-7</v>
      </c>
      <c r="L70" s="4">
        <v>-1.0635097215005993E-5</v>
      </c>
      <c r="M70" s="4">
        <v>-3.4403309401719566E-5</v>
      </c>
      <c r="N70" s="4">
        <v>-2.8062561033364902E-4</v>
      </c>
      <c r="O70" s="4">
        <v>-8.3932452061250137E-4</v>
      </c>
      <c r="P70" s="4">
        <v>-3.723314731357139E-3</v>
      </c>
      <c r="Q70" s="4">
        <v>-8.2201547643531627E-3</v>
      </c>
      <c r="R70" s="4">
        <v>-3.2162777205101287E-2</v>
      </c>
      <c r="S70" s="4">
        <v>-9.4191123499691984E-2</v>
      </c>
      <c r="T70" s="4">
        <v>2.1128411534152347E-2</v>
      </c>
      <c r="U70" s="4">
        <v>-0.19024736157758287</v>
      </c>
      <c r="V70" s="4">
        <v>3.8859471223196995</v>
      </c>
      <c r="W70" s="4">
        <v>6.2537098776494897</v>
      </c>
      <c r="X70" s="4">
        <v>26.138666108236524</v>
      </c>
      <c r="Y70" s="4">
        <v>32.0711809572352</v>
      </c>
      <c r="Z70" s="4">
        <v>225.03764277494275</v>
      </c>
      <c r="AA70" s="4">
        <v>81.836186113107331</v>
      </c>
      <c r="AB70" s="4">
        <v>232.93428019638208</v>
      </c>
      <c r="AC70" s="4">
        <v>79.053279153784757</v>
      </c>
      <c r="AD70" s="4">
        <v>546.1474488319883</v>
      </c>
      <c r="AE70" s="4">
        <v>139.7425673409206</v>
      </c>
      <c r="AF70" s="4">
        <v>209.6595188998551</v>
      </c>
      <c r="AG70" s="4"/>
      <c r="AH70" s="4"/>
      <c r="AI70" s="4"/>
      <c r="AJ70" s="4"/>
      <c r="AK70" s="4"/>
      <c r="AL70" s="4"/>
      <c r="AM70" s="4"/>
      <c r="AN70" s="4"/>
      <c r="AO70" s="4"/>
      <c r="AP70" s="4"/>
      <c r="AQ70" s="4"/>
      <c r="AR70" s="4"/>
      <c r="AS70" s="4"/>
      <c r="AT70" s="4"/>
      <c r="AU70" s="4"/>
      <c r="AV70" s="4"/>
      <c r="AW70" s="4"/>
      <c r="AX70" s="4"/>
      <c r="AY70" s="4"/>
      <c r="AZ70" s="4"/>
      <c r="BA70" s="4"/>
      <c r="BB70" s="4"/>
    </row>
    <row r="71" spans="1:54" x14ac:dyDescent="0.3">
      <c r="A71" s="4">
        <v>3990</v>
      </c>
      <c r="B71" s="4"/>
      <c r="C71" s="4">
        <v>757.44880976286606</v>
      </c>
      <c r="D71" s="4">
        <v>-4.2104685055204083E-14</v>
      </c>
      <c r="E71" s="4">
        <v>-1.0835017040295707E-13</v>
      </c>
      <c r="F71" s="4">
        <v>-1.3444159676026444E-11</v>
      </c>
      <c r="G71" s="4">
        <v>-4.0126327896452169E-11</v>
      </c>
      <c r="H71" s="4">
        <v>-7.4384166902781502E-10</v>
      </c>
      <c r="I71" s="4">
        <v>-7.9391528917396221E-9</v>
      </c>
      <c r="J71" s="4">
        <v>-1.1325624241524452E-7</v>
      </c>
      <c r="K71" s="4">
        <v>-2.283150949814114E-7</v>
      </c>
      <c r="L71" s="4">
        <v>-4.676717295767684E-6</v>
      </c>
      <c r="M71" s="4">
        <v>-1.5797140724187421E-5</v>
      </c>
      <c r="N71" s="4">
        <v>-1.3458311483231908E-4</v>
      </c>
      <c r="O71" s="4">
        <v>-4.2051916953579442E-4</v>
      </c>
      <c r="P71" s="4">
        <v>-1.9493377390345651E-3</v>
      </c>
      <c r="Q71" s="4">
        <v>-4.4983048789693746E-3</v>
      </c>
      <c r="R71" s="4">
        <v>-1.8401166611839812E-2</v>
      </c>
      <c r="S71" s="4">
        <v>-5.6355639936750461E-2</v>
      </c>
      <c r="T71" s="4">
        <v>1.3223421506107332E-2</v>
      </c>
      <c r="U71" s="4">
        <v>-0.1245835092624706</v>
      </c>
      <c r="V71" s="4">
        <v>2.6633021129956029</v>
      </c>
      <c r="W71" s="4">
        <v>4.4870510034264202</v>
      </c>
      <c r="X71" s="4">
        <v>19.639297360824603</v>
      </c>
      <c r="Y71" s="4">
        <v>25.24048455920834</v>
      </c>
      <c r="Z71" s="4">
        <v>185.56691623749848</v>
      </c>
      <c r="AA71" s="4">
        <v>70.725713609162753</v>
      </c>
      <c r="AB71" s="4">
        <v>211.04613178053859</v>
      </c>
      <c r="AC71" s="4">
        <v>75.110892390932264</v>
      </c>
      <c r="AD71" s="4">
        <v>544.32787854149126</v>
      </c>
      <c r="AE71" s="4">
        <v>146.14273405811812</v>
      </c>
      <c r="AF71" s="4">
        <v>230.14035833490905</v>
      </c>
      <c r="AG71" s="4"/>
      <c r="AH71" s="4"/>
      <c r="AI71" s="4"/>
      <c r="AJ71" s="4"/>
      <c r="AK71" s="4"/>
      <c r="AL71" s="4"/>
      <c r="AM71" s="4"/>
      <c r="AN71" s="4"/>
      <c r="AO71" s="4"/>
      <c r="AP71" s="4"/>
      <c r="AQ71" s="4"/>
      <c r="AR71" s="4"/>
      <c r="AS71" s="4"/>
      <c r="AT71" s="4"/>
      <c r="AU71" s="4"/>
      <c r="AV71" s="4"/>
      <c r="AW71" s="4"/>
      <c r="AX71" s="4"/>
      <c r="AY71" s="4"/>
      <c r="AZ71" s="4"/>
      <c r="BA71" s="4"/>
      <c r="BB71" s="4"/>
    </row>
    <row r="72" spans="1:54" x14ac:dyDescent="0.3">
      <c r="A72" s="4">
        <v>3980</v>
      </c>
      <c r="B72" s="4"/>
      <c r="C72" s="4">
        <v>718.08379870471197</v>
      </c>
      <c r="D72" s="4">
        <v>-1.292273644238327E-14</v>
      </c>
      <c r="E72" s="4">
        <v>-3.4663108152875264E-14</v>
      </c>
      <c r="F72" s="4">
        <v>-4.4841800439372795E-12</v>
      </c>
      <c r="G72" s="4">
        <v>-1.3956900234665291E-11</v>
      </c>
      <c r="H72" s="4">
        <v>-2.6986714761739655E-10</v>
      </c>
      <c r="I72" s="4">
        <v>-3.0050695092249226E-9</v>
      </c>
      <c r="J72" s="4">
        <v>-4.4735814145606795E-8</v>
      </c>
      <c r="K72" s="4">
        <v>-9.4133411689098223E-8</v>
      </c>
      <c r="L72" s="4">
        <v>-2.0131241544900018E-6</v>
      </c>
      <c r="M72" s="4">
        <v>-7.1012313881368092E-6</v>
      </c>
      <c r="N72" s="4">
        <v>-6.3194335248660597E-5</v>
      </c>
      <c r="O72" s="4">
        <v>-2.0630684949617838E-4</v>
      </c>
      <c r="P72" s="4">
        <v>-9.9945749311090132E-4</v>
      </c>
      <c r="Q72" s="4">
        <v>-2.4109371269331846E-3</v>
      </c>
      <c r="R72" s="4">
        <v>-1.0312257934003199E-2</v>
      </c>
      <c r="S72" s="4">
        <v>-3.303164181161776E-2</v>
      </c>
      <c r="T72" s="4">
        <v>8.108401775192578E-3</v>
      </c>
      <c r="U72" s="4">
        <v>-7.9940387458746459E-2</v>
      </c>
      <c r="V72" s="4">
        <v>1.7887819030135439</v>
      </c>
      <c r="W72" s="4">
        <v>3.1553506669010245</v>
      </c>
      <c r="X72" s="4">
        <v>14.46378826971384</v>
      </c>
      <c r="Y72" s="4">
        <v>19.473523955815509</v>
      </c>
      <c r="Z72" s="4">
        <v>150.02405639183436</v>
      </c>
      <c r="AA72" s="4">
        <v>59.934298393441907</v>
      </c>
      <c r="AB72" s="4">
        <v>187.51628485350028</v>
      </c>
      <c r="AC72" s="4">
        <v>69.993119572676378</v>
      </c>
      <c r="AD72" s="4">
        <v>532.14839545617463</v>
      </c>
      <c r="AE72" s="4">
        <v>149.933848927231</v>
      </c>
      <c r="AF72" s="4">
        <v>247.85501405687387</v>
      </c>
      <c r="AG72" s="4"/>
      <c r="AH72" s="4"/>
      <c r="AI72" s="4"/>
      <c r="AJ72" s="4"/>
      <c r="AK72" s="4"/>
      <c r="AL72" s="4"/>
      <c r="AM72" s="4"/>
      <c r="AN72" s="4"/>
      <c r="AO72" s="4"/>
      <c r="AP72" s="4"/>
      <c r="AQ72" s="4"/>
      <c r="AR72" s="4"/>
      <c r="AS72" s="4"/>
      <c r="AT72" s="4"/>
      <c r="AU72" s="4"/>
      <c r="AV72" s="4"/>
      <c r="AW72" s="4"/>
      <c r="AX72" s="4"/>
      <c r="AY72" s="4"/>
      <c r="AZ72" s="4"/>
      <c r="BA72" s="4"/>
      <c r="BB72" s="4"/>
    </row>
    <row r="73" spans="1:54" x14ac:dyDescent="0.3">
      <c r="A73" s="4">
        <v>3970</v>
      </c>
      <c r="B73" s="4"/>
      <c r="C73" s="4">
        <v>673.71318702641645</v>
      </c>
      <c r="D73" s="4">
        <v>-3.8785645822538549E-15</v>
      </c>
      <c r="E73" s="4">
        <v>-1.0845340708929986E-14</v>
      </c>
      <c r="F73" s="4">
        <v>-1.4629038371447822E-12</v>
      </c>
      <c r="G73" s="4">
        <v>-4.7487324349089814E-12</v>
      </c>
      <c r="H73" s="4">
        <v>-9.5784396369925661E-11</v>
      </c>
      <c r="I73" s="4">
        <v>-1.1129007302372907E-9</v>
      </c>
      <c r="J73" s="4">
        <v>-1.7290862794209552E-8</v>
      </c>
      <c r="K73" s="4">
        <v>-3.7981134031045217E-8</v>
      </c>
      <c r="L73" s="4">
        <v>-8.4812927033261307E-7</v>
      </c>
      <c r="M73" s="4">
        <v>-3.1246275063212357E-6</v>
      </c>
      <c r="N73" s="4">
        <v>-2.9048436587611461E-5</v>
      </c>
      <c r="O73" s="4">
        <v>-9.9093789143243639E-5</v>
      </c>
      <c r="P73" s="4">
        <v>-5.0175843231309541E-4</v>
      </c>
      <c r="Q73" s="4">
        <v>-1.2653901482629014E-3</v>
      </c>
      <c r="R73" s="4">
        <v>-5.6599484556822954E-3</v>
      </c>
      <c r="S73" s="4">
        <v>-1.8963664004741514E-2</v>
      </c>
      <c r="T73" s="4">
        <v>4.8705196517181268E-3</v>
      </c>
      <c r="U73" s="4">
        <v>-5.0253944416391888E-2</v>
      </c>
      <c r="V73" s="4">
        <v>1.1771788714717266</v>
      </c>
      <c r="W73" s="4">
        <v>2.1743655136778481</v>
      </c>
      <c r="X73" s="4">
        <v>10.439674307600676</v>
      </c>
      <c r="Y73" s="4">
        <v>14.726209990130405</v>
      </c>
      <c r="Z73" s="4">
        <v>118.89728537659434</v>
      </c>
      <c r="AA73" s="4">
        <v>49.793839041425919</v>
      </c>
      <c r="AB73" s="4">
        <v>163.36326829273122</v>
      </c>
      <c r="AC73" s="4">
        <v>63.960766722544577</v>
      </c>
      <c r="AD73" s="4">
        <v>510.22671631128122</v>
      </c>
      <c r="AE73" s="4">
        <v>150.8805005157792</v>
      </c>
      <c r="AF73" s="4">
        <v>261.85847546687086</v>
      </c>
      <c r="AG73" s="4"/>
      <c r="AH73" s="4"/>
      <c r="AI73" s="4"/>
      <c r="AJ73" s="4"/>
      <c r="AK73" s="4"/>
      <c r="AL73" s="4"/>
      <c r="AM73" s="4"/>
      <c r="AN73" s="4"/>
      <c r="AO73" s="4"/>
      <c r="AP73" s="4"/>
      <c r="AQ73" s="4"/>
      <c r="AR73" s="4"/>
      <c r="AS73" s="4"/>
      <c r="AT73" s="4"/>
      <c r="AU73" s="4"/>
      <c r="AV73" s="4"/>
      <c r="AW73" s="4"/>
      <c r="AX73" s="4"/>
      <c r="AY73" s="4"/>
      <c r="AZ73" s="4"/>
      <c r="BA73" s="4"/>
      <c r="BB73" s="4"/>
    </row>
    <row r="74" spans="1:54" x14ac:dyDescent="0.3">
      <c r="A74" s="4">
        <v>3960</v>
      </c>
      <c r="B74" s="4"/>
      <c r="C74" s="4">
        <v>625.10328978867244</v>
      </c>
      <c r="D74" s="4">
        <v>-1.1381770458671804E-15</v>
      </c>
      <c r="E74" s="4">
        <v>-3.3180788286646875E-15</v>
      </c>
      <c r="F74" s="4">
        <v>-4.6672612529882127E-13</v>
      </c>
      <c r="G74" s="4">
        <v>-1.5802509644235736E-12</v>
      </c>
      <c r="H74" s="4">
        <v>-3.3254119081232989E-11</v>
      </c>
      <c r="I74" s="4">
        <v>-4.0319098778493036E-10</v>
      </c>
      <c r="J74" s="4">
        <v>-6.5384871600348665E-9</v>
      </c>
      <c r="K74" s="4">
        <v>-1.4994721934958028E-8</v>
      </c>
      <c r="L74" s="4">
        <v>-3.4966103328269286E-7</v>
      </c>
      <c r="M74" s="4">
        <v>-1.3455632941047201E-6</v>
      </c>
      <c r="N74" s="4">
        <v>-1.3069426718293153E-5</v>
      </c>
      <c r="O74" s="4">
        <v>-4.6592554994123531E-5</v>
      </c>
      <c r="P74" s="4">
        <v>-2.4661003896736777E-4</v>
      </c>
      <c r="Q74" s="4">
        <v>-6.5027555773705941E-4</v>
      </c>
      <c r="R74" s="4">
        <v>-3.0419675809316492E-3</v>
      </c>
      <c r="S74" s="4">
        <v>-1.0662204408106953E-2</v>
      </c>
      <c r="T74" s="4">
        <v>2.8654811394077939E-3</v>
      </c>
      <c r="U74" s="4">
        <v>-3.094611402870466E-2</v>
      </c>
      <c r="V74" s="4">
        <v>0.75894399070807483</v>
      </c>
      <c r="W74" s="4">
        <v>1.4680813261096586</v>
      </c>
      <c r="X74" s="4">
        <v>7.3837202010795124</v>
      </c>
      <c r="Y74" s="4">
        <v>10.913696355391343</v>
      </c>
      <c r="Z74" s="4">
        <v>92.356777845272731</v>
      </c>
      <c r="AA74" s="4">
        <v>40.552092617775209</v>
      </c>
      <c r="AB74" s="4">
        <v>139.5273364100079</v>
      </c>
      <c r="AC74" s="4">
        <v>57.30780226491364</v>
      </c>
      <c r="AD74" s="4">
        <v>479.72025537276937</v>
      </c>
      <c r="AE74" s="4">
        <v>148.90659609227035</v>
      </c>
      <c r="AF74" s="4">
        <v>271.35402017069981</v>
      </c>
      <c r="AG74" s="4"/>
      <c r="AH74" s="4"/>
      <c r="AI74" s="4"/>
      <c r="AJ74" s="4"/>
      <c r="AK74" s="4"/>
      <c r="AL74" s="4"/>
      <c r="AM74" s="4"/>
      <c r="AN74" s="4"/>
      <c r="AO74" s="4"/>
      <c r="AP74" s="4"/>
      <c r="AQ74" s="4"/>
      <c r="AR74" s="4"/>
      <c r="AS74" s="4"/>
      <c r="AT74" s="4"/>
      <c r="AU74" s="4"/>
      <c r="AV74" s="4"/>
      <c r="AW74" s="4"/>
      <c r="AX74" s="4"/>
      <c r="AY74" s="4"/>
      <c r="AZ74" s="4"/>
      <c r="BA74" s="4"/>
      <c r="BB74" s="4"/>
    </row>
    <row r="75" spans="1:54" x14ac:dyDescent="0.3">
      <c r="A75" s="4">
        <v>3950</v>
      </c>
      <c r="B75" s="4"/>
      <c r="C75" s="4">
        <v>573.19356120521945</v>
      </c>
      <c r="D75" s="4">
        <v>-3.2651265009788578E-16</v>
      </c>
      <c r="E75" s="4">
        <v>-9.9249281030979196E-16</v>
      </c>
      <c r="F75" s="4">
        <v>-1.4559673607826915E-13</v>
      </c>
      <c r="G75" s="4">
        <v>-5.1423768387814588E-13</v>
      </c>
      <c r="H75" s="4">
        <v>-1.1290992761495306E-11</v>
      </c>
      <c r="I75" s="4">
        <v>-1.4287228508816454E-10</v>
      </c>
      <c r="J75" s="4">
        <v>-2.4186204284400591E-9</v>
      </c>
      <c r="K75" s="4">
        <v>-5.791433090910905E-9</v>
      </c>
      <c r="L75" s="4">
        <v>-1.4104481689903884E-7</v>
      </c>
      <c r="M75" s="4">
        <v>-5.6699935003779419E-7</v>
      </c>
      <c r="N75" s="4">
        <v>-5.7545447742919432E-6</v>
      </c>
      <c r="O75" s="4">
        <v>-2.1441524654699114E-5</v>
      </c>
      <c r="P75" s="4">
        <v>-1.1864365910147549E-4</v>
      </c>
      <c r="Q75" s="4">
        <v>-3.271425713979371E-4</v>
      </c>
      <c r="R75" s="4">
        <v>-1.6007096554965293E-3</v>
      </c>
      <c r="S75" s="4">
        <v>-5.8699871200347808E-3</v>
      </c>
      <c r="T75" s="4">
        <v>1.6509541201831339E-3</v>
      </c>
      <c r="U75" s="4">
        <v>-1.8664114138657317E-2</v>
      </c>
      <c r="V75" s="4">
        <v>0.47928372689023474</v>
      </c>
      <c r="W75" s="4">
        <v>0.97103316418423502</v>
      </c>
      <c r="X75" s="4">
        <v>5.1165933042497205</v>
      </c>
      <c r="Y75" s="4">
        <v>7.9254045254933674</v>
      </c>
      <c r="Z75" s="4">
        <v>70.30495292031523</v>
      </c>
      <c r="AA75" s="4">
        <v>32.368545215670729</v>
      </c>
      <c r="AB75" s="4">
        <v>116.81233395188271</v>
      </c>
      <c r="AC75" s="4">
        <v>50.337417812330081</v>
      </c>
      <c r="AD75" s="4">
        <v>442.2246140435953</v>
      </c>
      <c r="AE75" s="4">
        <v>144.10464813654997</v>
      </c>
      <c r="AF75" s="4">
        <v>275.76725316478024</v>
      </c>
      <c r="AG75" s="4"/>
      <c r="AH75" s="4"/>
      <c r="AI75" s="4"/>
      <c r="AJ75" s="4"/>
      <c r="AK75" s="4"/>
      <c r="AL75" s="4"/>
      <c r="AM75" s="4"/>
      <c r="AN75" s="4"/>
      <c r="AO75" s="4"/>
      <c r="AP75" s="4"/>
      <c r="AQ75" s="4"/>
      <c r="AR75" s="4"/>
      <c r="AS75" s="4"/>
      <c r="AT75" s="4"/>
      <c r="AU75" s="4"/>
      <c r="AV75" s="4"/>
      <c r="AW75" s="4"/>
      <c r="AX75" s="4"/>
      <c r="AY75" s="4"/>
      <c r="AZ75" s="4"/>
      <c r="BA75" s="4"/>
      <c r="BB75" s="4"/>
    </row>
    <row r="76" spans="1:54" x14ac:dyDescent="0.3">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row>
    <row r="77" spans="1:54" x14ac:dyDescent="0.3">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row>
    <row r="78" spans="1:54"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row>
    <row r="79" spans="1:54"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row>
    <row r="80" spans="1:54"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row>
    <row r="81" spans="1:54"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row>
    <row r="82" spans="1:54"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row>
    <row r="83" spans="1:54"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row>
    <row r="84" spans="1:54"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row>
    <row r="85" spans="1:54"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row>
    <row r="86" spans="1:54"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row>
    <row r="87" spans="1:54"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row>
    <row r="88" spans="1:54"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row>
    <row r="89" spans="1:54"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row>
    <row r="90" spans="1:54"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row>
    <row r="91" spans="1:54" x14ac:dyDescent="0.3">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row>
    <row r="92" spans="1:54" x14ac:dyDescent="0.3">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row>
    <row r="93" spans="1:54" x14ac:dyDescent="0.3">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row>
    <row r="94" spans="1:54" x14ac:dyDescent="0.3">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row>
    <row r="95" spans="1:54" x14ac:dyDescent="0.3">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row>
    <row r="96" spans="1:54" x14ac:dyDescent="0.3">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row>
    <row r="97" spans="1:54" x14ac:dyDescent="0.3">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row>
    <row r="98" spans="1:54" x14ac:dyDescent="0.3">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row>
    <row r="99" spans="1:54" x14ac:dyDescent="0.3">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row>
    <row r="100" spans="1:54" x14ac:dyDescent="0.3">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row>
    <row r="101" spans="1:54" x14ac:dyDescent="0.3">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row>
    <row r="102" spans="1:54" x14ac:dyDescent="0.3">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row>
    <row r="103" spans="1:54" x14ac:dyDescent="0.3">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row>
    <row r="104" spans="1:54" x14ac:dyDescent="0.3">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row>
    <row r="105" spans="1:54"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row>
    <row r="106" spans="1:54"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row>
    <row r="107" spans="1:54"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row>
    <row r="108" spans="1:54" x14ac:dyDescent="0.3">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row>
    <row r="109" spans="1:54"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row>
    <row r="110" spans="1:54"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row>
    <row r="111" spans="1:54"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row>
    <row r="112" spans="1:54"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row>
    <row r="113" spans="1:54"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row>
    <row r="114" spans="1:54"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row>
    <row r="115" spans="1:54" x14ac:dyDescent="0.3">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row>
    <row r="116" spans="1:54"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row>
    <row r="117" spans="1:54"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row>
    <row r="118" spans="1:54"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row>
    <row r="119" spans="1:54"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row>
    <row r="120" spans="1:54"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row>
    <row r="121" spans="1:54"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row>
    <row r="122" spans="1:54"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row>
    <row r="123" spans="1:54"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row>
    <row r="124" spans="1:54"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row>
    <row r="125" spans="1:54"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row>
    <row r="126" spans="1:54"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row>
    <row r="127" spans="1:54"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row>
    <row r="128" spans="1:54"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row>
    <row r="129" spans="1:5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row>
    <row r="130" spans="1:5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row>
    <row r="131" spans="1:5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row>
    <row r="132" spans="1:5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row>
    <row r="133" spans="1:5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row>
    <row r="134" spans="1:5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row>
    <row r="135" spans="1:5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row>
    <row r="136" spans="1:5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row>
    <row r="137" spans="1:5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row>
    <row r="138" spans="1:5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row>
    <row r="139" spans="1:5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row>
    <row r="140" spans="1:5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row>
    <row r="141" spans="1:5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row>
    <row r="142" spans="1:5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row>
    <row r="143" spans="1:5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row>
    <row r="144" spans="1:5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row>
    <row r="145" spans="1:5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row>
    <row r="146" spans="1:5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row>
    <row r="147" spans="1:5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row>
    <row r="148" spans="1:5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row>
    <row r="149" spans="1:5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row>
    <row r="150" spans="1:5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row>
    <row r="151" spans="1:5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row>
    <row r="152" spans="1:5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row>
    <row r="153" spans="1:5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row>
    <row r="154" spans="1:5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row>
    <row r="155" spans="1:5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row>
    <row r="156" spans="1:5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row>
    <row r="157" spans="1:5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row>
    <row r="158" spans="1:5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row>
    <row r="159" spans="1:5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row>
    <row r="160" spans="1:5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row>
    <row r="161" spans="1:5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row>
    <row r="162" spans="1:5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row>
    <row r="163" spans="1:5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row>
    <row r="164" spans="1:5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row>
    <row r="165" spans="1:5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row>
    <row r="166" spans="1:5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row>
    <row r="167" spans="1:5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row>
    <row r="168" spans="1:5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row>
    <row r="169" spans="1:5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row>
    <row r="170" spans="1:5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row>
    <row r="171" spans="1:5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row>
    <row r="172" spans="1:5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row>
    <row r="173" spans="1:5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row>
    <row r="174" spans="1:5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row>
    <row r="175" spans="1:5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row>
    <row r="176" spans="1:5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row>
    <row r="177" spans="1:5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row>
    <row r="178" spans="1:5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row>
    <row r="179" spans="1:5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row>
    <row r="180" spans="1:5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row>
    <row r="181" spans="1:5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row>
    <row r="182" spans="1:5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row>
    <row r="183" spans="1:5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row>
    <row r="184" spans="1:5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row>
    <row r="185" spans="1:5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row>
    <row r="186" spans="1:5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row>
    <row r="187" spans="1:5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row>
    <row r="188" spans="1:5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row>
    <row r="189" spans="1:5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row>
    <row r="190" spans="1:5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row>
    <row r="191" spans="1:5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row>
    <row r="192" spans="1:5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row>
    <row r="193" spans="1:5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row>
    <row r="194" spans="1:5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row>
    <row r="195" spans="1:5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row>
    <row r="196" spans="1:5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row>
    <row r="197" spans="1:5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row>
    <row r="198" spans="1:5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row>
    <row r="199" spans="1:5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row>
    <row r="200" spans="1:5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row>
    <row r="201" spans="1:54" x14ac:dyDescent="0.3">
      <c r="B201" s="4"/>
      <c r="AQ201" s="4"/>
      <c r="AR201" s="4"/>
    </row>
    <row r="202" spans="1:54" x14ac:dyDescent="0.3">
      <c r="B202" s="4"/>
      <c r="AQ202" s="4"/>
      <c r="AR202" s="4"/>
    </row>
    <row r="203" spans="1:54" x14ac:dyDescent="0.3">
      <c r="B203" s="4"/>
      <c r="AQ203" s="4"/>
      <c r="AR203" s="4"/>
    </row>
    <row r="204" spans="1:54" x14ac:dyDescent="0.3">
      <c r="B204" s="4"/>
      <c r="AQ204" s="4"/>
      <c r="AR204" s="4"/>
    </row>
    <row r="205" spans="1:54" x14ac:dyDescent="0.3">
      <c r="B205" s="4"/>
      <c r="AQ205" s="4"/>
      <c r="AR205" s="4"/>
    </row>
    <row r="206" spans="1:54" x14ac:dyDescent="0.3">
      <c r="AR206" s="4"/>
    </row>
  </sheetData>
  <pageMargins left="0.7" right="0.7" top="0.78740157499999996" bottom="0.78740157499999996"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196E0-DC91-46A9-A4F9-6B2A9A13EED3}">
  <sheetPr codeName="Tabelle27"/>
  <dimension ref="A4:BB206"/>
  <sheetViews>
    <sheetView tabSelected="1" topLeftCell="A3" zoomScaleNormal="100" workbookViewId="0">
      <pane xSplit="1" topLeftCell="B1" activePane="topRight" state="frozen"/>
      <selection pane="topRight" activeCell="C15" sqref="C15"/>
    </sheetView>
  </sheetViews>
  <sheetFormatPr baseColWidth="10" defaultColWidth="11.44140625" defaultRowHeight="14.4" x14ac:dyDescent="0.3"/>
  <cols>
    <col min="1" max="16384" width="11.44140625" style="5"/>
  </cols>
  <sheetData>
    <row r="4" spans="1:54" x14ac:dyDescent="0.3">
      <c r="A4" s="4"/>
      <c r="B4" s="4"/>
      <c r="C4" s="4"/>
      <c r="D4" s="4">
        <v>4650</v>
      </c>
      <c r="E4" s="4">
        <v>4625</v>
      </c>
      <c r="F4" s="4">
        <v>4600</v>
      </c>
      <c r="G4" s="4">
        <v>4575</v>
      </c>
      <c r="H4" s="4">
        <v>4550</v>
      </c>
      <c r="I4" s="4">
        <v>4525</v>
      </c>
      <c r="J4" s="4">
        <v>4500</v>
      </c>
      <c r="K4" s="4">
        <v>4475</v>
      </c>
      <c r="L4" s="4">
        <v>4450</v>
      </c>
      <c r="M4" s="4">
        <v>4425</v>
      </c>
      <c r="N4" s="4">
        <v>4400</v>
      </c>
      <c r="O4" s="4">
        <v>4375</v>
      </c>
      <c r="P4" s="4">
        <v>4350</v>
      </c>
      <c r="Q4" s="4">
        <v>4325</v>
      </c>
      <c r="R4" s="4">
        <v>4300</v>
      </c>
      <c r="S4" s="4">
        <v>4275</v>
      </c>
      <c r="T4" s="4">
        <v>4250</v>
      </c>
      <c r="U4" s="4">
        <v>4225</v>
      </c>
      <c r="V4" s="4">
        <v>4200</v>
      </c>
      <c r="W4" s="4">
        <v>4175</v>
      </c>
      <c r="X4" s="4">
        <v>4150</v>
      </c>
      <c r="Y4" s="4">
        <v>4125</v>
      </c>
      <c r="Z4" s="4">
        <v>4100</v>
      </c>
      <c r="AA4" s="4">
        <v>4075</v>
      </c>
      <c r="AB4" s="4">
        <v>4050</v>
      </c>
      <c r="AC4" s="4">
        <v>4025</v>
      </c>
      <c r="AD4" s="4">
        <v>4000</v>
      </c>
      <c r="AE4" s="4">
        <v>3975</v>
      </c>
      <c r="AF4" s="4">
        <v>3950</v>
      </c>
      <c r="AG4" s="4"/>
      <c r="AH4" s="4"/>
      <c r="AI4" s="4"/>
      <c r="AJ4" s="4"/>
      <c r="AK4" s="4"/>
      <c r="AL4" s="4"/>
      <c r="AM4" s="4"/>
      <c r="AN4" s="4"/>
      <c r="AO4" s="4"/>
      <c r="AP4" s="4"/>
      <c r="AQ4" s="4"/>
      <c r="AR4" s="4"/>
      <c r="AS4" s="4"/>
      <c r="AT4" s="4"/>
      <c r="AU4" s="4"/>
      <c r="AV4" s="4"/>
      <c r="AW4" s="4"/>
      <c r="AX4" s="4"/>
      <c r="AY4" s="4"/>
      <c r="AZ4" s="4"/>
      <c r="BA4" s="4"/>
      <c r="BB4" s="4"/>
    </row>
    <row r="5" spans="1:54" x14ac:dyDescent="0.3">
      <c r="A5" s="4">
        <v>4650</v>
      </c>
      <c r="B5" s="4"/>
      <c r="C5" s="4">
        <v>-76.729997398522542</v>
      </c>
      <c r="D5" s="4">
        <v>-13.588484354215078</v>
      </c>
      <c r="E5" s="4">
        <v>-7.1373178958717647</v>
      </c>
      <c r="F5" s="4">
        <v>-69.80403978054099</v>
      </c>
      <c r="G5" s="4">
        <v>-8.4918287591304509</v>
      </c>
      <c r="H5" s="4">
        <v>-15.889089649766538</v>
      </c>
      <c r="I5" s="4">
        <v>-6.4422104242981044</v>
      </c>
      <c r="J5" s="4">
        <v>-23.677008424152749</v>
      </c>
      <c r="K5" s="4">
        <v>-3.6364933691367387</v>
      </c>
      <c r="L5" s="4">
        <v>-1.833561707990232</v>
      </c>
      <c r="M5" s="4">
        <v>-1.0006311352568067</v>
      </c>
      <c r="N5" s="4">
        <v>-0.98988681086309982</v>
      </c>
      <c r="O5" s="4">
        <v>-0.76357860835853231</v>
      </c>
      <c r="P5" s="4">
        <v>-0.19839646431099597</v>
      </c>
      <c r="Q5" s="4">
        <v>-1.60360187440658E-3</v>
      </c>
      <c r="R5" s="4">
        <v>-5.7456745466966525E-3</v>
      </c>
      <c r="S5" s="4">
        <v>-1.604507535065849E-4</v>
      </c>
      <c r="T5" s="4">
        <v>3.9633416914184516E-5</v>
      </c>
      <c r="U5" s="4">
        <v>2.6712988131099588E-6</v>
      </c>
      <c r="V5" s="4">
        <v>-2.8163608974204824E-8</v>
      </c>
      <c r="W5" s="4">
        <v>2.0146005576820578E-8</v>
      </c>
      <c r="X5" s="4">
        <v>1.6257108619697476E-8</v>
      </c>
      <c r="Y5" s="4">
        <v>3.8050547741328084E-10</v>
      </c>
      <c r="Z5" s="4">
        <v>6.748458505460874E-10</v>
      </c>
      <c r="AA5" s="4">
        <v>1.0046152691752126E-11</v>
      </c>
      <c r="AB5" s="4">
        <v>1.0079736804635555E-12</v>
      </c>
      <c r="AC5" s="4">
        <v>1.1981963471036965E-14</v>
      </c>
      <c r="AD5" s="4">
        <v>7.8462111526571391E-15</v>
      </c>
      <c r="AE5" s="4">
        <v>4.7342857829677131E-17</v>
      </c>
      <c r="AF5" s="4">
        <v>4.0506899331568055E-18</v>
      </c>
      <c r="AG5" s="4"/>
      <c r="AH5" s="4"/>
      <c r="AI5" s="4"/>
      <c r="AJ5" s="4"/>
      <c r="AK5" s="4"/>
      <c r="AL5" s="4"/>
      <c r="AM5" s="4"/>
      <c r="AN5" s="4"/>
      <c r="AO5" s="4"/>
      <c r="AP5" s="4"/>
      <c r="AQ5" s="4"/>
      <c r="AR5" s="4"/>
      <c r="AS5" s="4"/>
      <c r="AT5" s="4"/>
      <c r="AU5" s="4"/>
      <c r="AV5" s="4"/>
      <c r="AW5" s="4"/>
      <c r="AX5" s="4"/>
      <c r="AY5" s="4"/>
      <c r="AZ5" s="4"/>
      <c r="BA5" s="4"/>
      <c r="BB5" s="4"/>
    </row>
    <row r="6" spans="1:54" x14ac:dyDescent="0.3">
      <c r="A6" s="4">
        <v>4640</v>
      </c>
      <c r="B6" s="4"/>
      <c r="C6" s="4">
        <v>-88.629205814088678</v>
      </c>
      <c r="D6" s="4">
        <v>-13.867037879077788</v>
      </c>
      <c r="E6" s="4">
        <v>-7.5661255446564342</v>
      </c>
      <c r="F6" s="4">
        <v>-76.88373101901476</v>
      </c>
      <c r="G6" s="4">
        <v>-9.7198834949923683</v>
      </c>
      <c r="H6" s="4">
        <v>-18.904113886845412</v>
      </c>
      <c r="I6" s="4">
        <v>-7.9686039514915716</v>
      </c>
      <c r="J6" s="4">
        <v>-30.454941213315021</v>
      </c>
      <c r="K6" s="4">
        <v>-4.865102047047051</v>
      </c>
      <c r="L6" s="4">
        <v>-2.551987711685253</v>
      </c>
      <c r="M6" s="4">
        <v>-1.449197944168988</v>
      </c>
      <c r="N6" s="4">
        <v>-1.4921336864665817</v>
      </c>
      <c r="O6" s="4">
        <v>-1.198238906661822</v>
      </c>
      <c r="P6" s="4">
        <v>-0.32418368841188139</v>
      </c>
      <c r="Q6" s="4">
        <v>-2.7291198476894754E-3</v>
      </c>
      <c r="R6" s="4">
        <v>-1.0186812801708323E-2</v>
      </c>
      <c r="S6" s="4">
        <v>-2.9642439154706505E-4</v>
      </c>
      <c r="T6" s="4">
        <v>7.6315614175373974E-5</v>
      </c>
      <c r="U6" s="4">
        <v>5.3624116085638811E-6</v>
      </c>
      <c r="V6" s="4">
        <v>-5.8954790902795403E-8</v>
      </c>
      <c r="W6" s="4">
        <v>4.3986710578098248E-8</v>
      </c>
      <c r="X6" s="4">
        <v>3.7032881262765386E-8</v>
      </c>
      <c r="Y6" s="4">
        <v>9.0454050029674858E-10</v>
      </c>
      <c r="Z6" s="4">
        <v>1.6745849997978219E-9</v>
      </c>
      <c r="AA6" s="4">
        <v>2.6028664146312121E-11</v>
      </c>
      <c r="AB6" s="4">
        <v>2.7275088566155172E-12</v>
      </c>
      <c r="AC6" s="4">
        <v>3.387089338923915E-14</v>
      </c>
      <c r="AD6" s="4">
        <v>2.3177073722584597E-14</v>
      </c>
      <c r="AE6" s="4">
        <v>1.4617489176315155E-16</v>
      </c>
      <c r="AF6" s="4">
        <v>1.3076402252619533E-17</v>
      </c>
      <c r="AG6" s="4"/>
      <c r="AH6" s="4"/>
      <c r="AI6" s="4"/>
      <c r="AJ6" s="4"/>
      <c r="AK6" s="4"/>
      <c r="AL6" s="4"/>
      <c r="AM6" s="4"/>
      <c r="AN6" s="4"/>
      <c r="AO6" s="4"/>
      <c r="AP6" s="4"/>
      <c r="AQ6" s="4"/>
      <c r="AR6" s="4"/>
      <c r="AS6" s="4"/>
      <c r="AT6" s="4"/>
      <c r="AU6" s="4"/>
      <c r="AV6" s="4"/>
      <c r="AW6" s="4"/>
      <c r="AX6" s="4"/>
      <c r="AY6" s="4"/>
      <c r="AZ6" s="4"/>
      <c r="BA6" s="4"/>
      <c r="BB6" s="4"/>
    </row>
    <row r="7" spans="1:54" x14ac:dyDescent="0.3">
      <c r="A7" s="4">
        <v>4630</v>
      </c>
      <c r="B7" s="4"/>
      <c r="C7" s="4">
        <v>-101.64424291510271</v>
      </c>
      <c r="D7" s="4">
        <v>-13.93780499428351</v>
      </c>
      <c r="E7" s="4">
        <v>-7.9003384928894649</v>
      </c>
      <c r="F7" s="4">
        <v>-83.417629638998619</v>
      </c>
      <c r="G7" s="4">
        <v>-10.960400780912567</v>
      </c>
      <c r="H7" s="4">
        <v>-22.159268469675677</v>
      </c>
      <c r="I7" s="4">
        <v>-9.7119805383148847</v>
      </c>
      <c r="J7" s="4">
        <v>-38.601445623274635</v>
      </c>
      <c r="K7" s="4">
        <v>-6.4143524795732079</v>
      </c>
      <c r="L7" s="4">
        <v>-3.5006637137634722</v>
      </c>
      <c r="M7" s="4">
        <v>-2.0687472492914645</v>
      </c>
      <c r="N7" s="4">
        <v>-2.217141607833486</v>
      </c>
      <c r="O7" s="4">
        <v>-1.8536778759844152</v>
      </c>
      <c r="P7" s="4">
        <v>-0.5222608580184479</v>
      </c>
      <c r="Q7" s="4">
        <v>-4.5795823065706634E-3</v>
      </c>
      <c r="R7" s="4">
        <v>-1.7809477491794526E-2</v>
      </c>
      <c r="S7" s="4">
        <v>-5.400577813563114E-4</v>
      </c>
      <c r="T7" s="4">
        <v>1.4492996842022581E-4</v>
      </c>
      <c r="U7" s="4">
        <v>1.0617682827618682E-5</v>
      </c>
      <c r="V7" s="4">
        <v>-1.2173657487835942E-7</v>
      </c>
      <c r="W7" s="4">
        <v>9.4746829293173333E-8</v>
      </c>
      <c r="X7" s="4">
        <v>8.3230419722700617E-8</v>
      </c>
      <c r="Y7" s="4">
        <v>2.1217073013464901E-9</v>
      </c>
      <c r="Z7" s="4">
        <v>4.100533530204859E-9</v>
      </c>
      <c r="AA7" s="4">
        <v>6.6554127225490033E-11</v>
      </c>
      <c r="AB7" s="4">
        <v>7.2844179466335565E-12</v>
      </c>
      <c r="AC7" s="4">
        <v>9.45100459791293E-14</v>
      </c>
      <c r="AD7" s="4">
        <v>6.7585119028961792E-14</v>
      </c>
      <c r="AE7" s="4">
        <v>4.455807580664111E-16</v>
      </c>
      <c r="AF7" s="4">
        <v>4.1679702220055776E-17</v>
      </c>
      <c r="AG7" s="4"/>
      <c r="AH7" s="4"/>
      <c r="AI7" s="4"/>
      <c r="AJ7" s="4"/>
      <c r="AK7" s="4"/>
      <c r="AL7" s="4"/>
      <c r="AM7" s="4"/>
      <c r="AN7" s="4"/>
      <c r="AO7" s="4"/>
      <c r="AP7" s="4"/>
      <c r="AQ7" s="4"/>
      <c r="AR7" s="4"/>
      <c r="AS7" s="4"/>
      <c r="AT7" s="4"/>
      <c r="AU7" s="4"/>
      <c r="AV7" s="4"/>
      <c r="AW7" s="4"/>
      <c r="AX7" s="4"/>
      <c r="AY7" s="4"/>
      <c r="AZ7" s="4"/>
      <c r="BA7" s="4"/>
      <c r="BB7" s="4"/>
    </row>
    <row r="8" spans="1:54" x14ac:dyDescent="0.3">
      <c r="A8" s="4">
        <v>4620</v>
      </c>
      <c r="B8" s="4"/>
      <c r="C8" s="4">
        <v>-115.81032025882891</v>
      </c>
      <c r="D8" s="4">
        <v>-13.796222328811636</v>
      </c>
      <c r="E8" s="4">
        <v>-8.1247270952551371</v>
      </c>
      <c r="F8" s="4">
        <v>-89.14729482415116</v>
      </c>
      <c r="G8" s="4">
        <v>-12.17460667114938</v>
      </c>
      <c r="H8" s="4">
        <v>-25.589042718924919</v>
      </c>
      <c r="I8" s="4">
        <v>-11.661904703343485</v>
      </c>
      <c r="J8" s="4">
        <v>-48.208353326846655</v>
      </c>
      <c r="K8" s="4">
        <v>-8.3334266784430753</v>
      </c>
      <c r="L8" s="4">
        <v>-4.7322681947679435</v>
      </c>
      <c r="M8" s="4">
        <v>-2.9105276091259205</v>
      </c>
      <c r="N8" s="4">
        <v>-3.2471423591764483</v>
      </c>
      <c r="O8" s="4">
        <v>-2.8267354475835229</v>
      </c>
      <c r="P8" s="4">
        <v>-0.82943414805769045</v>
      </c>
      <c r="Q8" s="4">
        <v>-7.5764459575328805E-3</v>
      </c>
      <c r="R8" s="4">
        <v>-3.0700039757115067E-2</v>
      </c>
      <c r="S8" s="4">
        <v>-9.7024219525709105E-4</v>
      </c>
      <c r="T8" s="4">
        <v>2.7142858929685891E-4</v>
      </c>
      <c r="U8" s="4">
        <v>2.0734383941441501E-5</v>
      </c>
      <c r="V8" s="4">
        <v>-2.4794437600662589E-7</v>
      </c>
      <c r="W8" s="4">
        <v>2.0131621183550845E-7</v>
      </c>
      <c r="X8" s="4">
        <v>1.8453868718118737E-7</v>
      </c>
      <c r="Y8" s="4">
        <v>4.9101393857910045E-9</v>
      </c>
      <c r="Z8" s="4">
        <v>9.9075167249861814E-9</v>
      </c>
      <c r="AA8" s="4">
        <v>1.6793066519594815E-10</v>
      </c>
      <c r="AB8" s="4">
        <v>1.9199783059166956E-11</v>
      </c>
      <c r="AC8" s="4">
        <v>2.6028144359697457E-13</v>
      </c>
      <c r="AD8" s="4">
        <v>1.9453549747108955E-13</v>
      </c>
      <c r="AE8" s="4">
        <v>1.34084018411597E-15</v>
      </c>
      <c r="AF8" s="4">
        <v>1.3115951246191809E-16</v>
      </c>
      <c r="AG8" s="4"/>
      <c r="AH8" s="4"/>
      <c r="AI8" s="4"/>
      <c r="AJ8" s="4"/>
      <c r="AK8" s="4"/>
      <c r="AL8" s="4"/>
      <c r="AM8" s="4"/>
      <c r="AN8" s="4"/>
      <c r="AO8" s="4"/>
      <c r="AP8" s="4"/>
      <c r="AQ8" s="4"/>
      <c r="AR8" s="4"/>
      <c r="AS8" s="4"/>
      <c r="AT8" s="4"/>
      <c r="AU8" s="4"/>
      <c r="AV8" s="4"/>
      <c r="AW8" s="4"/>
      <c r="AX8" s="4"/>
      <c r="AY8" s="4"/>
      <c r="AZ8" s="4"/>
      <c r="BA8" s="4"/>
      <c r="BB8" s="4"/>
    </row>
    <row r="9" spans="1:54" x14ac:dyDescent="0.3">
      <c r="A9" s="4">
        <v>4610</v>
      </c>
      <c r="B9" s="4"/>
      <c r="C9" s="4">
        <v>-131.17560854379329</v>
      </c>
      <c r="D9" s="4">
        <v>-13.447386337241078</v>
      </c>
      <c r="E9" s="4">
        <v>-8.2284820506626613</v>
      </c>
      <c r="F9" s="4">
        <v>-93.830172072575138</v>
      </c>
      <c r="G9" s="4">
        <v>-13.31998755001054</v>
      </c>
      <c r="H9" s="4">
        <v>-29.107813916702884</v>
      </c>
      <c r="I9" s="4">
        <v>-13.795100215071781</v>
      </c>
      <c r="J9" s="4">
        <v>-59.31597483609049</v>
      </c>
      <c r="K9" s="4">
        <v>-10.667489611556455</v>
      </c>
      <c r="L9" s="4">
        <v>-6.3036703466181754</v>
      </c>
      <c r="M9" s="4">
        <v>-4.0353274779008323</v>
      </c>
      <c r="N9" s="4">
        <v>-4.6869443322591477</v>
      </c>
      <c r="O9" s="4">
        <v>-4.2486860999121099</v>
      </c>
      <c r="P9" s="4">
        <v>-1.2984737017274102</v>
      </c>
      <c r="Q9" s="4">
        <v>-1.2356641740148971E-2</v>
      </c>
      <c r="R9" s="4">
        <v>-5.2174781190552112E-2</v>
      </c>
      <c r="S9" s="4">
        <v>-1.7186717010802038E-3</v>
      </c>
      <c r="T9" s="4">
        <v>5.0126219036452063E-4</v>
      </c>
      <c r="U9" s="4">
        <v>3.9930417317340338E-5</v>
      </c>
      <c r="V9" s="4">
        <v>-4.9805621305610506E-7</v>
      </c>
      <c r="W9" s="4">
        <v>4.2191363396417575E-7</v>
      </c>
      <c r="X9" s="4">
        <v>4.0361154640867486E-7</v>
      </c>
      <c r="Y9" s="4">
        <v>1.1210198269121628E-8</v>
      </c>
      <c r="Z9" s="4">
        <v>2.3617881483362162E-8</v>
      </c>
      <c r="AA9" s="4">
        <v>4.1809743686972481E-10</v>
      </c>
      <c r="AB9" s="4">
        <v>4.9938020434609035E-11</v>
      </c>
      <c r="AC9" s="4">
        <v>7.0742968996778195E-13</v>
      </c>
      <c r="AD9" s="4">
        <v>5.5266637973273461E-13</v>
      </c>
      <c r="AE9" s="4">
        <v>3.982775633689181E-15</v>
      </c>
      <c r="AF9" s="4">
        <v>4.0745092258128322E-16</v>
      </c>
      <c r="AG9" s="4"/>
      <c r="AH9" s="4"/>
      <c r="AI9" s="4"/>
      <c r="AJ9" s="4"/>
      <c r="AK9" s="4"/>
      <c r="AL9" s="4"/>
      <c r="AM9" s="4"/>
      <c r="AN9" s="4"/>
      <c r="AO9" s="4"/>
      <c r="AP9" s="4"/>
      <c r="AQ9" s="4"/>
      <c r="AR9" s="4"/>
      <c r="AS9" s="4"/>
      <c r="AT9" s="4"/>
      <c r="AU9" s="4"/>
      <c r="AV9" s="4"/>
      <c r="AW9" s="4"/>
      <c r="AX9" s="4"/>
      <c r="AY9" s="4"/>
      <c r="AZ9" s="4"/>
      <c r="BA9" s="4"/>
      <c r="BB9" s="4"/>
    </row>
    <row r="10" spans="1:54" x14ac:dyDescent="0.3">
      <c r="A10" s="4">
        <v>4600</v>
      </c>
      <c r="B10" s="4"/>
      <c r="C10" s="4">
        <v>-147.80829597832025</v>
      </c>
      <c r="D10" s="4">
        <v>-12.905769708296891</v>
      </c>
      <c r="E10" s="4">
        <v>-8.2060681900456718</v>
      </c>
      <c r="F10" s="4">
        <v>-97.256273217726275</v>
      </c>
      <c r="G10" s="4">
        <v>-14.352580107126215</v>
      </c>
      <c r="H10" s="4">
        <v>-32.612127762984493</v>
      </c>
      <c r="I10" s="4">
        <v>-16.074265674832635</v>
      </c>
      <c r="J10" s="4">
        <v>-71.896720091862008</v>
      </c>
      <c r="K10" s="4">
        <v>-13.453218541902977</v>
      </c>
      <c r="L10" s="4">
        <v>-8.2733335209938978</v>
      </c>
      <c r="M10" s="4">
        <v>-5.5129809155341816</v>
      </c>
      <c r="N10" s="4">
        <v>-6.6667913992256613</v>
      </c>
      <c r="O10" s="4">
        <v>-6.2936256868265064</v>
      </c>
      <c r="P10" s="4">
        <v>-2.0035472312741067</v>
      </c>
      <c r="Q10" s="4">
        <v>-1.9865027875967719E-2</v>
      </c>
      <c r="R10" s="4">
        <v>-8.7412788610738659E-2</v>
      </c>
      <c r="S10" s="4">
        <v>-3.0014934721392921E-3</v>
      </c>
      <c r="T10" s="4">
        <v>9.1273627700672033E-4</v>
      </c>
      <c r="U10" s="4">
        <v>7.582756292670005E-5</v>
      </c>
      <c r="V10" s="4">
        <v>-9.8662646956109346E-7</v>
      </c>
      <c r="W10" s="4">
        <v>8.7208470859092649E-7</v>
      </c>
      <c r="X10" s="4">
        <v>8.7070348123417275E-7</v>
      </c>
      <c r="Y10" s="4">
        <v>2.5246652102925716E-8</v>
      </c>
      <c r="Z10" s="4">
        <v>5.5542934808556219E-8</v>
      </c>
      <c r="AA10" s="4">
        <v>1.0270172589879698E-9</v>
      </c>
      <c r="AB10" s="4">
        <v>1.2816230106204599E-10</v>
      </c>
      <c r="AC10" s="4">
        <v>1.8973996609670418E-12</v>
      </c>
      <c r="AD10" s="4">
        <v>1.549545875619729E-12</v>
      </c>
      <c r="AE10" s="4">
        <v>1.1676532169917862E-14</v>
      </c>
      <c r="AF10" s="4">
        <v>1.2494310787663467E-15</v>
      </c>
      <c r="AG10" s="4"/>
      <c r="AH10" s="4"/>
      <c r="AI10" s="4"/>
      <c r="AJ10" s="4"/>
      <c r="AK10" s="4"/>
      <c r="AL10" s="4"/>
      <c r="AM10" s="4"/>
      <c r="AN10" s="4"/>
      <c r="AO10" s="4"/>
      <c r="AP10" s="4"/>
      <c r="AQ10" s="4"/>
      <c r="AR10" s="4"/>
      <c r="AS10" s="4"/>
      <c r="AT10" s="4"/>
      <c r="AU10" s="4"/>
      <c r="AV10" s="4"/>
      <c r="AW10" s="4"/>
      <c r="AX10" s="4"/>
      <c r="AY10" s="4"/>
      <c r="AZ10" s="4"/>
      <c r="BA10" s="4"/>
      <c r="BB10" s="4"/>
    </row>
    <row r="11" spans="1:54" x14ac:dyDescent="0.3">
      <c r="A11" s="4">
        <v>4590</v>
      </c>
      <c r="B11" s="4"/>
      <c r="C11" s="4">
        <v>-165.80383053648211</v>
      </c>
      <c r="D11" s="4">
        <v>-12.194229335902774</v>
      </c>
      <c r="E11" s="4">
        <v>-8.0577021951336167</v>
      </c>
      <c r="F11" s="4">
        <v>-99.263573065832901</v>
      </c>
      <c r="G11" s="4">
        <v>-15.229652075551776</v>
      </c>
      <c r="H11" s="4">
        <v>-35.984825053827407</v>
      </c>
      <c r="I11" s="4">
        <v>-18.447826964012723</v>
      </c>
      <c r="J11" s="4">
        <v>-85.8403656319813</v>
      </c>
      <c r="K11" s="4">
        <v>-16.713704894990212</v>
      </c>
      <c r="L11" s="4">
        <v>-10.697636458345883</v>
      </c>
      <c r="M11" s="4">
        <v>-7.4208280677859193</v>
      </c>
      <c r="N11" s="4">
        <v>-9.3441594515803104</v>
      </c>
      <c r="O11" s="4">
        <v>-9.1871714457707032</v>
      </c>
      <c r="P11" s="4">
        <v>-3.0467668599574069</v>
      </c>
      <c r="Q11" s="4">
        <v>-3.1476751124346274E-2</v>
      </c>
      <c r="R11" s="4">
        <v>-0.14435782263127436</v>
      </c>
      <c r="S11" s="4">
        <v>-5.167400558724335E-3</v>
      </c>
      <c r="T11" s="4">
        <v>1.6385337565276658E-3</v>
      </c>
      <c r="U11" s="4">
        <v>1.4197757863913831E-4</v>
      </c>
      <c r="V11" s="4">
        <v>-1.9272431846442527E-6</v>
      </c>
      <c r="W11" s="4">
        <v>1.7776379543376116E-6</v>
      </c>
      <c r="X11" s="4">
        <v>1.8525371578332795E-6</v>
      </c>
      <c r="Y11" s="4">
        <v>5.6082182509134455E-8</v>
      </c>
      <c r="Z11" s="4">
        <v>1.2885112822399679E-7</v>
      </c>
      <c r="AA11" s="4">
        <v>2.4888037638083219E-9</v>
      </c>
      <c r="AB11" s="4">
        <v>3.2452141260037254E-10</v>
      </c>
      <c r="AC11" s="4">
        <v>5.0214611946314962E-12</v>
      </c>
      <c r="AD11" s="4">
        <v>4.2872964562955712E-12</v>
      </c>
      <c r="AE11" s="4">
        <v>3.3784834343920992E-14</v>
      </c>
      <c r="AF11" s="4">
        <v>3.7815655721894807E-15</v>
      </c>
      <c r="AG11" s="4"/>
      <c r="AH11" s="4"/>
      <c r="AI11" s="4"/>
      <c r="AJ11" s="4"/>
      <c r="AK11" s="4"/>
      <c r="AL11" s="4"/>
      <c r="AM11" s="4"/>
      <c r="AN11" s="4"/>
      <c r="AO11" s="4"/>
      <c r="AP11" s="4"/>
      <c r="AQ11" s="4"/>
      <c r="AR11" s="4"/>
      <c r="AS11" s="4"/>
      <c r="AT11" s="4"/>
      <c r="AU11" s="4"/>
      <c r="AV11" s="4"/>
      <c r="AW11" s="4"/>
      <c r="AX11" s="4"/>
      <c r="AY11" s="4"/>
      <c r="AZ11" s="4"/>
      <c r="BA11" s="4"/>
      <c r="BB11" s="4"/>
    </row>
    <row r="12" spans="1:54" x14ac:dyDescent="0.3">
      <c r="A12" s="4">
        <v>4580</v>
      </c>
      <c r="B12" s="4"/>
      <c r="C12" s="4">
        <v>-185.29176534716945</v>
      </c>
      <c r="D12" s="4">
        <v>-11.342400010875496</v>
      </c>
      <c r="E12" s="4">
        <v>-7.7893979530848734</v>
      </c>
      <c r="F12" s="4">
        <v>-99.750574612187449</v>
      </c>
      <c r="G12" s="4">
        <v>-15.912559440212974</v>
      </c>
      <c r="H12" s="4">
        <v>-39.100899226114898</v>
      </c>
      <c r="I12" s="4">
        <v>-20.850843001007267</v>
      </c>
      <c r="J12" s="4">
        <v>-100.9429078902304</v>
      </c>
      <c r="K12" s="4">
        <v>-20.45307863158661</v>
      </c>
      <c r="L12" s="4">
        <v>-13.626126851357629</v>
      </c>
      <c r="M12" s="4">
        <v>-9.840872785275673</v>
      </c>
      <c r="N12" s="4">
        <v>-12.903789683515528</v>
      </c>
      <c r="O12" s="4">
        <v>-13.214626867851354</v>
      </c>
      <c r="P12" s="4">
        <v>-4.5657251704314152</v>
      </c>
      <c r="Q12" s="4">
        <v>-4.9154182987296201E-2</v>
      </c>
      <c r="R12" s="4">
        <v>-0.23497124186440271</v>
      </c>
      <c r="S12" s="4">
        <v>-8.7691056775946654E-3</v>
      </c>
      <c r="T12" s="4">
        <v>2.8997033228535516E-3</v>
      </c>
      <c r="U12" s="4">
        <v>2.6208393418175233E-4</v>
      </c>
      <c r="V12" s="4">
        <v>-3.7118323539073804E-6</v>
      </c>
      <c r="W12" s="4">
        <v>3.5730277288944021E-6</v>
      </c>
      <c r="X12" s="4">
        <v>3.8869826075888771E-6</v>
      </c>
      <c r="Y12" s="4">
        <v>1.2286717659443408E-7</v>
      </c>
      <c r="Z12" s="4">
        <v>2.9483468653871344E-7</v>
      </c>
      <c r="AA12" s="4">
        <v>5.9494367810430853E-9</v>
      </c>
      <c r="AB12" s="4">
        <v>8.1066289999627496E-10</v>
      </c>
      <c r="AC12" s="4">
        <v>1.3111643482707163E-11</v>
      </c>
      <c r="AD12" s="4">
        <v>1.1704703887160435E-11</v>
      </c>
      <c r="AE12" s="4">
        <v>9.6465034028048728E-14</v>
      </c>
      <c r="AF12" s="4">
        <v>1.129571751486123E-14</v>
      </c>
      <c r="AG12" s="4"/>
      <c r="AH12" s="4"/>
      <c r="AI12" s="4"/>
      <c r="AJ12" s="4"/>
      <c r="AK12" s="4"/>
      <c r="AL12" s="4"/>
      <c r="AM12" s="4"/>
      <c r="AN12" s="4"/>
      <c r="AO12" s="4"/>
      <c r="AP12" s="4"/>
      <c r="AQ12" s="4"/>
      <c r="AR12" s="4"/>
      <c r="AS12" s="4"/>
      <c r="AT12" s="4"/>
      <c r="AU12" s="4"/>
      <c r="AV12" s="4"/>
      <c r="AW12" s="4"/>
      <c r="AX12" s="4"/>
      <c r="AY12" s="4"/>
      <c r="AZ12" s="4"/>
      <c r="BA12" s="4"/>
      <c r="BB12" s="4"/>
    </row>
    <row r="13" spans="1:54" x14ac:dyDescent="0.3">
      <c r="A13" s="4">
        <v>4570</v>
      </c>
      <c r="B13" s="4"/>
      <c r="C13" s="4">
        <v>-206.44147050807692</v>
      </c>
      <c r="D13" s="4">
        <v>-10.384631613759941</v>
      </c>
      <c r="E13" s="4">
        <v>-7.4125681848208558</v>
      </c>
      <c r="F13" s="4">
        <v>-98.684701252509157</v>
      </c>
      <c r="G13" s="4">
        <v>-16.369522528288726</v>
      </c>
      <c r="H13" s="4">
        <v>-41.834752800487855</v>
      </c>
      <c r="I13" s="4">
        <v>-23.207188699546034</v>
      </c>
      <c r="J13" s="4">
        <v>-116.90098916302938</v>
      </c>
      <c r="K13" s="4">
        <v>-24.651343090229631</v>
      </c>
      <c r="L13" s="4">
        <v>-17.095861470405957</v>
      </c>
      <c r="M13" s="4">
        <v>-12.855443960709623</v>
      </c>
      <c r="N13" s="4">
        <v>-17.555167830315185</v>
      </c>
      <c r="O13" s="4">
        <v>-18.727393805415552</v>
      </c>
      <c r="P13" s="4">
        <v>-6.74168668311001</v>
      </c>
      <c r="Q13" s="4">
        <v>-7.5641206169063696E-2</v>
      </c>
      <c r="R13" s="4">
        <v>-0.37692577462836219</v>
      </c>
      <c r="S13" s="4">
        <v>-1.4667118353737371E-2</v>
      </c>
      <c r="T13" s="4">
        <v>5.0582218153100251E-3</v>
      </c>
      <c r="U13" s="4">
        <v>4.7692184296584692E-4</v>
      </c>
      <c r="V13" s="4">
        <v>-7.0480123127783393E-6</v>
      </c>
      <c r="W13" s="4">
        <v>7.0810303039972263E-6</v>
      </c>
      <c r="X13" s="4">
        <v>8.0420363511916578E-6</v>
      </c>
      <c r="Y13" s="4">
        <v>2.6545788671718841E-7</v>
      </c>
      <c r="Z13" s="4">
        <v>6.6536350213791228E-7</v>
      </c>
      <c r="AA13" s="4">
        <v>1.4027898679610252E-8</v>
      </c>
      <c r="AB13" s="4">
        <v>1.9976094310630167E-9</v>
      </c>
      <c r="AC13" s="4">
        <v>3.3775324278148968E-11</v>
      </c>
      <c r="AD13" s="4">
        <v>3.1527897988997511E-11</v>
      </c>
      <c r="AE13" s="4">
        <v>2.717804912628377E-13</v>
      </c>
      <c r="AF13" s="4">
        <v>3.3296537101485484E-14</v>
      </c>
      <c r="AG13" s="4"/>
      <c r="AH13" s="4"/>
      <c r="AI13" s="4"/>
      <c r="AJ13" s="4"/>
      <c r="AK13" s="4"/>
      <c r="AL13" s="4"/>
      <c r="AM13" s="4"/>
      <c r="AN13" s="4"/>
      <c r="AO13" s="4"/>
      <c r="AP13" s="4"/>
      <c r="AQ13" s="4"/>
      <c r="AR13" s="4"/>
      <c r="AS13" s="4"/>
      <c r="AT13" s="4"/>
      <c r="AU13" s="4"/>
      <c r="AV13" s="4"/>
      <c r="AW13" s="4"/>
      <c r="AX13" s="4"/>
      <c r="AY13" s="4"/>
      <c r="AZ13" s="4"/>
      <c r="BA13" s="4"/>
      <c r="BB13" s="4"/>
    </row>
    <row r="14" spans="1:54" x14ac:dyDescent="0.3">
      <c r="A14" s="4">
        <v>4560</v>
      </c>
      <c r="B14" s="4"/>
      <c r="C14" s="4">
        <v>-229.4657966099837</v>
      </c>
      <c r="D14" s="4">
        <v>-9.3576713366154731</v>
      </c>
      <c r="E14" s="4">
        <v>-6.9432183442924105</v>
      </c>
      <c r="F14" s="4">
        <v>-96.105561837756127</v>
      </c>
      <c r="G14" s="4">
        <v>-16.578048553890159</v>
      </c>
      <c r="H14" s="4">
        <v>-44.068315551786085</v>
      </c>
      <c r="I14" s="4">
        <v>-25.433011963301123</v>
      </c>
      <c r="J14" s="4">
        <v>-133.31366880759106</v>
      </c>
      <c r="K14" s="4">
        <v>-29.260017920640077</v>
      </c>
      <c r="L14" s="4">
        <v>-21.125152482768041</v>
      </c>
      <c r="M14" s="4">
        <v>-16.541285327507552</v>
      </c>
      <c r="N14" s="4">
        <v>-23.526647009271599</v>
      </c>
      <c r="O14" s="4">
        <v>-26.14604303230653</v>
      </c>
      <c r="P14" s="4">
        <v>-9.8078231515138423</v>
      </c>
      <c r="Q14" s="4">
        <v>-0.11469407112325354</v>
      </c>
      <c r="R14" s="4">
        <v>-0.59582818663786552</v>
      </c>
      <c r="S14" s="4">
        <v>-2.4176761657820858E-2</v>
      </c>
      <c r="T14" s="4">
        <v>8.6965300718102548E-3</v>
      </c>
      <c r="U14" s="4">
        <v>8.5545679624893711E-4</v>
      </c>
      <c r="V14" s="4">
        <v>-1.3192571963666774E-5</v>
      </c>
      <c r="W14" s="4">
        <v>1.3835082106216158E-5</v>
      </c>
      <c r="X14" s="4">
        <v>1.6405355170554892E-5</v>
      </c>
      <c r="Y14" s="4">
        <v>5.6553925374553247E-7</v>
      </c>
      <c r="Z14" s="4">
        <v>1.4807719798555915E-6</v>
      </c>
      <c r="AA14" s="4">
        <v>3.2621197704404469E-8</v>
      </c>
      <c r="AB14" s="4">
        <v>4.8552694245089737E-9</v>
      </c>
      <c r="AC14" s="4">
        <v>8.5825553514416296E-11</v>
      </c>
      <c r="AD14" s="4">
        <v>8.3781237811793558E-11</v>
      </c>
      <c r="AE14" s="4">
        <v>7.5548623105162164E-13</v>
      </c>
      <c r="AF14" s="4">
        <v>9.684723966768875E-14</v>
      </c>
      <c r="AG14" s="4"/>
      <c r="AH14" s="4"/>
      <c r="AI14" s="4"/>
      <c r="AJ14" s="4"/>
      <c r="AK14" s="4"/>
      <c r="AL14" s="4"/>
      <c r="AM14" s="4"/>
      <c r="AN14" s="4"/>
      <c r="AO14" s="4"/>
      <c r="AP14" s="4"/>
      <c r="AQ14" s="4"/>
      <c r="AR14" s="4"/>
      <c r="AS14" s="4"/>
      <c r="AT14" s="4"/>
      <c r="AU14" s="4"/>
      <c r="AV14" s="4"/>
      <c r="AW14" s="4"/>
      <c r="AX14" s="4"/>
      <c r="AY14" s="4"/>
      <c r="AZ14" s="4"/>
      <c r="BA14" s="4"/>
      <c r="BB14" s="4"/>
    </row>
    <row r="15" spans="1:54" x14ac:dyDescent="0.3">
      <c r="A15" s="4">
        <v>4550</v>
      </c>
      <c r="B15" s="4"/>
      <c r="C15" s="4">
        <v>-254.62158867109355</v>
      </c>
      <c r="D15" s="4">
        <v>-8.298310841010224</v>
      </c>
      <c r="E15" s="4">
        <v>-6.4008121097414641</v>
      </c>
      <c r="F15" s="4">
        <v>-92.122658929796771</v>
      </c>
      <c r="G15" s="4">
        <v>-16.526746769108456</v>
      </c>
      <c r="H15" s="4">
        <v>-45.699325208237084</v>
      </c>
      <c r="I15" s="4">
        <v>-27.441312589745216</v>
      </c>
      <c r="J15" s="4">
        <v>-149.69280876455548</v>
      </c>
      <c r="K15" s="4">
        <v>-34.199243732638038</v>
      </c>
      <c r="L15" s="4">
        <v>-25.707212756538944</v>
      </c>
      <c r="M15" s="4">
        <v>-20.962172181820112</v>
      </c>
      <c r="N15" s="4">
        <v>-31.055515554195246</v>
      </c>
      <c r="O15" s="4">
        <v>-35.958144755905892</v>
      </c>
      <c r="P15" s="4">
        <v>-14.056545652481052</v>
      </c>
      <c r="Q15" s="4">
        <v>-0.17134241394175947</v>
      </c>
      <c r="R15" s="4">
        <v>-0.92804137927916097</v>
      </c>
      <c r="S15" s="4">
        <v>-3.9271046984880681E-2</v>
      </c>
      <c r="T15" s="4">
        <v>1.4735175684881504E-2</v>
      </c>
      <c r="U15" s="4">
        <v>1.5123438061463031E-3</v>
      </c>
      <c r="V15" s="4">
        <v>-2.4340781298593395E-5</v>
      </c>
      <c r="W15" s="4">
        <v>2.664711136516199E-5</v>
      </c>
      <c r="X15" s="4">
        <v>3.2993582903034544E-5</v>
      </c>
      <c r="Y15" s="4">
        <v>1.1879426948540421E-6</v>
      </c>
      <c r="Z15" s="4">
        <v>3.2495606383430555E-6</v>
      </c>
      <c r="AA15" s="4">
        <v>7.4809424260549672E-8</v>
      </c>
      <c r="AB15" s="4">
        <v>1.1638777311839495E-8</v>
      </c>
      <c r="AC15" s="4">
        <v>2.1511335353469478E-10</v>
      </c>
      <c r="AD15" s="4">
        <v>2.1962150697216595E-10</v>
      </c>
      <c r="AE15" s="4">
        <v>2.0718299221000147E-12</v>
      </c>
      <c r="AF15" s="4">
        <v>2.7793158475498631E-13</v>
      </c>
      <c r="AG15" s="4"/>
      <c r="AH15" s="4"/>
      <c r="AI15" s="4"/>
      <c r="AJ15" s="4"/>
      <c r="AK15" s="4"/>
      <c r="AL15" s="4"/>
      <c r="AM15" s="4"/>
      <c r="AN15" s="4"/>
      <c r="AO15" s="4"/>
      <c r="AP15" s="4"/>
      <c r="AQ15" s="4"/>
      <c r="AR15" s="4"/>
      <c r="AS15" s="4"/>
      <c r="AT15" s="4"/>
      <c r="AU15" s="4"/>
      <c r="AV15" s="4"/>
      <c r="AW15" s="4"/>
      <c r="AX15" s="4"/>
      <c r="AY15" s="4"/>
      <c r="AZ15" s="4"/>
      <c r="BA15" s="4"/>
      <c r="BB15" s="4"/>
    </row>
    <row r="16" spans="1:54" x14ac:dyDescent="0.3">
      <c r="A16" s="4">
        <v>4540</v>
      </c>
      <c r="B16" s="4"/>
      <c r="C16" s="4">
        <v>-282.20578657133552</v>
      </c>
      <c r="D16" s="4">
        <v>-7.2412096875448544</v>
      </c>
      <c r="E16" s="4">
        <v>-5.806921139181485</v>
      </c>
      <c r="F16" s="4">
        <v>-86.907704637824978</v>
      </c>
      <c r="G16" s="4">
        <v>-16.216334488322634</v>
      </c>
      <c r="H16" s="4">
        <v>-46.648981738926558</v>
      </c>
      <c r="I16" s="4">
        <v>-29.147338632564853</v>
      </c>
      <c r="J16" s="4">
        <v>-165.4825637175403</v>
      </c>
      <c r="K16" s="4">
        <v>-39.356981395409335</v>
      </c>
      <c r="L16" s="4">
        <v>-30.804348553318285</v>
      </c>
      <c r="M16" s="4">
        <v>-26.160374834194261</v>
      </c>
      <c r="N16" s="4">
        <v>-40.373562032947255</v>
      </c>
      <c r="O16" s="4">
        <v>-48.708795484297674</v>
      </c>
      <c r="P16" s="4">
        <v>-19.844621213074515</v>
      </c>
      <c r="Q16" s="4">
        <v>-0.25216607713595457</v>
      </c>
      <c r="R16" s="4">
        <v>-1.4241357189932147</v>
      </c>
      <c r="S16" s="4">
        <v>-6.2852807050399737E-2</v>
      </c>
      <c r="T16" s="4">
        <v>2.4602702892288414E-2</v>
      </c>
      <c r="U16" s="4">
        <v>2.6348855189028985E-3</v>
      </c>
      <c r="V16" s="4">
        <v>-4.4262826573157377E-5</v>
      </c>
      <c r="W16" s="4">
        <v>5.0589359852339394E-5</v>
      </c>
      <c r="X16" s="4">
        <v>6.5411677008957224E-5</v>
      </c>
      <c r="Y16" s="4">
        <v>2.4600942665927813E-6</v>
      </c>
      <c r="Z16" s="4">
        <v>7.0311511871819712E-6</v>
      </c>
      <c r="AA16" s="4">
        <v>1.6916874357395971E-7</v>
      </c>
      <c r="AB16" s="4">
        <v>2.7513833925033416E-8</v>
      </c>
      <c r="AC16" s="4">
        <v>5.3175360895642811E-10</v>
      </c>
      <c r="AD16" s="4">
        <v>5.6785588879288265E-10</v>
      </c>
      <c r="AE16" s="4">
        <v>5.6047977225464288E-12</v>
      </c>
      <c r="AF16" s="4">
        <v>7.8688315944505174E-13</v>
      </c>
      <c r="AG16" s="4"/>
      <c r="AH16" s="4"/>
      <c r="AI16" s="4"/>
      <c r="AJ16" s="4"/>
      <c r="AK16" s="4"/>
      <c r="AL16" s="4"/>
      <c r="AM16" s="4"/>
      <c r="AN16" s="4"/>
      <c r="AO16" s="4"/>
      <c r="AP16" s="4"/>
      <c r="AQ16" s="4"/>
      <c r="AR16" s="4"/>
      <c r="AS16" s="4"/>
      <c r="AT16" s="4"/>
      <c r="AU16" s="4"/>
      <c r="AV16" s="4"/>
      <c r="AW16" s="4"/>
      <c r="AX16" s="4"/>
      <c r="AY16" s="4"/>
      <c r="AZ16" s="4"/>
      <c r="BA16" s="4"/>
      <c r="BB16" s="4"/>
    </row>
    <row r="17" spans="1:54" x14ac:dyDescent="0.3">
      <c r="A17" s="4">
        <v>4530</v>
      </c>
      <c r="B17" s="4"/>
      <c r="C17" s="4">
        <v>-312.54576303998908</v>
      </c>
      <c r="D17" s="4">
        <v>-6.2170733222787362</v>
      </c>
      <c r="E17" s="4">
        <v>-5.1837907241833001</v>
      </c>
      <c r="F17" s="4">
        <v>-80.68229110306379</v>
      </c>
      <c r="G17" s="4">
        <v>-15.65971271848916</v>
      </c>
      <c r="H17" s="4">
        <v>-46.868189751175059</v>
      </c>
      <c r="I17" s="4">
        <v>-30.474362246705095</v>
      </c>
      <c r="J17" s="4">
        <v>-180.08747595546541</v>
      </c>
      <c r="K17" s="4">
        <v>-44.590825806936962</v>
      </c>
      <c r="L17" s="4">
        <v>-36.343456025048077</v>
      </c>
      <c r="M17" s="4">
        <v>-32.147538089494461</v>
      </c>
      <c r="N17" s="4">
        <v>-51.688105188584075</v>
      </c>
      <c r="O17" s="4">
        <v>-64.981852553153331</v>
      </c>
      <c r="P17" s="4">
        <v>-27.594415201791154</v>
      </c>
      <c r="Q17" s="4">
        <v>-0.36556317156730045</v>
      </c>
      <c r="R17" s="4">
        <v>-2.1529277700950904</v>
      </c>
      <c r="S17" s="4">
        <v>-9.9108568092666938E-2</v>
      </c>
      <c r="T17" s="4">
        <v>4.0474842686975827E-2</v>
      </c>
      <c r="U17" s="4">
        <v>4.523645575280409E-3</v>
      </c>
      <c r="V17" s="4">
        <v>-7.9323227282398833E-5</v>
      </c>
      <c r="W17" s="4">
        <v>9.4659907783949576E-5</v>
      </c>
      <c r="X17" s="4">
        <v>1.2782636109083818E-4</v>
      </c>
      <c r="Y17" s="4">
        <v>5.0221431536989359E-6</v>
      </c>
      <c r="Z17" s="4">
        <v>1.4998620120446651E-5</v>
      </c>
      <c r="AA17" s="4">
        <v>3.7718053057859514E-7</v>
      </c>
      <c r="AB17" s="4">
        <v>6.4136123942970608E-8</v>
      </c>
      <c r="AC17" s="4">
        <v>1.2962958895200314E-9</v>
      </c>
      <c r="AD17" s="4">
        <v>1.4480883730345926E-9</v>
      </c>
      <c r="AE17" s="4">
        <v>1.4955562954126551E-11</v>
      </c>
      <c r="AF17" s="4">
        <v>2.1976734613837253E-12</v>
      </c>
      <c r="AG17" s="4"/>
      <c r="AH17" s="4"/>
      <c r="AI17" s="4"/>
      <c r="AJ17" s="4"/>
      <c r="AK17" s="4"/>
      <c r="AL17" s="4"/>
      <c r="AM17" s="4"/>
      <c r="AN17" s="4"/>
      <c r="AO17" s="4"/>
      <c r="AP17" s="4"/>
      <c r="AQ17" s="4"/>
      <c r="AR17" s="4"/>
      <c r="AS17" s="4"/>
      <c r="AT17" s="4"/>
      <c r="AU17" s="4"/>
      <c r="AV17" s="4"/>
      <c r="AW17" s="4"/>
      <c r="AX17" s="4"/>
      <c r="AY17" s="4"/>
      <c r="AZ17" s="4"/>
      <c r="BA17" s="4"/>
      <c r="BB17" s="4"/>
    </row>
    <row r="18" spans="1:54" x14ac:dyDescent="0.3">
      <c r="A18" s="4">
        <v>4520</v>
      </c>
      <c r="B18" s="4"/>
      <c r="C18" s="4">
        <v>-345.98261348223383</v>
      </c>
      <c r="D18" s="4">
        <v>-5.2513123300415776</v>
      </c>
      <c r="E18" s="4">
        <v>-4.552955376737037</v>
      </c>
      <c r="F18" s="4">
        <v>-73.702153214204898</v>
      </c>
      <c r="G18" s="4">
        <v>-14.881088973306058</v>
      </c>
      <c r="H18" s="4">
        <v>-46.341708248760973</v>
      </c>
      <c r="I18" s="4">
        <v>-31.359304643273546</v>
      </c>
      <c r="J18" s="4">
        <v>-192.90758515443505</v>
      </c>
      <c r="K18" s="4">
        <v>-49.732744838977709</v>
      </c>
      <c r="L18" s="4">
        <v>-42.213607931011396</v>
      </c>
      <c r="M18" s="4">
        <v>-38.895792417618097</v>
      </c>
      <c r="N18" s="4">
        <v>-65.159031073801742</v>
      </c>
      <c r="O18" s="4">
        <v>-85.37029589438805</v>
      </c>
      <c r="P18" s="4">
        <v>-37.789342939801386</v>
      </c>
      <c r="Q18" s="4">
        <v>-0.521972917290493</v>
      </c>
      <c r="R18" s="4">
        <v>-3.205955763580735</v>
      </c>
      <c r="S18" s="4">
        <v>-0.1539530052143171</v>
      </c>
      <c r="T18" s="4">
        <v>6.5602238844355995E-2</v>
      </c>
      <c r="U18" s="4">
        <v>7.6522204571808604E-3</v>
      </c>
      <c r="V18" s="4">
        <v>-1.4007959252406365E-4</v>
      </c>
      <c r="W18" s="4">
        <v>1.7455313785484257E-4</v>
      </c>
      <c r="X18" s="4">
        <v>2.4619653359472376E-4</v>
      </c>
      <c r="Y18" s="4">
        <v>1.0105660881608261E-5</v>
      </c>
      <c r="Z18" s="4">
        <v>3.1539634099894111E-5</v>
      </c>
      <c r="AA18" s="4">
        <v>8.2908933130172592E-7</v>
      </c>
      <c r="AB18" s="4">
        <v>1.4740761722454262E-7</v>
      </c>
      <c r="AC18" s="4">
        <v>3.1160644065050206E-9</v>
      </c>
      <c r="AD18" s="4">
        <v>3.6416970702980898E-9</v>
      </c>
      <c r="AE18" s="4">
        <v>3.9358714861869589E-11</v>
      </c>
      <c r="AF18" s="4">
        <v>6.0541778986673522E-12</v>
      </c>
      <c r="AG18" s="4"/>
      <c r="AH18" s="4"/>
      <c r="AI18" s="4"/>
      <c r="AJ18" s="4"/>
      <c r="AK18" s="4"/>
      <c r="AL18" s="4"/>
      <c r="AM18" s="4"/>
      <c r="AN18" s="4"/>
      <c r="AO18" s="4"/>
      <c r="AP18" s="4"/>
      <c r="AQ18" s="4"/>
      <c r="AR18" s="4"/>
      <c r="AS18" s="4"/>
      <c r="AT18" s="4"/>
      <c r="AU18" s="4"/>
      <c r="AV18" s="4"/>
      <c r="AW18" s="4"/>
      <c r="AX18" s="4"/>
      <c r="AY18" s="4"/>
      <c r="AZ18" s="4"/>
      <c r="BA18" s="4"/>
      <c r="BB18" s="4"/>
    </row>
    <row r="19" spans="1:54" x14ac:dyDescent="0.3">
      <c r="A19" s="4">
        <v>4510</v>
      </c>
      <c r="B19" s="4"/>
      <c r="C19" s="4">
        <v>-382.84640005643564</v>
      </c>
      <c r="D19" s="4">
        <v>-4.3632478303650233</v>
      </c>
      <c r="E19" s="4">
        <v>-3.9340246073158216</v>
      </c>
      <c r="F19" s="4">
        <v>-66.23959231373442</v>
      </c>
      <c r="G19" s="4">
        <v>-13.914228765795563</v>
      </c>
      <c r="H19" s="4">
        <v>-45.089725516360986</v>
      </c>
      <c r="I19" s="4">
        <v>-31.757647000370749</v>
      </c>
      <c r="J19" s="4">
        <v>-203.37792206077393</v>
      </c>
      <c r="K19" s="4">
        <v>-54.596761175419267</v>
      </c>
      <c r="L19" s="4">
        <v>-48.266444009966271</v>
      </c>
      <c r="M19" s="4">
        <v>-46.33011485474416</v>
      </c>
      <c r="N19" s="4">
        <v>-80.873075861100219</v>
      </c>
      <c r="O19" s="4">
        <v>-110.43494932158113</v>
      </c>
      <c r="P19" s="4">
        <v>-50.961532465640701</v>
      </c>
      <c r="Q19" s="4">
        <v>-0.73400440713357917</v>
      </c>
      <c r="R19" s="4">
        <v>-4.7020924061753071</v>
      </c>
      <c r="S19" s="4">
        <v>-0.23556531700684757</v>
      </c>
      <c r="T19" s="4">
        <v>0.10474643213366254</v>
      </c>
      <c r="U19" s="4">
        <v>1.2753065247879903E-2</v>
      </c>
      <c r="V19" s="4">
        <v>-2.4373558131666855E-4</v>
      </c>
      <c r="W19" s="4">
        <v>3.1717607703253434E-4</v>
      </c>
      <c r="X19" s="4">
        <v>4.6730075418241924E-4</v>
      </c>
      <c r="Y19" s="4">
        <v>2.0041743804629667E-5</v>
      </c>
      <c r="Z19" s="4">
        <v>6.5373166006845056E-5</v>
      </c>
      <c r="AA19" s="4">
        <v>1.796526125794574E-6</v>
      </c>
      <c r="AB19" s="4">
        <v>3.3401054957679385E-7</v>
      </c>
      <c r="AC19" s="4">
        <v>7.3854150207546221E-9</v>
      </c>
      <c r="AD19" s="4">
        <v>9.0307161155742612E-9</v>
      </c>
      <c r="AE19" s="4">
        <v>1.0214858954441486E-10</v>
      </c>
      <c r="AF19" s="4">
        <v>1.6449188853310484E-11</v>
      </c>
      <c r="AG19" s="4"/>
      <c r="AH19" s="4"/>
      <c r="AI19" s="4"/>
      <c r="AJ19" s="4"/>
      <c r="AK19" s="4"/>
      <c r="AL19" s="4"/>
      <c r="AM19" s="4"/>
      <c r="AN19" s="4"/>
      <c r="AO19" s="4"/>
      <c r="AP19" s="4"/>
      <c r="AQ19" s="4"/>
      <c r="AR19" s="4"/>
      <c r="AS19" s="4"/>
      <c r="AT19" s="4"/>
      <c r="AU19" s="4"/>
      <c r="AV19" s="4"/>
      <c r="AW19" s="4"/>
      <c r="AX19" s="4"/>
      <c r="AY19" s="4"/>
      <c r="AZ19" s="4"/>
      <c r="BA19" s="4"/>
      <c r="BB19" s="4"/>
    </row>
    <row r="20" spans="1:54" x14ac:dyDescent="0.3">
      <c r="A20" s="4">
        <v>4500</v>
      </c>
      <c r="B20" s="4"/>
      <c r="C20" s="4">
        <v>-423.42292996673734</v>
      </c>
      <c r="D20" s="4">
        <v>-3.5658648795244394</v>
      </c>
      <c r="E20" s="4">
        <v>-3.3437319812055084</v>
      </c>
      <c r="F20" s="4">
        <v>-58.565759320548182</v>
      </c>
      <c r="G20" s="4">
        <v>-12.800011771543099</v>
      </c>
      <c r="H20" s="4">
        <v>-43.166646211673125</v>
      </c>
      <c r="I20" s="4">
        <v>-31.647101848752946</v>
      </c>
      <c r="J20" s="4">
        <v>-211.00892589816883</v>
      </c>
      <c r="K20" s="4">
        <v>-58.989246852384639</v>
      </c>
      <c r="L20" s="4">
        <v>-54.319889212750688</v>
      </c>
      <c r="M20" s="4">
        <v>-54.323070646239124</v>
      </c>
      <c r="N20" s="4">
        <v>-98.817337704045201</v>
      </c>
      <c r="O20" s="4">
        <v>-140.65203510976329</v>
      </c>
      <c r="P20" s="4">
        <v>-67.669890060206484</v>
      </c>
      <c r="Q20" s="4">
        <v>-1.0164114948383693</v>
      </c>
      <c r="R20" s="4">
        <v>-6.791810819437055</v>
      </c>
      <c r="S20" s="4">
        <v>-0.35500635933613572</v>
      </c>
      <c r="T20" s="4">
        <v>0.16474129807236548</v>
      </c>
      <c r="U20" s="4">
        <v>2.0937540221303116E-2</v>
      </c>
      <c r="V20" s="4">
        <v>-4.1781931541870672E-4</v>
      </c>
      <c r="W20" s="4">
        <v>5.6785897895875593E-4</v>
      </c>
      <c r="X20" s="4">
        <v>8.740180208710659E-4</v>
      </c>
      <c r="Y20" s="4">
        <v>3.9170394849916448E-5</v>
      </c>
      <c r="Z20" s="4">
        <v>1.3354775773608899E-4</v>
      </c>
      <c r="AA20" s="4">
        <v>3.8370970192939369E-6</v>
      </c>
      <c r="AB20" s="4">
        <v>7.4607168098847296E-7</v>
      </c>
      <c r="AC20" s="4">
        <v>1.7257061491932264E-8</v>
      </c>
      <c r="AD20" s="4">
        <v>2.2080435927060669E-8</v>
      </c>
      <c r="AE20" s="4">
        <v>2.6141759217094336E-10</v>
      </c>
      <c r="AF20" s="4">
        <v>4.4074656331583597E-11</v>
      </c>
      <c r="AG20" s="4"/>
      <c r="AH20" s="4"/>
      <c r="AI20" s="4"/>
      <c r="AJ20" s="4"/>
      <c r="AK20" s="4"/>
      <c r="AL20" s="4"/>
      <c r="AM20" s="4"/>
      <c r="AN20" s="4"/>
      <c r="AO20" s="4"/>
      <c r="AP20" s="4"/>
      <c r="AQ20" s="4"/>
      <c r="AR20" s="4"/>
      <c r="AS20" s="4"/>
      <c r="AT20" s="4"/>
      <c r="AU20" s="4"/>
      <c r="AV20" s="4"/>
      <c r="AW20" s="4"/>
      <c r="AX20" s="4"/>
      <c r="AY20" s="4"/>
      <c r="AZ20" s="4"/>
      <c r="BA20" s="4"/>
      <c r="BB20" s="4"/>
    </row>
    <row r="21" spans="1:54" x14ac:dyDescent="0.3">
      <c r="A21" s="4">
        <v>4490</v>
      </c>
      <c r="B21" s="4"/>
      <c r="C21" s="4">
        <v>-467.91254499016526</v>
      </c>
      <c r="D21" s="4">
        <v>-2.8660599202123755</v>
      </c>
      <c r="E21" s="4">
        <v>-2.7953045770437845</v>
      </c>
      <c r="F21" s="4">
        <v>-50.93441336542103</v>
      </c>
      <c r="G21" s="4">
        <v>-11.583540512386508</v>
      </c>
      <c r="H21" s="4">
        <v>-40.657182392224044</v>
      </c>
      <c r="I21" s="4">
        <v>-31.029628001816516</v>
      </c>
      <c r="J21" s="4">
        <v>-215.42385931889947</v>
      </c>
      <c r="K21" s="4">
        <v>-62.72114116961523</v>
      </c>
      <c r="L21" s="4">
        <v>-60.16542240311238</v>
      </c>
      <c r="M21" s="4">
        <v>-62.69304779413838</v>
      </c>
      <c r="N21" s="4">
        <v>-118.85468801682636</v>
      </c>
      <c r="O21" s="4">
        <v>-176.35165965321997</v>
      </c>
      <c r="P21" s="4">
        <v>-88.467306792147056</v>
      </c>
      <c r="Q21" s="4">
        <v>-1.3858471764133837</v>
      </c>
      <c r="R21" s="4">
        <v>-9.6604117719071354</v>
      </c>
      <c r="S21" s="4">
        <v>-0.52688708871161882</v>
      </c>
      <c r="T21" s="4">
        <v>0.25518997535330518</v>
      </c>
      <c r="U21" s="4">
        <v>3.3859154027958215E-2</v>
      </c>
      <c r="V21" s="4">
        <v>-7.0556851391121366E-4</v>
      </c>
      <c r="W21" s="4">
        <v>1.0016215309575829E-3</v>
      </c>
      <c r="X21" s="4">
        <v>1.610681261373776E-3</v>
      </c>
      <c r="Y21" s="4">
        <v>7.5437657595052972E-5</v>
      </c>
      <c r="Z21" s="4">
        <v>2.6885878510913674E-4</v>
      </c>
      <c r="AA21" s="4">
        <v>8.0772882264418937E-6</v>
      </c>
      <c r="AB21" s="4">
        <v>1.6426224609514953E-6</v>
      </c>
      <c r="AC21" s="4">
        <v>3.975018539700927E-8</v>
      </c>
      <c r="AD21" s="4">
        <v>5.3225197184980344E-8</v>
      </c>
      <c r="AE21" s="4">
        <v>6.5963777116796031E-10</v>
      </c>
      <c r="AF21" s="4">
        <v>1.1645174933474848E-10</v>
      </c>
      <c r="AG21" s="4"/>
      <c r="AH21" s="4"/>
      <c r="AI21" s="4"/>
      <c r="AJ21" s="4"/>
      <c r="AK21" s="4"/>
      <c r="AL21" s="4"/>
      <c r="AM21" s="4"/>
      <c r="AN21" s="4"/>
      <c r="AO21" s="4"/>
      <c r="AP21" s="4"/>
      <c r="AQ21" s="4"/>
      <c r="AR21" s="4"/>
      <c r="AS21" s="4"/>
      <c r="AT21" s="4"/>
      <c r="AU21" s="4"/>
      <c r="AV21" s="4"/>
      <c r="AW21" s="4"/>
      <c r="AX21" s="4"/>
      <c r="AY21" s="4"/>
      <c r="AZ21" s="4"/>
      <c r="BA21" s="4"/>
      <c r="BB21" s="4"/>
    </row>
    <row r="22" spans="1:54" x14ac:dyDescent="0.3">
      <c r="A22" s="4">
        <v>4480</v>
      </c>
      <c r="B22" s="4"/>
      <c r="C22" s="4">
        <v>-516.38258933027919</v>
      </c>
      <c r="D22" s="4">
        <v>-2.2652860812205757</v>
      </c>
      <c r="E22" s="4">
        <v>-2.2981707667687736</v>
      </c>
      <c r="F22" s="4">
        <v>-43.568499731314809</v>
      </c>
      <c r="G22" s="4">
        <v>-10.31108893988889</v>
      </c>
      <c r="H22" s="4">
        <v>-37.670137789629102</v>
      </c>
      <c r="I22" s="4">
        <v>-29.931540515818607</v>
      </c>
      <c r="J22" s="4">
        <v>-216.38930134448529</v>
      </c>
      <c r="K22" s="4">
        <v>-65.621085215498283</v>
      </c>
      <c r="L22" s="4">
        <v>-65.578728378002964</v>
      </c>
      <c r="M22" s="4">
        <v>-71.206915733152343</v>
      </c>
      <c r="N22" s="4">
        <v>-140.70425168918695</v>
      </c>
      <c r="O22" s="4">
        <v>-217.65119963649448</v>
      </c>
      <c r="P22" s="4">
        <v>-113.85670247540197</v>
      </c>
      <c r="Q22" s="4">
        <v>-1.8603312640091714</v>
      </c>
      <c r="R22" s="4">
        <v>-13.529315126536252</v>
      </c>
      <c r="S22" s="4">
        <v>-0.77003467282697413</v>
      </c>
      <c r="T22" s="4">
        <v>0.38929377883965999</v>
      </c>
      <c r="U22" s="4">
        <v>5.3928823436016023E-2</v>
      </c>
      <c r="V22" s="4">
        <v>-1.1736164470773009E-3</v>
      </c>
      <c r="W22" s="4">
        <v>1.7403848348781022E-3</v>
      </c>
      <c r="X22" s="4">
        <v>2.9242852320083695E-3</v>
      </c>
      <c r="Y22" s="4">
        <v>1.4314692522716507E-4</v>
      </c>
      <c r="Z22" s="4">
        <v>5.333574727672722E-4</v>
      </c>
      <c r="AA22" s="4">
        <v>1.6756299008594587E-5</v>
      </c>
      <c r="AB22" s="4">
        <v>3.5644140379699282E-6</v>
      </c>
      <c r="AC22" s="4">
        <v>9.0250245602259477E-8</v>
      </c>
      <c r="AD22" s="4">
        <v>1.2647591912954191E-7</v>
      </c>
      <c r="AE22" s="4">
        <v>1.6409729937074494E-9</v>
      </c>
      <c r="AF22" s="4">
        <v>3.0337016979114754E-10</v>
      </c>
      <c r="AG22" s="4"/>
      <c r="AH22" s="4"/>
      <c r="AI22" s="4"/>
      <c r="AJ22" s="4"/>
      <c r="AK22" s="4"/>
      <c r="AL22" s="4"/>
      <c r="AM22" s="4"/>
      <c r="AN22" s="4"/>
      <c r="AO22" s="4"/>
      <c r="AP22" s="4"/>
      <c r="AQ22" s="4"/>
      <c r="AR22" s="4"/>
      <c r="AS22" s="4"/>
      <c r="AT22" s="4"/>
      <c r="AU22" s="4"/>
      <c r="AV22" s="4"/>
      <c r="AW22" s="4"/>
      <c r="AX22" s="4"/>
      <c r="AY22" s="4"/>
      <c r="AZ22" s="4"/>
      <c r="BA22" s="4"/>
      <c r="BB22" s="4"/>
    </row>
    <row r="23" spans="1:54" x14ac:dyDescent="0.3">
      <c r="A23" s="4">
        <v>4470</v>
      </c>
      <c r="B23" s="4"/>
      <c r="C23" s="4">
        <v>-568.71660712078335</v>
      </c>
      <c r="D23" s="4">
        <v>-1.760475103347952</v>
      </c>
      <c r="E23" s="4">
        <v>-1.857987310525512</v>
      </c>
      <c r="F23" s="4">
        <v>-36.650478016645813</v>
      </c>
      <c r="G23" s="4">
        <v>-9.0271809632434419</v>
      </c>
      <c r="H23" s="4">
        <v>-34.330522990941041</v>
      </c>
      <c r="I23" s="4">
        <v>-28.401674108793475</v>
      </c>
      <c r="J23" s="4">
        <v>-213.83532111122048</v>
      </c>
      <c r="K23" s="4">
        <v>-67.548244391755361</v>
      </c>
      <c r="L23" s="4">
        <v>-70.333132346414573</v>
      </c>
      <c r="M23" s="4">
        <v>-79.587687248175044</v>
      </c>
      <c r="N23" s="4">
        <v>-163.93030239472645</v>
      </c>
      <c r="O23" s="4">
        <v>-264.38944916642367</v>
      </c>
      <c r="P23" s="4">
        <v>-144.23697159826935</v>
      </c>
      <c r="Q23" s="4">
        <v>-2.4583760626613653</v>
      </c>
      <c r="R23" s="4">
        <v>-18.654353657830001</v>
      </c>
      <c r="S23" s="4">
        <v>-1.1080735636941874</v>
      </c>
      <c r="T23" s="4">
        <v>0.58478808696743212</v>
      </c>
      <c r="U23" s="4">
        <v>8.4589185761911864E-2</v>
      </c>
      <c r="V23" s="4">
        <v>-1.9226682041118834E-3</v>
      </c>
      <c r="W23" s="4">
        <v>2.9786566714526709E-3</v>
      </c>
      <c r="X23" s="4">
        <v>5.2300517494124907E-3</v>
      </c>
      <c r="Y23" s="4">
        <v>2.676053870991073E-4</v>
      </c>
      <c r="Z23" s="4">
        <v>1.0424966420918412E-3</v>
      </c>
      <c r="AA23" s="4">
        <v>3.4252805135940493E-5</v>
      </c>
      <c r="AB23" s="4">
        <v>7.6223294360838295E-6</v>
      </c>
      <c r="AC23" s="4">
        <v>2.0195319946371366E-7</v>
      </c>
      <c r="AD23" s="4">
        <v>2.9623456087224861E-7</v>
      </c>
      <c r="AE23" s="4">
        <v>4.0241962204909138E-9</v>
      </c>
      <c r="AF23" s="4">
        <v>7.7915935838658315E-10</v>
      </c>
      <c r="AG23" s="4"/>
      <c r="AH23" s="4"/>
      <c r="AI23" s="4"/>
      <c r="AJ23" s="4"/>
      <c r="AK23" s="4"/>
      <c r="AL23" s="4"/>
      <c r="AM23" s="4"/>
      <c r="AN23" s="4"/>
      <c r="AO23" s="4"/>
      <c r="AP23" s="4"/>
      <c r="AQ23" s="4"/>
      <c r="AR23" s="4"/>
      <c r="AS23" s="4"/>
      <c r="AT23" s="4"/>
      <c r="AU23" s="4"/>
      <c r="AV23" s="4"/>
      <c r="AW23" s="4"/>
      <c r="AX23" s="4"/>
      <c r="AY23" s="4"/>
      <c r="AZ23" s="4"/>
      <c r="BA23" s="4"/>
      <c r="BB23" s="4"/>
    </row>
    <row r="24" spans="1:54" x14ac:dyDescent="0.3">
      <c r="A24" s="4">
        <v>4460</v>
      </c>
      <c r="B24" s="4"/>
      <c r="C24" s="4">
        <v>-624.56472467104902</v>
      </c>
      <c r="D24" s="4">
        <v>-1.345107507119816</v>
      </c>
      <c r="E24" s="4">
        <v>-1.4769367154607516</v>
      </c>
      <c r="F24" s="4">
        <v>-30.316844990856449</v>
      </c>
      <c r="G24" s="4">
        <v>-7.7720560320488596</v>
      </c>
      <c r="H24" s="4">
        <v>-30.770803610419442</v>
      </c>
      <c r="I24" s="4">
        <v>-26.507775444233157</v>
      </c>
      <c r="J24" s="4">
        <v>-207.86293568438589</v>
      </c>
      <c r="K24" s="4">
        <v>-68.403508990175922</v>
      </c>
      <c r="L24" s="4">
        <v>-74.214797999495431</v>
      </c>
      <c r="M24" s="4">
        <v>-87.527258430133912</v>
      </c>
      <c r="N24" s="4">
        <v>-187.94265923878956</v>
      </c>
      <c r="O24" s="4">
        <v>-316.06899110246798</v>
      </c>
      <c r="P24" s="4">
        <v>-179.84159441360319</v>
      </c>
      <c r="Q24" s="4">
        <v>-3.197738771050969</v>
      </c>
      <c r="R24" s="4">
        <v>-25.319932472405618</v>
      </c>
      <c r="S24" s="4">
        <v>-1.5698075161001961</v>
      </c>
      <c r="T24" s="4">
        <v>0.86492981051352336</v>
      </c>
      <c r="U24" s="4">
        <v>0.13065080313240565</v>
      </c>
      <c r="V24" s="4">
        <v>-3.1019024478946078E-3</v>
      </c>
      <c r="W24" s="4">
        <v>5.0209256035083734E-3</v>
      </c>
      <c r="X24" s="4">
        <v>9.2134699502243404E-3</v>
      </c>
      <c r="Y24" s="4">
        <v>4.9281250920288507E-4</v>
      </c>
      <c r="Z24" s="4">
        <v>2.0074665200989768E-3</v>
      </c>
      <c r="AA24" s="4">
        <v>6.8988251717244485E-5</v>
      </c>
      <c r="AB24" s="4">
        <v>1.6061721577540236E-5</v>
      </c>
      <c r="AC24" s="4">
        <v>4.4535057701845365E-7</v>
      </c>
      <c r="AD24" s="4">
        <v>6.8384384765712005E-7</v>
      </c>
      <c r="AE24" s="4">
        <v>9.727357616540439E-9</v>
      </c>
      <c r="AF24" s="4">
        <v>1.9727074694026739E-9</v>
      </c>
      <c r="AG24" s="4"/>
      <c r="AH24" s="4"/>
      <c r="AI24" s="4"/>
      <c r="AJ24" s="4"/>
      <c r="AK24" s="4"/>
      <c r="AL24" s="4"/>
      <c r="AM24" s="4"/>
      <c r="AN24" s="4"/>
      <c r="AO24" s="4"/>
      <c r="AP24" s="4"/>
      <c r="AQ24" s="4"/>
      <c r="AR24" s="4"/>
      <c r="AS24" s="4"/>
      <c r="AT24" s="4"/>
      <c r="AU24" s="4"/>
      <c r="AV24" s="4"/>
      <c r="AW24" s="4"/>
      <c r="AX24" s="4"/>
      <c r="AY24" s="4"/>
      <c r="AZ24" s="4"/>
      <c r="BA24" s="4"/>
      <c r="BB24" s="4"/>
    </row>
    <row r="25" spans="1:54" x14ac:dyDescent="0.3">
      <c r="A25" s="4">
        <v>4450</v>
      </c>
      <c r="B25" s="4"/>
      <c r="C25" s="4">
        <v>-683.30085911153901</v>
      </c>
      <c r="D25" s="4">
        <v>-1.0103113232149696</v>
      </c>
      <c r="E25" s="4">
        <v>-1.1542256881207948</v>
      </c>
      <c r="F25" s="4">
        <v>-24.656808843274412</v>
      </c>
      <c r="G25" s="4">
        <v>-6.5797169831089466</v>
      </c>
      <c r="H25" s="4">
        <v>-27.122142808722856</v>
      </c>
      <c r="I25" s="4">
        <v>-24.331495771312944</v>
      </c>
      <c r="J25" s="4">
        <v>-198.73781535711092</v>
      </c>
      <c r="K25" s="4">
        <v>-68.137848705214139</v>
      </c>
      <c r="L25" s="4">
        <v>-77.03833456405701</v>
      </c>
      <c r="M25" s="4">
        <v>-94.703694516639189</v>
      </c>
      <c r="N25" s="4">
        <v>-212.01090924934789</v>
      </c>
      <c r="O25" s="4">
        <v>-371.815219952723</v>
      </c>
      <c r="P25" s="4">
        <v>-220.67453450870968</v>
      </c>
      <c r="Q25" s="4">
        <v>-4.0938076410530604</v>
      </c>
      <c r="R25" s="4">
        <v>-33.827987739465684</v>
      </c>
      <c r="S25" s="4">
        <v>-2.1892594835612642</v>
      </c>
      <c r="T25" s="4">
        <v>1.2594421539740819</v>
      </c>
      <c r="U25" s="4">
        <v>0.19868567989351754</v>
      </c>
      <c r="V25" s="4">
        <v>-4.9277839023541348E-3</v>
      </c>
      <c r="W25" s="4">
        <v>8.3346926592829766E-3</v>
      </c>
      <c r="X25" s="4">
        <v>1.5985488810789806E-2</v>
      </c>
      <c r="Y25" s="4">
        <v>8.9391722909315258E-4</v>
      </c>
      <c r="Z25" s="4">
        <v>3.8079758685483022E-3</v>
      </c>
      <c r="AA25" s="4">
        <v>1.3688950346936715E-4</v>
      </c>
      <c r="AB25" s="4">
        <v>3.3346982197589322E-5</v>
      </c>
      <c r="AC25" s="4">
        <v>9.6773777116413018E-7</v>
      </c>
      <c r="AD25" s="4">
        <v>1.5557046713226006E-6</v>
      </c>
      <c r="AE25" s="4">
        <v>2.3174186095405698E-8</v>
      </c>
      <c r="AF25" s="4">
        <v>4.9230939620543383E-9</v>
      </c>
      <c r="AG25" s="4"/>
      <c r="AH25" s="4"/>
      <c r="AI25" s="4"/>
      <c r="AJ25" s="4"/>
      <c r="AK25" s="4"/>
      <c r="AL25" s="4"/>
      <c r="AM25" s="4"/>
      <c r="AN25" s="4"/>
      <c r="AO25" s="4"/>
      <c r="AP25" s="4"/>
      <c r="AQ25" s="4"/>
      <c r="AR25" s="4"/>
      <c r="AS25" s="4"/>
      <c r="AT25" s="4"/>
      <c r="AU25" s="4"/>
      <c r="AV25" s="4"/>
      <c r="AW25" s="4"/>
      <c r="AX25" s="4"/>
      <c r="AY25" s="4"/>
      <c r="AZ25" s="4"/>
      <c r="BA25" s="4"/>
      <c r="BB25" s="4"/>
    </row>
    <row r="26" spans="1:54" x14ac:dyDescent="0.3">
      <c r="A26" s="4">
        <v>4440</v>
      </c>
      <c r="B26" s="4"/>
      <c r="C26" s="4">
        <v>-743.99309765718556</v>
      </c>
      <c r="D26" s="4">
        <v>-0.7458903572444342</v>
      </c>
      <c r="E26" s="4">
        <v>-0.88670650971036769</v>
      </c>
      <c r="F26" s="4">
        <v>-19.714647664577253</v>
      </c>
      <c r="G26" s="4">
        <v>-5.4766750968620102</v>
      </c>
      <c r="H26" s="4">
        <v>-23.506449293711601</v>
      </c>
      <c r="I26" s="4">
        <v>-21.962502594021029</v>
      </c>
      <c r="J26" s="4">
        <v>-186.87073648154143</v>
      </c>
      <c r="K26" s="4">
        <v>-66.756851411876696</v>
      </c>
      <c r="L26" s="4">
        <v>-78.661266807468678</v>
      </c>
      <c r="M26" s="4">
        <v>-100.80189674608334</v>
      </c>
      <c r="N26" s="4">
        <v>-235.29352528559511</v>
      </c>
      <c r="O26" s="4">
        <v>-430.36043338900566</v>
      </c>
      <c r="P26" s="4">
        <v>-266.44980182885399</v>
      </c>
      <c r="Q26" s="4">
        <v>-5.1576804881034137</v>
      </c>
      <c r="R26" s="4">
        <v>-44.480946923207625</v>
      </c>
      <c r="S26" s="4">
        <v>-3.0052059629999706</v>
      </c>
      <c r="T26" s="4">
        <v>1.8052773189116731</v>
      </c>
      <c r="U26" s="4">
        <v>0.29746221961016678</v>
      </c>
      <c r="V26" s="4">
        <v>-7.7077676226735819E-3</v>
      </c>
      <c r="W26" s="4">
        <v>1.3623596196468503E-2</v>
      </c>
      <c r="X26" s="4">
        <v>2.7312922650612626E-2</v>
      </c>
      <c r="Y26" s="4">
        <v>1.5969668384741061E-3</v>
      </c>
      <c r="Z26" s="4">
        <v>7.1148669377012561E-3</v>
      </c>
      <c r="AA26" s="4">
        <v>2.6756903686491243E-4</v>
      </c>
      <c r="AB26" s="4">
        <v>6.8208096699430806E-5</v>
      </c>
      <c r="AC26" s="4">
        <v>2.071919312427997E-6</v>
      </c>
      <c r="AD26" s="4">
        <v>3.4873990376770339E-6</v>
      </c>
      <c r="AE26" s="4">
        <v>5.4408087047319685E-8</v>
      </c>
      <c r="AF26" s="4">
        <v>1.2109000217655936E-8</v>
      </c>
      <c r="AG26" s="4"/>
      <c r="AH26" s="4"/>
      <c r="AI26" s="4"/>
      <c r="AJ26" s="4"/>
      <c r="AK26" s="4"/>
      <c r="AL26" s="4"/>
      <c r="AM26" s="4"/>
      <c r="AN26" s="4"/>
      <c r="AO26" s="4"/>
      <c r="AP26" s="4"/>
      <c r="AQ26" s="4"/>
      <c r="AR26" s="4"/>
      <c r="AS26" s="4"/>
      <c r="AT26" s="4"/>
      <c r="AU26" s="4"/>
      <c r="AV26" s="4"/>
      <c r="AW26" s="4"/>
      <c r="AX26" s="4"/>
      <c r="AY26" s="4"/>
      <c r="AZ26" s="4"/>
      <c r="BA26" s="4"/>
      <c r="BB26" s="4"/>
    </row>
    <row r="27" spans="1:54" x14ac:dyDescent="0.3">
      <c r="A27" s="4">
        <v>4430</v>
      </c>
      <c r="B27" s="4"/>
      <c r="C27" s="4">
        <v>-805.3935608474992</v>
      </c>
      <c r="D27" s="4">
        <v>-0.54121065539025992</v>
      </c>
      <c r="E27" s="4">
        <v>-0.66954469047667198</v>
      </c>
      <c r="F27" s="4">
        <v>-15.494973357870721</v>
      </c>
      <c r="G27" s="4">
        <v>-4.4814212236011945</v>
      </c>
      <c r="H27" s="4">
        <v>-20.029894967535199</v>
      </c>
      <c r="I27" s="4">
        <v>-19.492307117113455</v>
      </c>
      <c r="J27" s="4">
        <v>-172.78677635605197</v>
      </c>
      <c r="K27" s="4">
        <v>-64.320873269997506</v>
      </c>
      <c r="L27" s="4">
        <v>-78.995820203311894</v>
      </c>
      <c r="M27" s="4">
        <v>-105.53592137406667</v>
      </c>
      <c r="N27" s="4">
        <v>-256.88129895701218</v>
      </c>
      <c r="O27" s="4">
        <v>-490.06017501509871</v>
      </c>
      <c r="P27" s="4">
        <v>-316.54239152506199</v>
      </c>
      <c r="Q27" s="4">
        <v>-6.3940549508457938</v>
      </c>
      <c r="R27" s="4">
        <v>-57.558396206669428</v>
      </c>
      <c r="S27" s="4">
        <v>-4.0600385992701664</v>
      </c>
      <c r="T27" s="4">
        <v>2.5470115209100297</v>
      </c>
      <c r="U27" s="4">
        <v>0.43839032323919597</v>
      </c>
      <c r="V27" s="4">
        <v>-1.1868950983367457E-2</v>
      </c>
      <c r="W27" s="4">
        <v>2.1925213135656828E-2</v>
      </c>
      <c r="X27" s="4">
        <v>4.5951923965846617E-2</v>
      </c>
      <c r="Y27" s="4">
        <v>2.8095153129550649E-3</v>
      </c>
      <c r="Z27" s="4">
        <v>1.3092428243762912E-2</v>
      </c>
      <c r="AA27" s="4">
        <v>5.1514153319249731E-4</v>
      </c>
      <c r="AB27" s="4">
        <v>1.3743102268923968E-4</v>
      </c>
      <c r="AC27" s="4">
        <v>4.3702085708155755E-6</v>
      </c>
      <c r="AD27" s="4">
        <v>7.7025639844981904E-6</v>
      </c>
      <c r="AE27" s="4">
        <v>1.2587135088842112E-7</v>
      </c>
      <c r="AF27" s="4">
        <v>2.9351377717284523E-8</v>
      </c>
      <c r="AG27" s="4"/>
      <c r="AH27" s="4"/>
      <c r="AI27" s="4"/>
      <c r="AJ27" s="4"/>
      <c r="AK27" s="4"/>
      <c r="AL27" s="4"/>
      <c r="AM27" s="4"/>
      <c r="AN27" s="4"/>
      <c r="AO27" s="4"/>
      <c r="AP27" s="4"/>
      <c r="AQ27" s="4"/>
      <c r="AR27" s="4"/>
      <c r="AS27" s="4"/>
      <c r="AT27" s="4"/>
      <c r="AU27" s="4"/>
      <c r="AV27" s="4"/>
      <c r="AW27" s="4"/>
      <c r="AX27" s="4"/>
      <c r="AY27" s="4"/>
      <c r="AZ27" s="4"/>
      <c r="BA27" s="4"/>
      <c r="BB27" s="4"/>
    </row>
    <row r="28" spans="1:54" x14ac:dyDescent="0.3">
      <c r="A28" s="4">
        <v>4420</v>
      </c>
      <c r="B28" s="4"/>
      <c r="C28" s="4">
        <v>-865.95312205719836</v>
      </c>
      <c r="D28" s="4">
        <v>-0.38590363589932708</v>
      </c>
      <c r="E28" s="4">
        <v>-0.49686630397555465</v>
      </c>
      <c r="F28" s="4">
        <v>-11.969948334667839</v>
      </c>
      <c r="G28" s="4">
        <v>-3.6045721697737405</v>
      </c>
      <c r="H28" s="4">
        <v>-16.77834955959878</v>
      </c>
      <c r="I28" s="4">
        <v>-17.008404238003703</v>
      </c>
      <c r="J28" s="4">
        <v>-157.08648056005157</v>
      </c>
      <c r="K28" s="4">
        <v>-60.940714823057597</v>
      </c>
      <c r="L28" s="4">
        <v>-78.016679611285298</v>
      </c>
      <c r="M28" s="4">
        <v>-108.67082386261092</v>
      </c>
      <c r="N28" s="4">
        <v>-275.85265080381095</v>
      </c>
      <c r="O28" s="4">
        <v>-548.94646160057096</v>
      </c>
      <c r="P28" s="4">
        <v>-369.95886814558514</v>
      </c>
      <c r="Q28" s="4">
        <v>-7.7991127612693143</v>
      </c>
      <c r="R28" s="4">
        <v>-73.287905965426091</v>
      </c>
      <c r="S28" s="4">
        <v>-5.3978070881640532</v>
      </c>
      <c r="T28" s="4">
        <v>3.536647091106198</v>
      </c>
      <c r="U28" s="4">
        <v>0.63592623740531495</v>
      </c>
      <c r="V28" s="4">
        <v>-1.7991018926634419E-2</v>
      </c>
      <c r="W28" s="4">
        <v>3.4737527539842994E-2</v>
      </c>
      <c r="X28" s="4">
        <v>7.6117728912537694E-2</v>
      </c>
      <c r="Y28" s="4">
        <v>4.8669551975527017E-3</v>
      </c>
      <c r="Z28" s="4">
        <v>2.3725106465589986E-2</v>
      </c>
      <c r="AA28" s="4">
        <v>9.7677874979375137E-4</v>
      </c>
      <c r="AB28" s="4">
        <v>2.7274525418989962E-4</v>
      </c>
      <c r="AC28" s="4">
        <v>9.0802957714210094E-6</v>
      </c>
      <c r="AD28" s="4">
        <v>1.6760335124492222E-5</v>
      </c>
      <c r="AE28" s="4">
        <v>2.8691254181249457E-7</v>
      </c>
      <c r="AF28" s="4">
        <v>7.0105755989429195E-8</v>
      </c>
      <c r="AG28" s="4"/>
      <c r="AH28" s="4"/>
      <c r="AI28" s="4"/>
      <c r="AJ28" s="4"/>
      <c r="AK28" s="4"/>
      <c r="AL28" s="4"/>
      <c r="AM28" s="4"/>
      <c r="AN28" s="4"/>
      <c r="AO28" s="4"/>
      <c r="AP28" s="4"/>
      <c r="AQ28" s="4"/>
      <c r="AR28" s="4"/>
      <c r="AS28" s="4"/>
      <c r="AT28" s="4"/>
      <c r="AU28" s="4"/>
      <c r="AV28" s="4"/>
      <c r="AW28" s="4"/>
      <c r="AX28" s="4"/>
      <c r="AY28" s="4"/>
      <c r="AZ28" s="4"/>
      <c r="BA28" s="4"/>
      <c r="BB28" s="4"/>
    </row>
    <row r="29" spans="1:54" x14ac:dyDescent="0.3">
      <c r="A29" s="4">
        <v>4410</v>
      </c>
      <c r="B29" s="4"/>
      <c r="C29" s="4">
        <v>-923.86445192397014</v>
      </c>
      <c r="D29" s="4">
        <v>-0.27037204436076107</v>
      </c>
      <c r="E29" s="4">
        <v>-0.36233408845563386</v>
      </c>
      <c r="F29" s="4">
        <v>-9.0874680619484103</v>
      </c>
      <c r="G29" s="4">
        <v>-2.849578227746381</v>
      </c>
      <c r="H29" s="4">
        <v>-13.814928529155457</v>
      </c>
      <c r="I29" s="4">
        <v>-14.589247396387826</v>
      </c>
      <c r="J29" s="4">
        <v>-140.40303432419731</v>
      </c>
      <c r="K29" s="4">
        <v>-56.769247577095705</v>
      </c>
      <c r="L29" s="4">
        <v>-75.763778875855408</v>
      </c>
      <c r="M29" s="4">
        <v>-110.04175067199091</v>
      </c>
      <c r="N29" s="4">
        <v>-291.33657367418442</v>
      </c>
      <c r="O29" s="4">
        <v>-604.81878846731058</v>
      </c>
      <c r="P29" s="4">
        <v>-425.33534973244889</v>
      </c>
      <c r="Q29" s="4">
        <v>-9.3586351826784124</v>
      </c>
      <c r="R29" s="4">
        <v>-91.811414397513602</v>
      </c>
      <c r="S29" s="4">
        <v>-7.0613508799198872</v>
      </c>
      <c r="T29" s="4">
        <v>4.8325741480243032</v>
      </c>
      <c r="U29" s="4">
        <v>0.90786550344656214</v>
      </c>
      <c r="V29" s="4">
        <v>-2.6841787078449295E-2</v>
      </c>
      <c r="W29" s="4">
        <v>5.4176349895738614E-2</v>
      </c>
      <c r="X29" s="4">
        <v>0.12412734813676944</v>
      </c>
      <c r="Y29" s="4">
        <v>8.300932197779342E-3</v>
      </c>
      <c r="Z29" s="4">
        <v>4.2333484696068568E-2</v>
      </c>
      <c r="AA29" s="4">
        <v>1.8238885625243598E-3</v>
      </c>
      <c r="AB29" s="4">
        <v>5.3309786198576516E-4</v>
      </c>
      <c r="AC29" s="4">
        <v>1.8583190147454261E-5</v>
      </c>
      <c r="AD29" s="4">
        <v>3.59250961553015E-5</v>
      </c>
      <c r="AE29" s="4">
        <v>6.4429643371362494E-7</v>
      </c>
      <c r="AF29" s="4">
        <v>1.6498269844918094E-7</v>
      </c>
      <c r="AG29" s="4"/>
      <c r="AH29" s="4"/>
      <c r="AI29" s="4"/>
      <c r="AJ29" s="4"/>
      <c r="AK29" s="4"/>
      <c r="AL29" s="4"/>
      <c r="AM29" s="4"/>
      <c r="AN29" s="4"/>
      <c r="AO29" s="4"/>
      <c r="AP29" s="4"/>
      <c r="AQ29" s="4"/>
      <c r="AR29" s="4"/>
      <c r="AS29" s="4"/>
      <c r="AT29" s="4"/>
      <c r="AU29" s="4"/>
      <c r="AV29" s="4"/>
      <c r="AW29" s="4"/>
      <c r="AX29" s="4"/>
      <c r="AY29" s="4"/>
      <c r="AZ29" s="4"/>
      <c r="BA29" s="4"/>
      <c r="BB29" s="4"/>
    </row>
    <row r="30" spans="1:54" x14ac:dyDescent="0.3">
      <c r="A30" s="4">
        <v>4400</v>
      </c>
      <c r="B30" s="4"/>
      <c r="C30" s="4">
        <v>-977.13409783967529</v>
      </c>
      <c r="D30" s="4">
        <v>-0.18610749224182688</v>
      </c>
      <c r="E30" s="4">
        <v>-0.25961959736653362</v>
      </c>
      <c r="F30" s="4">
        <v>-6.7794089426293409</v>
      </c>
      <c r="G30" s="4">
        <v>-2.2138370731912924</v>
      </c>
      <c r="H30" s="4">
        <v>-11.179602944763467</v>
      </c>
      <c r="I30" s="4">
        <v>-12.300446649589594</v>
      </c>
      <c r="J30" s="4">
        <v>-123.35973126187575</v>
      </c>
      <c r="K30" s="4">
        <v>-51.989873278753862</v>
      </c>
      <c r="L30" s="4">
        <v>-72.339722440872535</v>
      </c>
      <c r="M30" s="4">
        <v>-109.56814702409913</v>
      </c>
      <c r="N30" s="4">
        <v>-302.57750169618606</v>
      </c>
      <c r="O30" s="4">
        <v>-655.36924191885112</v>
      </c>
      <c r="P30" s="4">
        <v>-480.96887295548618</v>
      </c>
      <c r="Q30" s="4">
        <v>-11.046621986992564</v>
      </c>
      <c r="R30" s="4">
        <v>-113.14963163896331</v>
      </c>
      <c r="S30" s="4">
        <v>-9.0885169008152626</v>
      </c>
      <c r="T30" s="4">
        <v>6.4974517669777052</v>
      </c>
      <c r="U30" s="4">
        <v>1.2754317335086049</v>
      </c>
      <c r="V30" s="4">
        <v>-3.9412272748982694E-2</v>
      </c>
      <c r="W30" s="4">
        <v>8.3162718340219807E-2</v>
      </c>
      <c r="X30" s="4">
        <v>0.19925131909703933</v>
      </c>
      <c r="Y30" s="4">
        <v>1.3937750882829971E-2</v>
      </c>
      <c r="Z30" s="4">
        <v>7.4370498165237414E-2</v>
      </c>
      <c r="AA30" s="4">
        <v>3.3534049497483463E-3</v>
      </c>
      <c r="AB30" s="4">
        <v>1.026094453634619E-3</v>
      </c>
      <c r="AC30" s="4">
        <v>3.7455581480464053E-5</v>
      </c>
      <c r="AD30" s="4">
        <v>7.5846369259855798E-5</v>
      </c>
      <c r="AE30" s="4">
        <v>1.4252447250593421E-6</v>
      </c>
      <c r="AF30" s="4">
        <v>3.8250475905094834E-7</v>
      </c>
      <c r="AG30" s="4"/>
      <c r="AH30" s="4"/>
      <c r="AI30" s="4"/>
      <c r="AJ30" s="4"/>
      <c r="AK30" s="4"/>
      <c r="AL30" s="4"/>
      <c r="AM30" s="4"/>
      <c r="AN30" s="4"/>
      <c r="AO30" s="4"/>
      <c r="AP30" s="4"/>
      <c r="AQ30" s="4"/>
      <c r="AR30" s="4"/>
      <c r="AS30" s="4"/>
      <c r="AT30" s="4"/>
      <c r="AU30" s="4"/>
      <c r="AV30" s="4"/>
      <c r="AW30" s="4"/>
      <c r="AX30" s="4"/>
      <c r="AY30" s="4"/>
      <c r="AZ30" s="4"/>
      <c r="BA30" s="4"/>
      <c r="BB30" s="4"/>
    </row>
    <row r="31" spans="1:54" x14ac:dyDescent="0.3">
      <c r="A31" s="4">
        <v>4390</v>
      </c>
      <c r="B31" s="4"/>
      <c r="C31" s="4">
        <v>-1023.6809716720679</v>
      </c>
      <c r="D31" s="4">
        <v>-0.12584426753739719</v>
      </c>
      <c r="E31" s="4">
        <v>-0.18275653175814149</v>
      </c>
      <c r="F31" s="4">
        <v>-4.9692150206498304</v>
      </c>
      <c r="G31" s="4">
        <v>-1.6900433061896276</v>
      </c>
      <c r="H31" s="4">
        <v>-8.8906092602638953</v>
      </c>
      <c r="I31" s="4">
        <v>-10.192408130414982</v>
      </c>
      <c r="J31" s="4">
        <v>-106.53173868617313</v>
      </c>
      <c r="K31" s="4">
        <v>-46.803036978194058</v>
      </c>
      <c r="L31" s="4">
        <v>-67.902053487457579</v>
      </c>
      <c r="M31" s="4">
        <v>-107.26139485880297</v>
      </c>
      <c r="N31" s="4">
        <v>-308.99555090569305</v>
      </c>
      <c r="O31" s="4">
        <v>-698.33324023394221</v>
      </c>
      <c r="P31" s="4">
        <v>-534.88508909795712</v>
      </c>
      <c r="Q31" s="4">
        <v>-12.824690357248659</v>
      </c>
      <c r="R31" s="4">
        <v>-137.16795684304753</v>
      </c>
      <c r="S31" s="4">
        <v>-11.507585008534816</v>
      </c>
      <c r="T31" s="4">
        <v>8.5948180316075096</v>
      </c>
      <c r="U31" s="4">
        <v>1.763053126667012</v>
      </c>
      <c r="V31" s="4">
        <v>-5.6946581647925057E-2</v>
      </c>
      <c r="W31" s="4">
        <v>0.12563413400012785</v>
      </c>
      <c r="X31" s="4">
        <v>0.31480320588607269</v>
      </c>
      <c r="Y31" s="4">
        <v>2.3036006059174052E-2</v>
      </c>
      <c r="Z31" s="4">
        <v>0.12862065854744603</v>
      </c>
      <c r="AA31" s="4">
        <v>6.0703265483089963E-3</v>
      </c>
      <c r="AB31" s="4">
        <v>1.9446943556258825E-3</v>
      </c>
      <c r="AC31" s="4">
        <v>7.4343323680030644E-5</v>
      </c>
      <c r="AD31" s="4">
        <v>1.5770542595548734E-4</v>
      </c>
      <c r="AE31" s="4">
        <v>3.105376437921036E-6</v>
      </c>
      <c r="AF31" s="4">
        <v>8.735802038377273E-7</v>
      </c>
      <c r="AG31" s="4"/>
      <c r="AH31" s="4"/>
      <c r="AI31" s="4"/>
      <c r="AJ31" s="4"/>
      <c r="AK31" s="4"/>
      <c r="AL31" s="4"/>
      <c r="AM31" s="4"/>
      <c r="AN31" s="4"/>
      <c r="AO31" s="4"/>
      <c r="AP31" s="4"/>
      <c r="AQ31" s="4"/>
      <c r="AR31" s="4"/>
      <c r="AS31" s="4"/>
      <c r="AT31" s="4"/>
      <c r="AU31" s="4"/>
      <c r="AV31" s="4"/>
      <c r="AW31" s="4"/>
      <c r="AX31" s="4"/>
      <c r="AY31" s="4"/>
      <c r="AZ31" s="4"/>
      <c r="BA31" s="4"/>
      <c r="BB31" s="4"/>
    </row>
    <row r="32" spans="1:54" x14ac:dyDescent="0.3">
      <c r="A32" s="4">
        <v>4380</v>
      </c>
      <c r="B32" s="4"/>
      <c r="C32" s="4">
        <v>-1061.4551234646158</v>
      </c>
      <c r="D32" s="4">
        <v>-8.3583094497823418E-2</v>
      </c>
      <c r="E32" s="4">
        <v>-0.12637570830658482</v>
      </c>
      <c r="F32" s="4">
        <v>-3.5783189878192401</v>
      </c>
      <c r="G32" s="4">
        <v>-1.2676097819016108</v>
      </c>
      <c r="H32" s="4">
        <v>-6.9472467569751961</v>
      </c>
      <c r="I32" s="4">
        <v>-8.299453487056109</v>
      </c>
      <c r="J32" s="4">
        <v>-90.415380799507091</v>
      </c>
      <c r="K32" s="4">
        <v>-41.412187623083057</v>
      </c>
      <c r="L32" s="4">
        <v>-62.651176963309638</v>
      </c>
      <c r="M32" s="4">
        <v>-103.22489390673771</v>
      </c>
      <c r="N32" s="4">
        <v>-310.23555076116969</v>
      </c>
      <c r="O32" s="4">
        <v>-731.65310234573849</v>
      </c>
      <c r="P32" s="4">
        <v>-584.94118099031323</v>
      </c>
      <c r="Q32" s="4">
        <v>-14.642494018624449</v>
      </c>
      <c r="R32" s="4">
        <v>-163.54821160040973</v>
      </c>
      <c r="S32" s="4">
        <v>-14.332173314710213</v>
      </c>
      <c r="T32" s="4">
        <v>11.184339211704582</v>
      </c>
      <c r="U32" s="4">
        <v>2.3977129729821351</v>
      </c>
      <c r="V32" s="4">
        <v>-8.0960149617214192E-2</v>
      </c>
      <c r="W32" s="4">
        <v>0.18676616363806639</v>
      </c>
      <c r="X32" s="4">
        <v>0.48947784314642867</v>
      </c>
      <c r="Y32" s="4">
        <v>3.7473328020262445E-2</v>
      </c>
      <c r="Z32" s="4">
        <v>0.21896075267432047</v>
      </c>
      <c r="AA32" s="4">
        <v>1.0817547429435227E-2</v>
      </c>
      <c r="AB32" s="4">
        <v>3.6287039416142749E-3</v>
      </c>
      <c r="AC32" s="4">
        <v>1.4529454933124813E-4</v>
      </c>
      <c r="AD32" s="4">
        <v>3.2291366958634587E-4</v>
      </c>
      <c r="AE32" s="4">
        <v>6.6636678712212792E-6</v>
      </c>
      <c r="AF32" s="4">
        <v>1.9651224599917742E-6</v>
      </c>
      <c r="AG32" s="4"/>
      <c r="AH32" s="4"/>
      <c r="AI32" s="4"/>
      <c r="AJ32" s="4"/>
      <c r="AK32" s="4"/>
      <c r="AL32" s="4"/>
      <c r="AM32" s="4"/>
      <c r="AN32" s="4"/>
      <c r="AO32" s="4"/>
      <c r="AP32" s="4"/>
      <c r="AQ32" s="4"/>
      <c r="AR32" s="4"/>
      <c r="AS32" s="4"/>
      <c r="AT32" s="4"/>
      <c r="AU32" s="4"/>
      <c r="AV32" s="4"/>
      <c r="AW32" s="4"/>
      <c r="AX32" s="4"/>
      <c r="AY32" s="4"/>
      <c r="AZ32" s="4"/>
      <c r="BA32" s="4"/>
      <c r="BB32" s="4"/>
    </row>
    <row r="33" spans="1:54" x14ac:dyDescent="0.3">
      <c r="A33" s="4">
        <v>4370</v>
      </c>
      <c r="B33" s="4"/>
      <c r="C33" s="4">
        <v>-1088.5675308378172</v>
      </c>
      <c r="D33" s="4">
        <v>-5.452132096760065E-2</v>
      </c>
      <c r="E33" s="4">
        <v>-8.5833579801646048E-2</v>
      </c>
      <c r="F33" s="4">
        <v>-2.5311243069978766</v>
      </c>
      <c r="G33" s="4">
        <v>-0.93402163827381823</v>
      </c>
      <c r="H33" s="4">
        <v>-5.3335725094985431</v>
      </c>
      <c r="I33" s="4">
        <v>-6.6402947565786521</v>
      </c>
      <c r="J33" s="4">
        <v>-75.407042945009437</v>
      </c>
      <c r="K33" s="4">
        <v>-36.010566692615782</v>
      </c>
      <c r="L33" s="4">
        <v>-56.815232274668375</v>
      </c>
      <c r="M33" s="4">
        <v>-97.6464577330851</v>
      </c>
      <c r="N33" s="4">
        <v>-306.19916147824432</v>
      </c>
      <c r="O33" s="4">
        <v>-753.63856118506999</v>
      </c>
      <c r="P33" s="4">
        <v>-628.95826557721432</v>
      </c>
      <c r="Q33" s="4">
        <v>-16.439322973442096</v>
      </c>
      <c r="R33" s="4">
        <v>-191.77088090802519</v>
      </c>
      <c r="S33" s="4">
        <v>-17.556054657288303</v>
      </c>
      <c r="T33" s="4">
        <v>14.315763699044634</v>
      </c>
      <c r="U33" s="4">
        <v>3.2077707550909103</v>
      </c>
      <c r="V33" s="4">
        <v>-0.11323829749932719</v>
      </c>
      <c r="W33" s="4">
        <v>0.27318160060535235</v>
      </c>
      <c r="X33" s="4">
        <v>0.74891789457907754</v>
      </c>
      <c r="Y33" s="4">
        <v>5.9991465680209216E-2</v>
      </c>
      <c r="Z33" s="4">
        <v>0.36687580717444335</v>
      </c>
      <c r="AA33" s="4">
        <v>1.8975280622328811E-2</v>
      </c>
      <c r="AB33" s="4">
        <v>6.6656121696228475E-3</v>
      </c>
      <c r="AC33" s="4">
        <v>2.7957024842153419E-4</v>
      </c>
      <c r="AD33" s="4">
        <v>6.510386185966889E-4</v>
      </c>
      <c r="AE33" s="4">
        <v>1.4081194419039544E-5</v>
      </c>
      <c r="AF33" s="4">
        <v>4.3536182640258585E-6</v>
      </c>
      <c r="AG33" s="4"/>
      <c r="AH33" s="4"/>
      <c r="AI33" s="4"/>
      <c r="AJ33" s="4"/>
      <c r="AK33" s="4"/>
      <c r="AL33" s="4"/>
      <c r="AM33" s="4"/>
      <c r="AN33" s="4"/>
      <c r="AO33" s="4"/>
      <c r="AP33" s="4"/>
      <c r="AQ33" s="4"/>
      <c r="AR33" s="4"/>
      <c r="AS33" s="4"/>
      <c r="AT33" s="4"/>
      <c r="AU33" s="4"/>
      <c r="AV33" s="4"/>
      <c r="AW33" s="4"/>
      <c r="AX33" s="4"/>
      <c r="AY33" s="4"/>
      <c r="AZ33" s="4"/>
      <c r="BA33" s="4"/>
      <c r="BB33" s="4"/>
    </row>
    <row r="34" spans="1:54" x14ac:dyDescent="0.3">
      <c r="A34" s="4">
        <v>4360</v>
      </c>
      <c r="B34" s="4"/>
      <c r="C34" s="4">
        <v>-1103.4193425463297</v>
      </c>
      <c r="D34" s="4">
        <v>-3.4924022229643761E-2</v>
      </c>
      <c r="E34" s="4">
        <v>-5.7253363812864222E-2</v>
      </c>
      <c r="F34" s="4">
        <v>-1.7584841955337611</v>
      </c>
      <c r="G34" s="4">
        <v>-0.67601993214869349</v>
      </c>
      <c r="H34" s="4">
        <v>-4.0224971740325008</v>
      </c>
      <c r="I34" s="4">
        <v>-5.2196137605742683</v>
      </c>
      <c r="J34" s="4">
        <v>-61.792527892674642</v>
      </c>
      <c r="K34" s="4">
        <v>-30.770016975660393</v>
      </c>
      <c r="L34" s="4">
        <v>-50.633518669132478</v>
      </c>
      <c r="M34" s="4">
        <v>-90.783792020151154</v>
      </c>
      <c r="N34" s="4">
        <v>-297.05608611794753</v>
      </c>
      <c r="O34" s="4">
        <v>-763.10713779102321</v>
      </c>
      <c r="P34" s="4">
        <v>-664.8730063087387</v>
      </c>
      <c r="Q34" s="4">
        <v>-18.146923896610293</v>
      </c>
      <c r="R34" s="4">
        <v>-221.11233460479127</v>
      </c>
      <c r="S34" s="4">
        <v>-21.14845853480444</v>
      </c>
      <c r="T34" s="4">
        <v>18.021849788172688</v>
      </c>
      <c r="U34" s="4">
        <v>4.221182204412913</v>
      </c>
      <c r="V34" s="4">
        <v>-0.15580602816310535</v>
      </c>
      <c r="W34" s="4">
        <v>0.39311363251813708</v>
      </c>
      <c r="X34" s="4">
        <v>1.1274403487212767</v>
      </c>
      <c r="Y34" s="4">
        <v>9.4506119244574791E-2</v>
      </c>
      <c r="Z34" s="4">
        <v>0.60495134722625055</v>
      </c>
      <c r="AA34" s="4">
        <v>3.2759841285632557E-2</v>
      </c>
      <c r="AB34" s="4">
        <v>1.2052263386137428E-2</v>
      </c>
      <c r="AC34" s="4">
        <v>5.295644470360597E-4</v>
      </c>
      <c r="AD34" s="4">
        <v>1.2922893569461585E-3</v>
      </c>
      <c r="AE34" s="4">
        <v>2.9298480082870247E-5</v>
      </c>
      <c r="AF34" s="4">
        <v>9.4981180150313406E-6</v>
      </c>
      <c r="AG34" s="4"/>
      <c r="AH34" s="4"/>
      <c r="AI34" s="4"/>
      <c r="AJ34" s="4"/>
      <c r="AK34" s="4"/>
      <c r="AL34" s="4"/>
      <c r="AM34" s="4"/>
      <c r="AN34" s="4"/>
      <c r="AO34" s="4"/>
      <c r="AP34" s="4"/>
      <c r="AQ34" s="4"/>
      <c r="AR34" s="4"/>
      <c r="AS34" s="4"/>
      <c r="AT34" s="4"/>
      <c r="AU34" s="4"/>
      <c r="AV34" s="4"/>
      <c r="AW34" s="4"/>
      <c r="AX34" s="4"/>
      <c r="AY34" s="4"/>
      <c r="AZ34" s="4"/>
      <c r="BA34" s="4"/>
      <c r="BB34" s="4"/>
    </row>
    <row r="35" spans="1:54" x14ac:dyDescent="0.3">
      <c r="A35" s="4">
        <v>4350</v>
      </c>
      <c r="B35" s="4"/>
      <c r="C35" s="4">
        <v>-1104.8180014567286</v>
      </c>
      <c r="D35" s="4">
        <v>-2.1965379446009178E-2</v>
      </c>
      <c r="E35" s="4">
        <v>-3.7500904144204435E-2</v>
      </c>
      <c r="F35" s="4">
        <v>-1.1997783277422649</v>
      </c>
      <c r="G35" s="4">
        <v>-0.48055204988926686</v>
      </c>
      <c r="H35" s="4">
        <v>-2.9798383552510082</v>
      </c>
      <c r="I35" s="4">
        <v>-4.0304177447737821</v>
      </c>
      <c r="J35" s="4">
        <v>-49.746461996420877</v>
      </c>
      <c r="K35" s="4">
        <v>-25.832678044416205</v>
      </c>
      <c r="L35" s="4">
        <v>-44.340165636388967</v>
      </c>
      <c r="M35" s="4">
        <v>-82.944620815222521</v>
      </c>
      <c r="N35" s="4">
        <v>-283.23272669811411</v>
      </c>
      <c r="O35" s="4">
        <v>-759.48836095346428</v>
      </c>
      <c r="P35" s="4">
        <v>-690.89444791414678</v>
      </c>
      <c r="Q35" s="4">
        <v>-19.693432158458979</v>
      </c>
      <c r="R35" s="4">
        <v>-250.66055935848044</v>
      </c>
      <c r="S35" s="4">
        <v>-25.050529886763051</v>
      </c>
      <c r="T35" s="4">
        <v>22.310769447721359</v>
      </c>
      <c r="U35" s="4">
        <v>5.4631032021012507</v>
      </c>
      <c r="V35" s="4">
        <v>-0.21085998349360471</v>
      </c>
      <c r="W35" s="4">
        <v>0.55647860392897608</v>
      </c>
      <c r="X35" s="4">
        <v>1.6697891491304391</v>
      </c>
      <c r="Y35" s="4">
        <v>0.14648202793291007</v>
      </c>
      <c r="Z35" s="4">
        <v>0.98157008711315474</v>
      </c>
      <c r="AA35" s="4">
        <v>5.5659676505328312E-2</v>
      </c>
      <c r="AB35" s="4">
        <v>2.1448088377184094E-2</v>
      </c>
      <c r="AC35" s="4">
        <v>9.8738033670163873E-4</v>
      </c>
      <c r="AD35" s="4">
        <v>2.5252084883246608E-3</v>
      </c>
      <c r="AE35" s="4">
        <v>6.0018081249149051E-5</v>
      </c>
      <c r="AF35" s="4">
        <v>2.0403442861850159E-5</v>
      </c>
      <c r="AG35" s="4"/>
      <c r="AH35" s="4"/>
      <c r="AI35" s="4"/>
      <c r="AJ35" s="4"/>
      <c r="AK35" s="4"/>
      <c r="AL35" s="4"/>
      <c r="AM35" s="4"/>
      <c r="AN35" s="4"/>
      <c r="AO35" s="4"/>
      <c r="AP35" s="4"/>
      <c r="AQ35" s="4"/>
      <c r="AR35" s="4"/>
      <c r="AS35" s="4"/>
      <c r="AT35" s="4"/>
      <c r="AU35" s="4"/>
      <c r="AV35" s="4"/>
      <c r="AW35" s="4"/>
      <c r="AX35" s="4"/>
      <c r="AY35" s="4"/>
      <c r="AZ35" s="4"/>
      <c r="BA35" s="4"/>
      <c r="BB35" s="4"/>
    </row>
    <row r="36" spans="1:54" x14ac:dyDescent="0.3">
      <c r="A36" s="4">
        <v>4340</v>
      </c>
      <c r="B36" s="4"/>
      <c r="C36" s="4">
        <v>-1092.0681882524702</v>
      </c>
      <c r="D36" s="4">
        <v>-1.3563003961710424E-2</v>
      </c>
      <c r="E36" s="4">
        <v>-2.4117137579325206E-2</v>
      </c>
      <c r="F36" s="4">
        <v>-0.80379931970884988</v>
      </c>
      <c r="G36" s="4">
        <v>-0.33546441191394699</v>
      </c>
      <c r="H36" s="4">
        <v>-2.1679835621881884</v>
      </c>
      <c r="I36" s="4">
        <v>-3.0568176958527777</v>
      </c>
      <c r="J36" s="4">
        <v>-39.340321768368902</v>
      </c>
      <c r="K36" s="4">
        <v>-21.306029400099767</v>
      </c>
      <c r="L36" s="4">
        <v>-38.149606815658757</v>
      </c>
      <c r="M36" s="4">
        <v>-74.463608985195336</v>
      </c>
      <c r="N36" s="4">
        <v>-265.37927025693244</v>
      </c>
      <c r="O36" s="4">
        <v>-742.87918791949551</v>
      </c>
      <c r="P36" s="4">
        <v>-705.6499095810334</v>
      </c>
      <c r="Q36" s="4">
        <v>-21.008147754348578</v>
      </c>
      <c r="R36" s="4">
        <v>-279.35125160014923</v>
      </c>
      <c r="S36" s="4">
        <v>-29.173637118510765</v>
      </c>
      <c r="T36" s="4">
        <v>27.158721903087102</v>
      </c>
      <c r="U36" s="4">
        <v>6.9529435582663019</v>
      </c>
      <c r="V36" s="4">
        <v>-0.28065496684434593</v>
      </c>
      <c r="W36" s="4">
        <v>0.77480500216223158</v>
      </c>
      <c r="X36" s="4">
        <v>2.4326995282294064</v>
      </c>
      <c r="Y36" s="4">
        <v>0.22336390933655095</v>
      </c>
      <c r="Z36" s="4">
        <v>1.5670114567188875</v>
      </c>
      <c r="AA36" s="4">
        <v>9.3054114782814404E-2</v>
      </c>
      <c r="AB36" s="4">
        <v>3.7562188771795596E-2</v>
      </c>
      <c r="AC36" s="4">
        <v>1.8119201185161882E-3</v>
      </c>
      <c r="AD36" s="4">
        <v>4.8570270090610287E-3</v>
      </c>
      <c r="AE36" s="4">
        <v>1.2103252895699782E-4</v>
      </c>
      <c r="AF36" s="4">
        <v>4.3151889091609032E-5</v>
      </c>
      <c r="AG36" s="4"/>
      <c r="AH36" s="4"/>
      <c r="AI36" s="4"/>
      <c r="AJ36" s="4"/>
      <c r="AK36" s="4"/>
      <c r="AL36" s="4"/>
      <c r="AM36" s="4"/>
      <c r="AN36" s="4"/>
      <c r="AO36" s="4"/>
      <c r="AP36" s="4"/>
      <c r="AQ36" s="4"/>
      <c r="AR36" s="4"/>
      <c r="AS36" s="4"/>
      <c r="AT36" s="4"/>
      <c r="AU36" s="4"/>
      <c r="AV36" s="4"/>
      <c r="AW36" s="4"/>
      <c r="AX36" s="4"/>
      <c r="AY36" s="4"/>
      <c r="AZ36" s="4"/>
      <c r="BA36" s="4"/>
      <c r="BB36" s="4"/>
    </row>
    <row r="37" spans="1:54" x14ac:dyDescent="0.3">
      <c r="A37" s="4">
        <v>4330</v>
      </c>
      <c r="B37" s="4"/>
      <c r="C37" s="4">
        <v>-1065.0275986850804</v>
      </c>
      <c r="D37" s="4">
        <v>-8.2209403388665003E-3</v>
      </c>
      <c r="E37" s="4">
        <v>-1.5226460714129929E-2</v>
      </c>
      <c r="F37" s="4">
        <v>-0.52871838698826501</v>
      </c>
      <c r="G37" s="4">
        <v>-0.22994492603885489</v>
      </c>
      <c r="H37" s="4">
        <v>-1.5489309023723552</v>
      </c>
      <c r="I37" s="4">
        <v>-2.276897329763059</v>
      </c>
      <c r="J37" s="4">
        <v>-30.556944960711501</v>
      </c>
      <c r="K37" s="4">
        <v>-17.261321604190801</v>
      </c>
      <c r="L37" s="4">
        <v>-32.245090878417024</v>
      </c>
      <c r="M37" s="4">
        <v>-65.678512870878365</v>
      </c>
      <c r="N37" s="4">
        <v>-244.31873124408844</v>
      </c>
      <c r="O37" s="4">
        <v>-714.04329150964554</v>
      </c>
      <c r="P37" s="4">
        <v>-708.30365636008901</v>
      </c>
      <c r="Q37" s="4">
        <v>-22.02674346635925</v>
      </c>
      <c r="R37" s="4">
        <v>-306.02382740725875</v>
      </c>
      <c r="S37" s="4">
        <v>-33.400142619470735</v>
      </c>
      <c r="T37" s="4">
        <v>32.503679877371098</v>
      </c>
      <c r="U37" s="4">
        <v>8.7010372602275776</v>
      </c>
      <c r="V37" s="4">
        <v>-0.36734081716443012</v>
      </c>
      <c r="W37" s="4">
        <v>1.0609609159791451</v>
      </c>
      <c r="X37" s="4">
        <v>3.4859707320705202</v>
      </c>
      <c r="Y37" s="4">
        <v>0.33503931224893635</v>
      </c>
      <c r="Z37" s="4">
        <v>2.4610650513943639</v>
      </c>
      <c r="AA37" s="4">
        <v>0.1530653147387338</v>
      </c>
      <c r="AB37" s="4">
        <v>6.4730060996552943E-2</v>
      </c>
      <c r="AC37" s="4">
        <v>3.2721503865104028E-3</v>
      </c>
      <c r="AD37" s="4">
        <v>9.1945511630714336E-3</v>
      </c>
      <c r="AE37" s="4">
        <v>2.4024604298523191E-4</v>
      </c>
      <c r="AF37" s="4">
        <v>8.9841708164910579E-5</v>
      </c>
      <c r="AG37" s="4"/>
      <c r="AH37" s="4"/>
      <c r="AI37" s="4"/>
      <c r="AJ37" s="4"/>
      <c r="AK37" s="4"/>
      <c r="AL37" s="4"/>
      <c r="AM37" s="4"/>
      <c r="AN37" s="4"/>
      <c r="AO37" s="4"/>
      <c r="AP37" s="4"/>
      <c r="AQ37" s="4"/>
      <c r="AR37" s="4"/>
      <c r="AS37" s="4"/>
      <c r="AT37" s="4"/>
      <c r="AU37" s="4"/>
      <c r="AV37" s="4"/>
      <c r="AW37" s="4"/>
      <c r="AX37" s="4"/>
      <c r="AY37" s="4"/>
      <c r="AZ37" s="4"/>
      <c r="BA37" s="4"/>
      <c r="BB37" s="4"/>
    </row>
    <row r="38" spans="1:54" x14ac:dyDescent="0.3">
      <c r="A38" s="4">
        <v>4320</v>
      </c>
      <c r="B38" s="4"/>
      <c r="C38" s="4">
        <v>-1024.1209809112547</v>
      </c>
      <c r="D38" s="4">
        <v>-4.8908098807535806E-3</v>
      </c>
      <c r="E38" s="4">
        <v>-9.4364097538155549E-3</v>
      </c>
      <c r="F38" s="4">
        <v>-0.34141058129211982</v>
      </c>
      <c r="G38" s="4">
        <v>-0.15474562505500239</v>
      </c>
      <c r="H38" s="4">
        <v>-1.0865929710968394</v>
      </c>
      <c r="I38" s="4">
        <v>-1.665397809825373</v>
      </c>
      <c r="J38" s="4">
        <v>-23.30905492215107</v>
      </c>
      <c r="K38" s="4">
        <v>-13.735060807527352</v>
      </c>
      <c r="L38" s="4">
        <v>-26.771007291481691</v>
      </c>
      <c r="M38" s="4">
        <v>-56.907944088721926</v>
      </c>
      <c r="N38" s="4">
        <v>-220.98353642229046</v>
      </c>
      <c r="O38" s="4">
        <v>-674.35340763819636</v>
      </c>
      <c r="P38" s="4">
        <v>-698.63423261754133</v>
      </c>
      <c r="Q38" s="4">
        <v>-22.696389894256001</v>
      </c>
      <c r="R38" s="4">
        <v>-329.49425791960414</v>
      </c>
      <c r="S38" s="4">
        <v>-37.587058308115857</v>
      </c>
      <c r="T38" s="4">
        <v>38.241291607502014</v>
      </c>
      <c r="U38" s="4">
        <v>10.705204706967079</v>
      </c>
      <c r="V38" s="4">
        <v>-0.4727508731920565</v>
      </c>
      <c r="W38" s="4">
        <v>1.4286254879499323</v>
      </c>
      <c r="X38" s="4">
        <v>4.9126594054910644</v>
      </c>
      <c r="Y38" s="4">
        <v>0.49429028945820552</v>
      </c>
      <c r="Z38" s="4">
        <v>3.8021016850722398</v>
      </c>
      <c r="AA38" s="4">
        <v>0.24769324343666818</v>
      </c>
      <c r="AB38" s="4">
        <v>0.10974987732709574</v>
      </c>
      <c r="AC38" s="4">
        <v>5.814567177213026E-3</v>
      </c>
      <c r="AD38" s="4">
        <v>1.7128833883744175E-2</v>
      </c>
      <c r="AE38" s="4">
        <v>4.6934829408374799E-4</v>
      </c>
      <c r="AF38" s="4">
        <v>1.8411491436345797E-4</v>
      </c>
      <c r="AG38" s="4"/>
      <c r="AH38" s="4"/>
      <c r="AI38" s="4"/>
      <c r="AJ38" s="4"/>
      <c r="AK38" s="4"/>
      <c r="AL38" s="4"/>
      <c r="AM38" s="4"/>
      <c r="AN38" s="4"/>
      <c r="AO38" s="4"/>
      <c r="AP38" s="4"/>
      <c r="AQ38" s="4"/>
      <c r="AR38" s="4"/>
      <c r="AS38" s="4"/>
      <c r="AT38" s="4"/>
      <c r="AU38" s="4"/>
      <c r="AV38" s="4"/>
      <c r="AW38" s="4"/>
      <c r="AX38" s="4"/>
      <c r="AY38" s="4"/>
      <c r="AZ38" s="4"/>
      <c r="BA38" s="4"/>
      <c r="BB38" s="4"/>
    </row>
    <row r="39" spans="1:54" x14ac:dyDescent="0.3">
      <c r="A39" s="4">
        <v>4310</v>
      </c>
      <c r="B39" s="4"/>
      <c r="C39" s="4">
        <v>-970.31019234221401</v>
      </c>
      <c r="D39" s="4">
        <v>-2.8554760867559779E-3</v>
      </c>
      <c r="E39" s="4">
        <v>-5.7397662953002212E-3</v>
      </c>
      <c r="F39" s="4">
        <v>-0.21639662825694958</v>
      </c>
      <c r="G39" s="4">
        <v>-0.10222931676679259</v>
      </c>
      <c r="H39" s="4">
        <v>-0.74835226381903508</v>
      </c>
      <c r="I39" s="4">
        <v>-1.1960212824441649</v>
      </c>
      <c r="J39" s="4">
        <v>-17.459349035637043</v>
      </c>
      <c r="K39" s="4">
        <v>-10.732929696439108</v>
      </c>
      <c r="L39" s="4">
        <v>-21.829295534761421</v>
      </c>
      <c r="M39" s="4">
        <v>-48.432776761481236</v>
      </c>
      <c r="N39" s="4">
        <v>-196.34651223582028</v>
      </c>
      <c r="O39" s="4">
        <v>-625.68272218401057</v>
      </c>
      <c r="P39" s="4">
        <v>-677.06062559580687</v>
      </c>
      <c r="Q39" s="4">
        <v>-22.980240428883345</v>
      </c>
      <c r="R39" s="4">
        <v>-348.63901485882866</v>
      </c>
      <c r="S39" s="4">
        <v>-41.572713387775231</v>
      </c>
      <c r="T39" s="4">
        <v>44.223930661716828</v>
      </c>
      <c r="U39" s="4">
        <v>12.947583105452601</v>
      </c>
      <c r="V39" s="4">
        <v>-0.59815061917775858</v>
      </c>
      <c r="W39" s="4">
        <v>1.8914637397076339</v>
      </c>
      <c r="X39" s="4">
        <v>6.807944680256778</v>
      </c>
      <c r="Y39" s="4">
        <v>0.71716805296270081</v>
      </c>
      <c r="Z39" s="4">
        <v>5.7772783400818746</v>
      </c>
      <c r="AA39" s="4">
        <v>0.39427308205680583</v>
      </c>
      <c r="AB39" s="4">
        <v>0.18306049029711036</v>
      </c>
      <c r="AC39" s="4">
        <v>1.0165794463021497E-2</v>
      </c>
      <c r="AD39" s="4">
        <v>3.1398752668162853E-2</v>
      </c>
      <c r="AE39" s="4">
        <v>9.0233835043936918E-4</v>
      </c>
      <c r="AF39" s="4">
        <v>3.7134984812835247E-4</v>
      </c>
      <c r="AG39" s="4"/>
      <c r="AH39" s="4"/>
      <c r="AI39" s="4"/>
      <c r="AJ39" s="4"/>
      <c r="AK39" s="4"/>
      <c r="AL39" s="4"/>
      <c r="AM39" s="4"/>
      <c r="AN39" s="4"/>
      <c r="AO39" s="4"/>
      <c r="AP39" s="4"/>
      <c r="AQ39" s="4"/>
      <c r="AR39" s="4"/>
      <c r="AS39" s="4"/>
      <c r="AT39" s="4"/>
      <c r="AU39" s="4"/>
      <c r="AV39" s="4"/>
      <c r="AW39" s="4"/>
      <c r="AX39" s="4"/>
      <c r="AY39" s="4"/>
      <c r="AZ39" s="4"/>
      <c r="BA39" s="4"/>
      <c r="BB39" s="4"/>
    </row>
    <row r="40" spans="1:54" x14ac:dyDescent="0.3">
      <c r="A40" s="4">
        <v>4300</v>
      </c>
      <c r="B40" s="4"/>
      <c r="C40" s="4">
        <v>-905.02272297577451</v>
      </c>
      <c r="D40" s="4">
        <v>-1.6359086727717491E-3</v>
      </c>
      <c r="E40" s="4">
        <v>-3.426144949043362E-3</v>
      </c>
      <c r="F40" s="4">
        <v>-0.13461382153211271</v>
      </c>
      <c r="G40" s="4">
        <v>-6.628877020664882E-2</v>
      </c>
      <c r="H40" s="4">
        <v>-0.50593495969485902</v>
      </c>
      <c r="I40" s="4">
        <v>-0.84324055990111968</v>
      </c>
      <c r="J40" s="4">
        <v>-12.840015822440545</v>
      </c>
      <c r="K40" s="4">
        <v>-8.2353643322652115</v>
      </c>
      <c r="L40" s="4">
        <v>-17.479721424420831</v>
      </c>
      <c r="M40" s="4">
        <v>-40.482638046548928</v>
      </c>
      <c r="N40" s="4">
        <v>-171.35345178918263</v>
      </c>
      <c r="O40" s="4">
        <v>-570.25728321122676</v>
      </c>
      <c r="P40" s="4">
        <v>-644.61328977145558</v>
      </c>
      <c r="Q40" s="4">
        <v>-22.860753185674259</v>
      </c>
      <c r="R40" s="4">
        <v>-362.48224627172976</v>
      </c>
      <c r="S40" s="4">
        <v>-45.186189666680519</v>
      </c>
      <c r="T40" s="4">
        <v>50.263694105869924</v>
      </c>
      <c r="U40" s="4">
        <v>15.392173046891507</v>
      </c>
      <c r="V40" s="4">
        <v>-0.74396373342932609</v>
      </c>
      <c r="W40" s="4">
        <v>2.461990663984154</v>
      </c>
      <c r="X40" s="4">
        <v>9.2762015281741395</v>
      </c>
      <c r="Y40" s="4">
        <v>1.023200876302212</v>
      </c>
      <c r="Z40" s="4">
        <v>8.6331754290287339</v>
      </c>
      <c r="AA40" s="4">
        <v>0.61726931663851392</v>
      </c>
      <c r="AB40" s="4">
        <v>0.30034953585119584</v>
      </c>
      <c r="AC40" s="4">
        <v>1.7484551130660431E-2</v>
      </c>
      <c r="AD40" s="4">
        <v>5.6628360036428141E-2</v>
      </c>
      <c r="AE40" s="4">
        <v>1.7069808062170906E-3</v>
      </c>
      <c r="AF40" s="4">
        <v>7.3707374831523495E-4</v>
      </c>
      <c r="AG40" s="4"/>
      <c r="AH40" s="4"/>
      <c r="AI40" s="4"/>
      <c r="AJ40" s="4"/>
      <c r="AK40" s="4"/>
      <c r="AL40" s="4"/>
      <c r="AM40" s="4"/>
      <c r="AN40" s="4"/>
      <c r="AO40" s="4"/>
      <c r="AP40" s="4"/>
      <c r="AQ40" s="4"/>
      <c r="AR40" s="4"/>
      <c r="AS40" s="4"/>
      <c r="AT40" s="4"/>
      <c r="AU40" s="4"/>
      <c r="AV40" s="4"/>
      <c r="AW40" s="4"/>
      <c r="AX40" s="4"/>
      <c r="AY40" s="4"/>
      <c r="AZ40" s="4"/>
      <c r="BA40" s="4"/>
      <c r="BB40" s="4"/>
    </row>
    <row r="41" spans="1:54" x14ac:dyDescent="0.3">
      <c r="A41" s="4">
        <v>4290</v>
      </c>
      <c r="B41" s="4"/>
      <c r="C41" s="4">
        <v>-830.04556102326615</v>
      </c>
      <c r="D41" s="4">
        <v>-9.1953064989829631E-4</v>
      </c>
      <c r="E41" s="4">
        <v>-2.0067136225455241E-3</v>
      </c>
      <c r="F41" s="4">
        <v>-8.2174808678699432E-2</v>
      </c>
      <c r="G41" s="4">
        <v>-4.2184831444808918E-2</v>
      </c>
      <c r="H41" s="4">
        <v>-0.3357201074758932</v>
      </c>
      <c r="I41" s="4">
        <v>-0.58358020124705789</v>
      </c>
      <c r="J41" s="4">
        <v>-9.2700530103756513</v>
      </c>
      <c r="K41" s="4">
        <v>-6.2039658716908619</v>
      </c>
      <c r="L41" s="4">
        <v>-13.743409522188129</v>
      </c>
      <c r="M41" s="4">
        <v>-33.228200576659432</v>
      </c>
      <c r="N41" s="4">
        <v>-146.86379203097761</v>
      </c>
      <c r="O41" s="4">
        <v>-510.48573919324213</v>
      </c>
      <c r="P41" s="4">
        <v>-602.85265759828428</v>
      </c>
      <c r="Q41" s="4">
        <v>-22.341437682299073</v>
      </c>
      <c r="R41" s="4">
        <v>-370.27701574585774</v>
      </c>
      <c r="S41" s="4">
        <v>-48.258879624085203</v>
      </c>
      <c r="T41" s="4">
        <v>56.139792047659313</v>
      </c>
      <c r="U41" s="4">
        <v>17.983571030455884</v>
      </c>
      <c r="V41" s="4">
        <v>-0.90950155371793562</v>
      </c>
      <c r="W41" s="4">
        <v>3.1501499866223956</v>
      </c>
      <c r="X41" s="4">
        <v>12.425876544437035</v>
      </c>
      <c r="Y41" s="4">
        <v>1.4353245279200761</v>
      </c>
      <c r="Z41" s="4">
        <v>12.685684056076134</v>
      </c>
      <c r="AA41" s="4">
        <v>0.95037587575924154</v>
      </c>
      <c r="AB41" s="4">
        <v>0.48467414562467565</v>
      </c>
      <c r="AC41" s="4">
        <v>2.9580525147817609E-2</v>
      </c>
      <c r="AD41" s="4">
        <v>0.10047124534604489</v>
      </c>
      <c r="AE41" s="4">
        <v>3.1770376031208278E-3</v>
      </c>
      <c r="AF41" s="4">
        <v>1.4395333135400162E-3</v>
      </c>
      <c r="AG41" s="4"/>
      <c r="AH41" s="4"/>
      <c r="AI41" s="4"/>
      <c r="AJ41" s="4"/>
      <c r="AK41" s="4"/>
      <c r="AL41" s="4"/>
      <c r="AM41" s="4"/>
      <c r="AN41" s="4"/>
      <c r="AO41" s="4"/>
      <c r="AP41" s="4"/>
      <c r="AQ41" s="4"/>
      <c r="AR41" s="4"/>
      <c r="AS41" s="4"/>
      <c r="AT41" s="4"/>
      <c r="AU41" s="4"/>
      <c r="AV41" s="4"/>
      <c r="AW41" s="4"/>
      <c r="AX41" s="4"/>
      <c r="AY41" s="4"/>
      <c r="AZ41" s="4"/>
      <c r="BA41" s="4"/>
      <c r="BB41" s="4"/>
    </row>
    <row r="42" spans="1:54" x14ac:dyDescent="0.3">
      <c r="A42" s="4">
        <v>4280</v>
      </c>
      <c r="B42" s="4"/>
      <c r="C42" s="4">
        <v>-747.39488221548345</v>
      </c>
      <c r="D42" s="4">
        <v>-5.0704133170790589E-4</v>
      </c>
      <c r="E42" s="4">
        <v>-1.1531260212356354E-3</v>
      </c>
      <c r="F42" s="4">
        <v>-4.9219975430000576E-2</v>
      </c>
      <c r="G42" s="4">
        <v>-2.634319710088354E-2</v>
      </c>
      <c r="H42" s="4">
        <v>-0.21862419293377097</v>
      </c>
      <c r="I42" s="4">
        <v>-0.39639707558447718</v>
      </c>
      <c r="J42" s="4">
        <v>-6.5693525939594473</v>
      </c>
      <c r="K42" s="4">
        <v>-4.5879933796895278</v>
      </c>
      <c r="L42" s="4">
        <v>-10.608759719596421</v>
      </c>
      <c r="M42" s="4">
        <v>-26.779260212844754</v>
      </c>
      <c r="N42" s="4">
        <v>-123.60447323224975</v>
      </c>
      <c r="O42" s="4">
        <v>-448.78470194298461</v>
      </c>
      <c r="P42" s="4">
        <v>-553.74408471887205</v>
      </c>
      <c r="Q42" s="4">
        <v>-21.446789457124019</v>
      </c>
      <c r="R42" s="4">
        <v>-371.57134272647698</v>
      </c>
      <c r="S42" s="4">
        <v>-50.637156053426352</v>
      </c>
      <c r="T42" s="4">
        <v>61.610272754169735</v>
      </c>
      <c r="U42" s="4">
        <v>20.647311723716467</v>
      </c>
      <c r="V42" s="4">
        <v>-1.092729394420656</v>
      </c>
      <c r="W42" s="4">
        <v>3.9616832987534574</v>
      </c>
      <c r="X42" s="4">
        <v>16.361912087175881</v>
      </c>
      <c r="Y42" s="4">
        <v>1.9794120999985005</v>
      </c>
      <c r="Z42" s="4">
        <v>18.327412767453492</v>
      </c>
      <c r="AA42" s="4">
        <v>1.4388230450133543</v>
      </c>
      <c r="AB42" s="4">
        <v>0.76915102290416604</v>
      </c>
      <c r="AC42" s="4">
        <v>4.9220277781096229E-2</v>
      </c>
      <c r="AD42" s="4">
        <v>0.17534144476810098</v>
      </c>
      <c r="AE42" s="4">
        <v>5.8170068545322293E-3</v>
      </c>
      <c r="AF42" s="4">
        <v>2.7660804909900717E-3</v>
      </c>
      <c r="AG42" s="4"/>
      <c r="AH42" s="4"/>
      <c r="AI42" s="4"/>
      <c r="AJ42" s="4"/>
      <c r="AK42" s="4"/>
      <c r="AL42" s="4"/>
      <c r="AM42" s="4"/>
      <c r="AN42" s="4"/>
      <c r="AO42" s="4"/>
      <c r="AP42" s="4"/>
      <c r="AQ42" s="4"/>
      <c r="AR42" s="4"/>
      <c r="AS42" s="4"/>
      <c r="AT42" s="4"/>
      <c r="AU42" s="4"/>
      <c r="AV42" s="4"/>
      <c r="AW42" s="4"/>
      <c r="AX42" s="4"/>
      <c r="AY42" s="4"/>
      <c r="AZ42" s="4"/>
      <c r="BA42" s="4"/>
      <c r="BB42" s="4"/>
    </row>
    <row r="43" spans="1:54" x14ac:dyDescent="0.3">
      <c r="A43" s="4">
        <v>4270</v>
      </c>
      <c r="B43" s="4"/>
      <c r="C43" s="4">
        <v>-659.17439400873252</v>
      </c>
      <c r="D43" s="4">
        <v>-2.7424164251739101E-4</v>
      </c>
      <c r="E43" s="4">
        <v>-6.5001433865797479E-4</v>
      </c>
      <c r="F43" s="4">
        <v>-2.8922844729684476E-2</v>
      </c>
      <c r="G43" s="4">
        <v>-1.6140609422154128E-2</v>
      </c>
      <c r="H43" s="4">
        <v>-0.13970146566677649</v>
      </c>
      <c r="I43" s="4">
        <v>-0.2642317735663916</v>
      </c>
      <c r="J43" s="4">
        <v>-4.5691003641668377</v>
      </c>
      <c r="K43" s="4">
        <v>-3.3303297846623856</v>
      </c>
      <c r="L43" s="4">
        <v>-8.0387655541596512</v>
      </c>
      <c r="M43" s="4">
        <v>-21.187940514334958</v>
      </c>
      <c r="N43" s="4">
        <v>-102.14005746704984</v>
      </c>
      <c r="O43" s="4">
        <v>-387.41749267021555</v>
      </c>
      <c r="P43" s="4">
        <v>-499.50324960747309</v>
      </c>
      <c r="Q43" s="4">
        <v>-20.22039153295113</v>
      </c>
      <c r="R43" s="4">
        <v>-366.25101106821745</v>
      </c>
      <c r="S43" s="4">
        <v>-52.194875546963864</v>
      </c>
      <c r="T43" s="4">
        <v>66.427444240432052</v>
      </c>
      <c r="U43" s="4">
        <v>23.292120867367455</v>
      </c>
      <c r="V43" s="4">
        <v>-1.2901074379405491</v>
      </c>
      <c r="W43" s="4">
        <v>4.896421067377001</v>
      </c>
      <c r="X43" s="4">
        <v>21.175722772486015</v>
      </c>
      <c r="Y43" s="4">
        <v>2.6832829498584774</v>
      </c>
      <c r="Z43" s="4">
        <v>26.030338849037367</v>
      </c>
      <c r="AA43" s="4">
        <v>2.1416983397242984</v>
      </c>
      <c r="AB43" s="4">
        <v>1.2002180664989881</v>
      </c>
      <c r="AC43" s="4">
        <v>8.0541023121150093E-2</v>
      </c>
      <c r="AD43" s="4">
        <v>0.30096133814942877</v>
      </c>
      <c r="AE43" s="4">
        <v>1.0476322633759845E-2</v>
      </c>
      <c r="AF43" s="4">
        <v>5.2286433498272278E-3</v>
      </c>
      <c r="AG43" s="4"/>
      <c r="AH43" s="4"/>
      <c r="AI43" s="4"/>
      <c r="AJ43" s="4"/>
      <c r="AK43" s="4"/>
      <c r="AL43" s="4"/>
      <c r="AM43" s="4"/>
      <c r="AN43" s="4"/>
      <c r="AO43" s="4"/>
      <c r="AP43" s="4"/>
      <c r="AQ43" s="4"/>
      <c r="AR43" s="4"/>
      <c r="AS43" s="4"/>
      <c r="AT43" s="4"/>
      <c r="AU43" s="4"/>
      <c r="AV43" s="4"/>
      <c r="AW43" s="4"/>
      <c r="AX43" s="4"/>
      <c r="AY43" s="4"/>
      <c r="AZ43" s="4"/>
      <c r="BA43" s="4"/>
      <c r="BB43" s="4"/>
    </row>
    <row r="44" spans="1:54" x14ac:dyDescent="0.3">
      <c r="A44" s="4">
        <v>4260</v>
      </c>
      <c r="B44" s="4"/>
      <c r="C44" s="4">
        <v>-567.43601394311077</v>
      </c>
      <c r="D44" s="4">
        <v>-1.4547177162070891E-4</v>
      </c>
      <c r="E44" s="4">
        <v>-3.5939041483708066E-4</v>
      </c>
      <c r="F44" s="4">
        <v>-1.6671717314343207E-2</v>
      </c>
      <c r="G44" s="4">
        <v>-9.701829847959002E-3</v>
      </c>
      <c r="H44" s="4">
        <v>-8.7584806967253986E-2</v>
      </c>
      <c r="I44" s="4">
        <v>-0.17282546666511878</v>
      </c>
      <c r="J44" s="4">
        <v>-3.118531902465937</v>
      </c>
      <c r="K44" s="4">
        <v>-2.372501942350143</v>
      </c>
      <c r="L44" s="4">
        <v>-5.9787823141257315</v>
      </c>
      <c r="M44" s="4">
        <v>-16.455896294604198</v>
      </c>
      <c r="N44" s="4">
        <v>-82.859991173953233</v>
      </c>
      <c r="O44" s="4">
        <v>-328.36116130747018</v>
      </c>
      <c r="P44" s="4">
        <v>-442.42908167039599</v>
      </c>
      <c r="Q44" s="4">
        <v>-18.721385081292929</v>
      </c>
      <c r="R44" s="4">
        <v>-354.55357604640801</v>
      </c>
      <c r="S44" s="4">
        <v>-52.844328280702804</v>
      </c>
      <c r="T44" s="4">
        <v>70.355769277498027</v>
      </c>
      <c r="U44" s="4">
        <v>25.814183405359447</v>
      </c>
      <c r="V44" s="4">
        <v>-1.4965434035379643</v>
      </c>
      <c r="W44" s="4">
        <v>5.9466800281801007</v>
      </c>
      <c r="X44" s="4">
        <v>26.933087745117462</v>
      </c>
      <c r="Y44" s="4">
        <v>3.5750953224787145</v>
      </c>
      <c r="Z44" s="4">
        <v>36.340999048937562</v>
      </c>
      <c r="AA44" s="4">
        <v>3.1339737992710934</v>
      </c>
      <c r="AB44" s="4">
        <v>1.841377805315475</v>
      </c>
      <c r="AC44" s="4">
        <v>0.12959038744143772</v>
      </c>
      <c r="AD44" s="4">
        <v>0.50800508672718647</v>
      </c>
      <c r="AE44" s="4">
        <v>1.8556597216657759E-2</v>
      </c>
      <c r="AF44" s="4">
        <v>9.7217105231604956E-3</v>
      </c>
      <c r="AG44" s="4"/>
      <c r="AH44" s="4"/>
      <c r="AI44" s="4"/>
      <c r="AJ44" s="4"/>
      <c r="AK44" s="4"/>
      <c r="AL44" s="4"/>
      <c r="AM44" s="4"/>
      <c r="AN44" s="4"/>
      <c r="AO44" s="4"/>
      <c r="AP44" s="4"/>
      <c r="AQ44" s="4"/>
      <c r="AR44" s="4"/>
      <c r="AS44" s="4"/>
      <c r="AT44" s="4"/>
      <c r="AU44" s="4"/>
      <c r="AV44" s="4"/>
      <c r="AW44" s="4"/>
      <c r="AX44" s="4"/>
      <c r="AY44" s="4"/>
      <c r="AZ44" s="4"/>
      <c r="BA44" s="4"/>
      <c r="BB44" s="4"/>
    </row>
    <row r="45" spans="1:54" x14ac:dyDescent="0.3">
      <c r="A45" s="4">
        <v>4250</v>
      </c>
      <c r="B45" s="4"/>
      <c r="C45" s="4">
        <v>-474.05586649746397</v>
      </c>
      <c r="D45" s="4">
        <v>-7.5669567462426099E-5</v>
      </c>
      <c r="E45" s="4">
        <v>-1.9487204348303387E-4</v>
      </c>
      <c r="F45" s="4">
        <v>-9.4254413176539792E-3</v>
      </c>
      <c r="G45" s="4">
        <v>-5.720212509141202E-3</v>
      </c>
      <c r="H45" s="4">
        <v>-5.386719615467616E-2</v>
      </c>
      <c r="I45" s="4">
        <v>-0.11090252821896329</v>
      </c>
      <c r="J45" s="4">
        <v>-2.0884504007486986</v>
      </c>
      <c r="K45" s="4">
        <v>-1.6585329561228956</v>
      </c>
      <c r="L45" s="4">
        <v>-4.3639349784825168</v>
      </c>
      <c r="M45" s="4">
        <v>-12.544134320324467</v>
      </c>
      <c r="N45" s="4">
        <v>-65.981848862071615</v>
      </c>
      <c r="O45" s="4">
        <v>-273.21205769377673</v>
      </c>
      <c r="P45" s="4">
        <v>-384.74191499686412</v>
      </c>
      <c r="Q45" s="4">
        <v>-17.019707990919443</v>
      </c>
      <c r="R45" s="4">
        <v>-337.05137805999374</v>
      </c>
      <c r="S45" s="4">
        <v>-52.54432878408349</v>
      </c>
      <c r="T45" s="4">
        <v>73.190524640370583</v>
      </c>
      <c r="U45" s="4">
        <v>28.103280050872318</v>
      </c>
      <c r="V45" s="4">
        <v>-1.7054876745549299</v>
      </c>
      <c r="W45" s="4">
        <v>7.095991053765224</v>
      </c>
      <c r="X45" s="4">
        <v>33.660754794548886</v>
      </c>
      <c r="Y45" s="4">
        <v>4.6810792341161269</v>
      </c>
      <c r="Z45" s="4">
        <v>49.865343337558421</v>
      </c>
      <c r="AA45" s="4">
        <v>4.5078071072442505</v>
      </c>
      <c r="AB45" s="4">
        <v>2.7771979489267031</v>
      </c>
      <c r="AC45" s="4">
        <v>0.20500205127890789</v>
      </c>
      <c r="AD45" s="4">
        <v>0.84314850197910018</v>
      </c>
      <c r="AE45" s="4">
        <v>3.2323298430835333E-2</v>
      </c>
      <c r="AF45" s="4">
        <v>1.7777623734703565E-2</v>
      </c>
      <c r="AG45" s="4"/>
      <c r="AH45" s="4"/>
      <c r="AI45" s="4"/>
      <c r="AJ45" s="4"/>
      <c r="AK45" s="4"/>
      <c r="AL45" s="4"/>
      <c r="AM45" s="4"/>
      <c r="AN45" s="4"/>
      <c r="AO45" s="4"/>
      <c r="AP45" s="4"/>
      <c r="AQ45" s="4"/>
      <c r="AR45" s="4"/>
      <c r="AS45" s="4"/>
      <c r="AT45" s="4"/>
      <c r="AU45" s="4"/>
      <c r="AV45" s="4"/>
      <c r="AW45" s="4"/>
      <c r="AX45" s="4"/>
      <c r="AY45" s="4"/>
      <c r="AZ45" s="4"/>
      <c r="BA45" s="4"/>
      <c r="BB45" s="4"/>
    </row>
    <row r="46" spans="1:54" x14ac:dyDescent="0.3">
      <c r="A46" s="4">
        <v>4240</v>
      </c>
      <c r="B46" s="4"/>
      <c r="C46" s="4">
        <v>-380.63649361003058</v>
      </c>
      <c r="D46" s="4">
        <v>-3.8592453027775699E-5</v>
      </c>
      <c r="E46" s="4">
        <v>-1.0361286823118027E-4</v>
      </c>
      <c r="F46" s="4">
        <v>-5.2257290258213365E-3</v>
      </c>
      <c r="G46" s="4">
        <v>-3.3077865032896899E-3</v>
      </c>
      <c r="H46" s="4">
        <v>-3.2496003944703616E-2</v>
      </c>
      <c r="I46" s="4">
        <v>-6.9811759661029649E-2</v>
      </c>
      <c r="J46" s="4">
        <v>-1.3721299533078366</v>
      </c>
      <c r="K46" s="4">
        <v>-1.1375818615090405</v>
      </c>
      <c r="L46" s="4">
        <v>-3.1255682745036553</v>
      </c>
      <c r="M46" s="4">
        <v>-9.3840314025050464</v>
      </c>
      <c r="N46" s="4">
        <v>-51.567769476655577</v>
      </c>
      <c r="O46" s="4">
        <v>-223.13470831917545</v>
      </c>
      <c r="P46" s="4">
        <v>-328.44276816506749</v>
      </c>
      <c r="Q46" s="4">
        <v>-15.190638749649153</v>
      </c>
      <c r="R46" s="4">
        <v>-314.60516506551227</v>
      </c>
      <c r="S46" s="4">
        <v>-51.304420587502271</v>
      </c>
      <c r="T46" s="4">
        <v>74.775222421172387</v>
      </c>
      <c r="U46" s="4">
        <v>30.050371825950286</v>
      </c>
      <c r="V46" s="4">
        <v>-1.9091887136947616</v>
      </c>
      <c r="W46" s="4">
        <v>8.3183965094210759</v>
      </c>
      <c r="X46" s="4">
        <v>41.333004260189114</v>
      </c>
      <c r="Y46" s="4">
        <v>6.0226470305150261</v>
      </c>
      <c r="Z46" s="4">
        <v>67.24062494308609</v>
      </c>
      <c r="AA46" s="4">
        <v>6.3725680171823633</v>
      </c>
      <c r="AB46" s="4">
        <v>4.1171669137217641</v>
      </c>
      <c r="AC46" s="4">
        <v>0.3188013453989717</v>
      </c>
      <c r="AD46" s="4">
        <v>1.3758330032361155</v>
      </c>
      <c r="AE46" s="4">
        <v>5.536152785649491E-2</v>
      </c>
      <c r="AF46" s="4">
        <v>3.1969035747784334E-2</v>
      </c>
      <c r="AG46" s="4"/>
      <c r="AH46" s="4"/>
      <c r="AI46" s="4"/>
      <c r="AJ46" s="4"/>
      <c r="AK46" s="4"/>
      <c r="AL46" s="4"/>
      <c r="AM46" s="4"/>
      <c r="AN46" s="4"/>
      <c r="AO46" s="4"/>
      <c r="AP46" s="4"/>
      <c r="AQ46" s="4"/>
      <c r="AR46" s="4"/>
      <c r="AS46" s="4"/>
      <c r="AT46" s="4"/>
      <c r="AU46" s="4"/>
      <c r="AV46" s="4"/>
      <c r="AW46" s="4"/>
      <c r="AX46" s="4"/>
      <c r="AY46" s="4"/>
      <c r="AZ46" s="4"/>
      <c r="BA46" s="4"/>
      <c r="BB46" s="4"/>
    </row>
    <row r="47" spans="1:54" x14ac:dyDescent="0.3">
      <c r="A47" s="4">
        <v>4230</v>
      </c>
      <c r="B47" s="4"/>
      <c r="C47" s="4">
        <v>-288.44298938220879</v>
      </c>
      <c r="D47" s="4">
        <v>-1.9295810955243595E-5</v>
      </c>
      <c r="E47" s="4">
        <v>-5.4013220249170382E-5</v>
      </c>
      <c r="F47" s="4">
        <v>-2.8409083713745306E-3</v>
      </c>
      <c r="G47" s="4">
        <v>-1.8757333098517943E-3</v>
      </c>
      <c r="H47" s="4">
        <v>-1.9225925735178662E-2</v>
      </c>
      <c r="I47" s="4">
        <v>-4.3103355124582729E-2</v>
      </c>
      <c r="J47" s="4">
        <v>-0.88431208445745402</v>
      </c>
      <c r="K47" s="4">
        <v>-0.76546365269944394</v>
      </c>
      <c r="L47" s="4">
        <v>-2.1963798166200217</v>
      </c>
      <c r="M47" s="4">
        <v>-6.8882764395976412</v>
      </c>
      <c r="N47" s="4">
        <v>-39.550269566364314</v>
      </c>
      <c r="O47" s="4">
        <v>-178.85322019373058</v>
      </c>
      <c r="P47" s="4">
        <v>-275.20585104257833</v>
      </c>
      <c r="Q47" s="4">
        <v>-13.309243696413789</v>
      </c>
      <c r="R47" s="4">
        <v>-288.29354384646592</v>
      </c>
      <c r="S47" s="4">
        <v>-49.184610617330293</v>
      </c>
      <c r="T47" s="4">
        <v>75.015763544996119</v>
      </c>
      <c r="U47" s="4">
        <v>31.555959202105058</v>
      </c>
      <c r="V47" s="4">
        <v>-2.0991082495898623</v>
      </c>
      <c r="W47" s="4">
        <v>9.5785367076226535</v>
      </c>
      <c r="X47" s="4">
        <v>49.859814519261576</v>
      </c>
      <c r="Y47" s="4">
        <v>7.6130249367868892</v>
      </c>
      <c r="Z47" s="4">
        <v>89.092519529048189</v>
      </c>
      <c r="AA47" s="4">
        <v>8.8529630565056419</v>
      </c>
      <c r="AB47" s="4">
        <v>5.9987929388073793</v>
      </c>
      <c r="AC47" s="4">
        <v>0.48730951143577539</v>
      </c>
      <c r="AD47" s="4">
        <v>2.2069857400754707</v>
      </c>
      <c r="AE47" s="4">
        <v>9.3222828454585238E-2</v>
      </c>
      <c r="AF47" s="4">
        <v>5.6527157902904142E-2</v>
      </c>
      <c r="AG47" s="4"/>
      <c r="AH47" s="4"/>
      <c r="AI47" s="4"/>
      <c r="AJ47" s="4"/>
      <c r="AK47" s="4"/>
      <c r="AL47" s="4"/>
      <c r="AM47" s="4"/>
      <c r="AN47" s="4"/>
      <c r="AO47" s="4"/>
      <c r="AP47" s="4"/>
      <c r="AQ47" s="4"/>
      <c r="AR47" s="4"/>
      <c r="AS47" s="4"/>
      <c r="AT47" s="4"/>
      <c r="AU47" s="4"/>
      <c r="AV47" s="4"/>
      <c r="AW47" s="4"/>
      <c r="AX47" s="4"/>
      <c r="AY47" s="4"/>
      <c r="AZ47" s="4"/>
      <c r="BA47" s="4"/>
      <c r="BB47" s="4"/>
    </row>
    <row r="48" spans="1:54" x14ac:dyDescent="0.3">
      <c r="A48" s="4">
        <v>4220</v>
      </c>
      <c r="B48" s="4"/>
      <c r="C48" s="4">
        <v>-198.37688663511096</v>
      </c>
      <c r="D48" s="4">
        <v>-9.4567869951515191E-6</v>
      </c>
      <c r="E48" s="4">
        <v>-2.760255387647376E-5</v>
      </c>
      <c r="F48" s="4">
        <v>-1.514166110916972E-3</v>
      </c>
      <c r="G48" s="4">
        <v>-1.0429272967937889E-3</v>
      </c>
      <c r="H48" s="4">
        <v>-1.1154175980675092E-2</v>
      </c>
      <c r="I48" s="4">
        <v>-2.6099389272805567E-2</v>
      </c>
      <c r="J48" s="4">
        <v>-0.55898060706744723</v>
      </c>
      <c r="K48" s="4">
        <v>-0.50523297713525495</v>
      </c>
      <c r="L48" s="4">
        <v>-1.5141039182682854</v>
      </c>
      <c r="M48" s="4">
        <v>-4.9607381436659885</v>
      </c>
      <c r="N48" s="4">
        <v>-29.763243512512997</v>
      </c>
      <c r="O48" s="4">
        <v>-140.6797061559613</v>
      </c>
      <c r="P48" s="4">
        <v>-226.31132225436806</v>
      </c>
      <c r="Q48" s="4">
        <v>-11.445301739574067</v>
      </c>
      <c r="R48" s="4">
        <v>-259.326350079554</v>
      </c>
      <c r="S48" s="4">
        <v>-46.290593997782196</v>
      </c>
      <c r="T48" s="4">
        <v>73.889562635276718</v>
      </c>
      <c r="U48" s="4">
        <v>32.538356555785668</v>
      </c>
      <c r="V48" s="4">
        <v>-2.2664739622162196</v>
      </c>
      <c r="W48" s="4">
        <v>10.832685908790946</v>
      </c>
      <c r="X48" s="4">
        <v>59.07851553040831</v>
      </c>
      <c r="Y48" s="4">
        <v>9.4536693627077835</v>
      </c>
      <c r="Z48" s="4">
        <v>115.97715049217592</v>
      </c>
      <c r="AA48" s="4">
        <v>12.084625368064868</v>
      </c>
      <c r="AB48" s="4">
        <v>8.589118801253278</v>
      </c>
      <c r="AC48" s="4">
        <v>0.73207950381436981</v>
      </c>
      <c r="AD48" s="4">
        <v>3.4797779513900693</v>
      </c>
      <c r="AE48" s="4">
        <v>0.15431373372714896</v>
      </c>
      <c r="AF48" s="4">
        <v>9.8265952491130515E-2</v>
      </c>
      <c r="AG48" s="4"/>
      <c r="AH48" s="4"/>
      <c r="AI48" s="4"/>
      <c r="AJ48" s="4"/>
      <c r="AK48" s="4"/>
      <c r="AL48" s="4"/>
      <c r="AM48" s="4"/>
      <c r="AN48" s="4"/>
      <c r="AO48" s="4"/>
      <c r="AP48" s="4"/>
      <c r="AQ48" s="4"/>
      <c r="AR48" s="4"/>
      <c r="AS48" s="4"/>
      <c r="AT48" s="4"/>
      <c r="AU48" s="4"/>
      <c r="AV48" s="4"/>
      <c r="AW48" s="4"/>
      <c r="AX48" s="4"/>
      <c r="AY48" s="4"/>
      <c r="AZ48" s="4"/>
      <c r="BA48" s="4"/>
      <c r="BB48" s="4"/>
    </row>
    <row r="49" spans="1:54" x14ac:dyDescent="0.3">
      <c r="A49" s="4">
        <v>4210</v>
      </c>
      <c r="B49" s="4"/>
      <c r="C49" s="4">
        <v>-110.98748592897699</v>
      </c>
      <c r="D49" s="4">
        <v>-4.542385477130159E-6</v>
      </c>
      <c r="E49" s="4">
        <v>-1.3826153518615906E-5</v>
      </c>
      <c r="F49" s="4">
        <v>-7.9110853204588999E-4</v>
      </c>
      <c r="G49" s="4">
        <v>-5.6849520230207486E-4</v>
      </c>
      <c r="H49" s="4">
        <v>-6.3448500517347978E-3</v>
      </c>
      <c r="I49" s="4">
        <v>-1.549627472099906E-2</v>
      </c>
      <c r="J49" s="4">
        <v>-0.34650532619513508</v>
      </c>
      <c r="K49" s="4">
        <v>-0.32705842723444178</v>
      </c>
      <c r="L49" s="4">
        <v>-1.0238003075371829</v>
      </c>
      <c r="M49" s="4">
        <v>-3.5045996957685626</v>
      </c>
      <c r="N49" s="4">
        <v>-21.974183692180681</v>
      </c>
      <c r="O49" s="4">
        <v>-108.57088684905112</v>
      </c>
      <c r="P49" s="4">
        <v>-182.61984389837423</v>
      </c>
      <c r="Q49" s="4">
        <v>-9.6591802038799131</v>
      </c>
      <c r="R49" s="4">
        <v>-228.95170589128091</v>
      </c>
      <c r="S49" s="4">
        <v>-42.764992348290043</v>
      </c>
      <c r="T49" s="4">
        <v>71.448428926076858</v>
      </c>
      <c r="U49" s="4">
        <v>32.9409440395657</v>
      </c>
      <c r="V49" s="4">
        <v>-2.4029253877551517</v>
      </c>
      <c r="W49" s="4">
        <v>12.030800471424142</v>
      </c>
      <c r="X49" s="4">
        <v>68.750823329303685</v>
      </c>
      <c r="Y49" s="4">
        <v>11.530849213767919</v>
      </c>
      <c r="Z49" s="4">
        <v>148.3098385567823</v>
      </c>
      <c r="AA49" s="4">
        <v>16.206639460650695</v>
      </c>
      <c r="AB49" s="4">
        <v>12.083640421805024</v>
      </c>
      <c r="AC49" s="4">
        <v>1.0807507948434596</v>
      </c>
      <c r="AD49" s="4">
        <v>5.3922163832015553</v>
      </c>
      <c r="AE49" s="4">
        <v>0.25107344936437154</v>
      </c>
      <c r="AF49" s="4">
        <v>0.16792421985381295</v>
      </c>
      <c r="AG49" s="4"/>
      <c r="AH49" s="4"/>
      <c r="AI49" s="4"/>
      <c r="AJ49" s="4"/>
      <c r="AK49" s="4"/>
      <c r="AL49" s="4"/>
      <c r="AM49" s="4"/>
      <c r="AN49" s="4"/>
      <c r="AO49" s="4"/>
      <c r="AP49" s="4"/>
      <c r="AQ49" s="4"/>
      <c r="AR49" s="4"/>
      <c r="AS49" s="4"/>
      <c r="AT49" s="4"/>
      <c r="AU49" s="4"/>
      <c r="AV49" s="4"/>
      <c r="AW49" s="4"/>
      <c r="AX49" s="4"/>
      <c r="AY49" s="4"/>
      <c r="AZ49" s="4"/>
      <c r="BA49" s="4"/>
      <c r="BB49" s="4"/>
    </row>
    <row r="50" spans="1:54" x14ac:dyDescent="0.3">
      <c r="A50" s="4">
        <v>4200</v>
      </c>
      <c r="B50" s="4"/>
      <c r="C50" s="4">
        <v>-26.516372739523877</v>
      </c>
      <c r="D50" s="4">
        <v>-2.1380779927941922E-6</v>
      </c>
      <c r="E50" s="4">
        <v>-6.7872831936734095E-6</v>
      </c>
      <c r="F50" s="4">
        <v>-4.0512089758655703E-4</v>
      </c>
      <c r="G50" s="4">
        <v>-3.037591622847957E-4</v>
      </c>
      <c r="H50" s="4">
        <v>-3.5381730352359113E-3</v>
      </c>
      <c r="I50" s="4">
        <v>-9.020744208498516E-3</v>
      </c>
      <c r="J50" s="4">
        <v>-0.21061325334825681</v>
      </c>
      <c r="K50" s="4">
        <v>-0.20761865065480459</v>
      </c>
      <c r="L50" s="4">
        <v>-0.67893344356817653</v>
      </c>
      <c r="M50" s="4">
        <v>-2.4284444335395503</v>
      </c>
      <c r="N50" s="4">
        <v>-15.914331406001219</v>
      </c>
      <c r="O50" s="4">
        <v>-82.202353101629811</v>
      </c>
      <c r="P50" s="4">
        <v>-144.58546092653742</v>
      </c>
      <c r="Q50" s="4">
        <v>-7.9989791882328465</v>
      </c>
      <c r="R50" s="4">
        <v>-198.36679217387757</v>
      </c>
      <c r="S50" s="4">
        <v>-38.775618984603724</v>
      </c>
      <c r="T50" s="4">
        <v>67.814737788216817</v>
      </c>
      <c r="U50" s="4">
        <v>32.737512880040683</v>
      </c>
      <c r="V50" s="4">
        <v>-2.5011902703637587</v>
      </c>
      <c r="W50" s="4">
        <v>13.1195142061084</v>
      </c>
      <c r="X50" s="4">
        <v>78.566850062381562</v>
      </c>
      <c r="Y50" s="4">
        <v>13.812866979111856</v>
      </c>
      <c r="Z50" s="4">
        <v>186.28504082947697</v>
      </c>
      <c r="AA50" s="4">
        <v>21.350712792138566</v>
      </c>
      <c r="AB50" s="4">
        <v>16.701521814713836</v>
      </c>
      <c r="AC50" s="4">
        <v>1.5676593368913465</v>
      </c>
      <c r="AD50" s="4">
        <v>8.2109226558624844</v>
      </c>
      <c r="AE50" s="4">
        <v>0.40147290324322937</v>
      </c>
      <c r="AF50" s="4">
        <v>0.28205482778845453</v>
      </c>
      <c r="AG50" s="4"/>
      <c r="AH50" s="4"/>
      <c r="AI50" s="4"/>
      <c r="AJ50" s="4"/>
      <c r="AK50" s="4"/>
      <c r="AL50" s="4"/>
      <c r="AM50" s="4"/>
      <c r="AN50" s="4"/>
      <c r="AO50" s="4"/>
      <c r="AP50" s="4"/>
      <c r="AQ50" s="4"/>
      <c r="AR50" s="4"/>
      <c r="AS50" s="4"/>
      <c r="AT50" s="4"/>
      <c r="AU50" s="4"/>
      <c r="AV50" s="4"/>
      <c r="AW50" s="4"/>
      <c r="AX50" s="4"/>
      <c r="AY50" s="4"/>
      <c r="AZ50" s="4"/>
      <c r="BA50" s="4"/>
      <c r="BB50" s="4"/>
    </row>
    <row r="51" spans="1:54" x14ac:dyDescent="0.3">
      <c r="A51" s="4">
        <v>4190</v>
      </c>
      <c r="B51" s="4"/>
      <c r="C51" s="4">
        <v>55.032470568161102</v>
      </c>
      <c r="D51" s="4">
        <v>-9.8605495910641652E-7</v>
      </c>
      <c r="E51" s="4">
        <v>-3.2649166849744397E-6</v>
      </c>
      <c r="F51" s="4">
        <v>-2.0330989400983712E-4</v>
      </c>
      <c r="G51" s="4">
        <v>-1.5907474998562169E-4</v>
      </c>
      <c r="H51" s="4">
        <v>-1.9339724620993054E-3</v>
      </c>
      <c r="I51" s="4">
        <v>-5.147725929378187E-3</v>
      </c>
      <c r="J51" s="4">
        <v>-0.1255059131130466</v>
      </c>
      <c r="K51" s="4">
        <v>-0.12922753612306656</v>
      </c>
      <c r="L51" s="4">
        <v>-0.44150136535452156</v>
      </c>
      <c r="M51" s="4">
        <v>-1.6502749303832509</v>
      </c>
      <c r="N51" s="4">
        <v>-11.304416752073514</v>
      </c>
      <c r="O51" s="4">
        <v>-61.049937694522761</v>
      </c>
      <c r="P51" s="4">
        <v>-112.2994555645268</v>
      </c>
      <c r="Q51" s="4">
        <v>-6.4990781843901901</v>
      </c>
      <c r="R51" s="4">
        <v>-168.64122528753973</v>
      </c>
      <c r="S51" s="4">
        <v>-34.502124706956316</v>
      </c>
      <c r="T51" s="4">
        <v>63.171268165695686</v>
      </c>
      <c r="U51" s="4">
        <v>31.935009716170569</v>
      </c>
      <c r="V51" s="4">
        <v>-2.555717290714</v>
      </c>
      <c r="W51" s="4">
        <v>14.04587543625683</v>
      </c>
      <c r="X51" s="4">
        <v>88.157058385755249</v>
      </c>
      <c r="Y51" s="4">
        <v>16.248431788252688</v>
      </c>
      <c r="Z51" s="4">
        <v>229.79477923637356</v>
      </c>
      <c r="AA51" s="4">
        <v>27.627100975995461</v>
      </c>
      <c r="AB51" s="4">
        <v>22.676054975752997</v>
      </c>
      <c r="AC51" s="4">
        <v>2.2339888983191409</v>
      </c>
      <c r="AD51" s="4">
        <v>12.28485663770169</v>
      </c>
      <c r="AE51" s="4">
        <v>0.63083499830159162</v>
      </c>
      <c r="AF51" s="4">
        <v>0.46559548145101365</v>
      </c>
      <c r="AG51" s="4"/>
      <c r="AH51" s="4"/>
      <c r="AI51" s="4"/>
      <c r="AJ51" s="4"/>
      <c r="AK51" s="4"/>
      <c r="AL51" s="4"/>
      <c r="AM51" s="4"/>
      <c r="AN51" s="4"/>
      <c r="AO51" s="4"/>
      <c r="AP51" s="4"/>
      <c r="AQ51" s="4"/>
      <c r="AR51" s="4"/>
      <c r="AS51" s="4"/>
      <c r="AT51" s="4"/>
      <c r="AU51" s="4"/>
      <c r="AV51" s="4"/>
      <c r="AW51" s="4"/>
      <c r="AX51" s="4"/>
      <c r="AY51" s="4"/>
      <c r="AZ51" s="4"/>
      <c r="BA51" s="4"/>
      <c r="BB51" s="4"/>
    </row>
    <row r="52" spans="1:54" x14ac:dyDescent="0.3">
      <c r="A52" s="4">
        <v>4180</v>
      </c>
      <c r="B52" s="4"/>
      <c r="C52" s="4">
        <v>133.80693210569859</v>
      </c>
      <c r="D52" s="4">
        <v>-4.4550751636827644E-7</v>
      </c>
      <c r="E52" s="4">
        <v>-1.5387508166413042E-6</v>
      </c>
      <c r="F52" s="4">
        <v>-9.9976148709020527E-5</v>
      </c>
      <c r="G52" s="4">
        <v>-8.163592802785854E-5</v>
      </c>
      <c r="H52" s="4">
        <v>-1.0360343818694956E-3</v>
      </c>
      <c r="I52" s="4">
        <v>-2.8792927089794692E-3</v>
      </c>
      <c r="J52" s="4">
        <v>-7.3313671084176246E-2</v>
      </c>
      <c r="K52" s="4">
        <v>-7.8855363436767301E-2</v>
      </c>
      <c r="L52" s="4">
        <v>-0.28149443434054183</v>
      </c>
      <c r="M52" s="4">
        <v>-1.0996716816923562</v>
      </c>
      <c r="N52" s="4">
        <v>-7.874672182630162</v>
      </c>
      <c r="O52" s="4">
        <v>-44.468960467704946</v>
      </c>
      <c r="P52" s="4">
        <v>-85.555500257741841</v>
      </c>
      <c r="Q52" s="4">
        <v>-5.1800381947028828</v>
      </c>
      <c r="R52" s="4">
        <v>-140.65965654466098</v>
      </c>
      <c r="S52" s="4">
        <v>-30.122517157594572</v>
      </c>
      <c r="T52" s="4">
        <v>57.745878603551638</v>
      </c>
      <c r="U52" s="4">
        <v>30.573289168697162</v>
      </c>
      <c r="V52" s="4">
        <v>-2.5631898129414776</v>
      </c>
      <c r="W52" s="4">
        <v>14.761489115140803</v>
      </c>
      <c r="X52" s="4">
        <v>97.112213283085154</v>
      </c>
      <c r="Y52" s="4">
        <v>18.766664716878349</v>
      </c>
      <c r="Z52" s="4">
        <v>278.35540669021259</v>
      </c>
      <c r="AA52" s="4">
        <v>35.107926992012814</v>
      </c>
      <c r="AB52" s="4">
        <v>30.239583500600396</v>
      </c>
      <c r="AC52" s="4">
        <v>3.1272125300851417</v>
      </c>
      <c r="AD52" s="4">
        <v>18.057009595601166</v>
      </c>
      <c r="AE52" s="4">
        <v>0.97392110494868689</v>
      </c>
      <c r="AF52" s="4">
        <v>0.75523760253997807</v>
      </c>
      <c r="AG52" s="4"/>
      <c r="AH52" s="4"/>
      <c r="AI52" s="4"/>
      <c r="AJ52" s="4"/>
      <c r="AK52" s="4"/>
      <c r="AL52" s="4"/>
      <c r="AM52" s="4"/>
      <c r="AN52" s="4"/>
      <c r="AO52" s="4"/>
      <c r="AP52" s="4"/>
      <c r="AQ52" s="4"/>
      <c r="AR52" s="4"/>
      <c r="AS52" s="4"/>
      <c r="AT52" s="4"/>
      <c r="AU52" s="4"/>
      <c r="AV52" s="4"/>
      <c r="AW52" s="4"/>
      <c r="AX52" s="4"/>
      <c r="AY52" s="4"/>
      <c r="AZ52" s="4"/>
      <c r="BA52" s="4"/>
      <c r="BB52" s="4"/>
    </row>
    <row r="53" spans="1:54" x14ac:dyDescent="0.3">
      <c r="A53" s="4">
        <v>4170</v>
      </c>
      <c r="B53" s="4"/>
      <c r="C53" s="4">
        <v>210.01655011401411</v>
      </c>
      <c r="D53" s="4">
        <v>-1.9716193129267354E-7</v>
      </c>
      <c r="E53" s="4">
        <v>-7.1043203603055742E-7</v>
      </c>
      <c r="F53" s="4">
        <v>-4.8165548581831359E-5</v>
      </c>
      <c r="G53" s="4">
        <v>-4.1049516937244624E-5</v>
      </c>
      <c r="H53" s="4">
        <v>-5.4386277987106464E-4</v>
      </c>
      <c r="I53" s="4">
        <v>-1.5783103631902217E-3</v>
      </c>
      <c r="J53" s="4">
        <v>-4.1974650244541535E-2</v>
      </c>
      <c r="K53" s="4">
        <v>-4.7166554656005562E-2</v>
      </c>
      <c r="L53" s="4">
        <v>-0.17594623296354081</v>
      </c>
      <c r="M53" s="4">
        <v>-0.71843601176662986</v>
      </c>
      <c r="N53" s="4">
        <v>-5.3787491885876086</v>
      </c>
      <c r="O53" s="4">
        <v>-31.76432662271479</v>
      </c>
      <c r="P53" s="4">
        <v>-63.925752064030995</v>
      </c>
      <c r="Q53" s="4">
        <v>-4.0496618563427109</v>
      </c>
      <c r="R53" s="4">
        <v>-115.08724661256637</v>
      </c>
      <c r="S53" s="4">
        <v>-25.800970607825715</v>
      </c>
      <c r="T53" s="4">
        <v>51.792819539026063</v>
      </c>
      <c r="U53" s="4">
        <v>28.721857202476134</v>
      </c>
      <c r="V53" s="4">
        <v>-2.5228552594809082</v>
      </c>
      <c r="W53" s="4">
        <v>15.226629940249355</v>
      </c>
      <c r="X53" s="4">
        <v>105.01028223111368</v>
      </c>
      <c r="Y53" s="4">
        <v>21.279096929431848</v>
      </c>
      <c r="Z53" s="4">
        <v>331.05424544004336</v>
      </c>
      <c r="AA53" s="4">
        <v>43.809157365172268</v>
      </c>
      <c r="AB53" s="4">
        <v>39.602636815204086</v>
      </c>
      <c r="AC53" s="4">
        <v>4.2995622474444906</v>
      </c>
      <c r="AD53" s="4">
        <v>26.071306675837945</v>
      </c>
      <c r="AE53" s="4">
        <v>1.47714831412706</v>
      </c>
      <c r="AF53" s="4">
        <v>1.2036554848842647</v>
      </c>
      <c r="AG53" s="4"/>
      <c r="AH53" s="4"/>
      <c r="AI53" s="4"/>
      <c r="AJ53" s="4"/>
      <c r="AK53" s="4"/>
      <c r="AL53" s="4"/>
      <c r="AM53" s="4"/>
      <c r="AN53" s="4"/>
      <c r="AO53" s="4"/>
      <c r="AP53" s="4"/>
      <c r="AQ53" s="4"/>
      <c r="AR53" s="4"/>
      <c r="AS53" s="4"/>
      <c r="AT53" s="4"/>
      <c r="AU53" s="4"/>
      <c r="AV53" s="4"/>
      <c r="AW53" s="4"/>
      <c r="AX53" s="4"/>
      <c r="AY53" s="4"/>
      <c r="AZ53" s="4"/>
      <c r="BA53" s="4"/>
      <c r="BB53" s="4"/>
    </row>
    <row r="54" spans="1:54" x14ac:dyDescent="0.3">
      <c r="A54" s="4">
        <v>4160</v>
      </c>
      <c r="B54" s="4">
        <v>802.64076823778862</v>
      </c>
      <c r="C54" s="4">
        <v>283.84872938060664</v>
      </c>
      <c r="D54" s="4">
        <v>-8.5455976660948398E-8</v>
      </c>
      <c r="E54" s="4">
        <v>-3.2127155321212742E-7</v>
      </c>
      <c r="F54" s="4">
        <v>-2.2730893028326622E-5</v>
      </c>
      <c r="G54" s="4">
        <v>-2.0221774918510015E-5</v>
      </c>
      <c r="H54" s="4">
        <v>-2.7972667503571331E-4</v>
      </c>
      <c r="I54" s="4">
        <v>-8.4776111225142066E-4</v>
      </c>
      <c r="J54" s="4">
        <v>-2.3550984423295902E-2</v>
      </c>
      <c r="K54" s="4">
        <v>-2.7650472046934393E-2</v>
      </c>
      <c r="L54" s="4">
        <v>-0.10779571296426099</v>
      </c>
      <c r="M54" s="4">
        <v>-0.46011949589403267</v>
      </c>
      <c r="N54" s="4">
        <v>-3.6019193918941101</v>
      </c>
      <c r="O54" s="4">
        <v>-22.247072731627643</v>
      </c>
      <c r="P54" s="4">
        <v>-46.838311456450889</v>
      </c>
      <c r="Q54" s="4">
        <v>-3.1049115428633778</v>
      </c>
      <c r="R54" s="4">
        <v>-92.358525269624025</v>
      </c>
      <c r="S54" s="4">
        <v>-21.6780751897257</v>
      </c>
      <c r="T54" s="4">
        <v>45.572833708141175</v>
      </c>
      <c r="U54" s="4">
        <v>26.473971930409007</v>
      </c>
      <c r="V54" s="4">
        <v>-2.436625196098261</v>
      </c>
      <c r="W54" s="4">
        <v>15.413850166079403</v>
      </c>
      <c r="X54" s="4">
        <v>111.44810771745901</v>
      </c>
      <c r="Y54" s="4">
        <v>23.683815532240413</v>
      </c>
      <c r="Z54" s="4">
        <v>386.52787684023679</v>
      </c>
      <c r="AA54" s="4">
        <v>53.67312194752644</v>
      </c>
      <c r="AB54" s="4">
        <v>50.927814271336558</v>
      </c>
      <c r="AC54" s="4">
        <v>5.8052967656870136</v>
      </c>
      <c r="AD54" s="4">
        <v>36.971249623420427</v>
      </c>
      <c r="AE54" s="4">
        <v>2.2006963951154277</v>
      </c>
      <c r="AF54" s="4">
        <v>1.8845521543568817</v>
      </c>
      <c r="AG54" s="4"/>
      <c r="AH54" s="4"/>
      <c r="AI54" s="4"/>
      <c r="AJ54" s="4"/>
      <c r="AK54" s="4"/>
      <c r="AL54" s="4"/>
      <c r="AM54" s="4"/>
      <c r="AN54" s="4"/>
      <c r="AO54" s="4"/>
      <c r="AP54" s="4"/>
      <c r="AQ54" s="4"/>
      <c r="AR54" s="4"/>
      <c r="AS54" s="4"/>
      <c r="AT54" s="4"/>
      <c r="AU54" s="4"/>
      <c r="AV54" s="4"/>
      <c r="AW54" s="4"/>
      <c r="AX54" s="4"/>
      <c r="AY54" s="4"/>
      <c r="AZ54" s="4"/>
      <c r="BA54" s="4"/>
      <c r="BB54" s="4"/>
    </row>
    <row r="55" spans="1:54" x14ac:dyDescent="0.3">
      <c r="A55" s="4">
        <v>4150</v>
      </c>
      <c r="B55" s="4"/>
      <c r="C55" s="4">
        <v>355.40074701262552</v>
      </c>
      <c r="D55" s="4">
        <v>-3.6270192414272487E-8</v>
      </c>
      <c r="E55" s="4">
        <v>-1.4228345581607237E-7</v>
      </c>
      <c r="F55" s="4">
        <v>-1.050687290866673E-5</v>
      </c>
      <c r="G55" s="4">
        <v>-9.7578093315479584E-6</v>
      </c>
      <c r="H55" s="4">
        <v>-1.409435962782199E-4</v>
      </c>
      <c r="I55" s="4">
        <v>-4.4613554824084938E-4</v>
      </c>
      <c r="J55" s="4">
        <v>-1.294758841727894E-2</v>
      </c>
      <c r="K55" s="4">
        <v>-1.5884539427838153E-2</v>
      </c>
      <c r="L55" s="4">
        <v>-6.4725107902208756E-2</v>
      </c>
      <c r="M55" s="4">
        <v>-0.28883466262664587</v>
      </c>
      <c r="N55" s="4">
        <v>-2.3644462073774455</v>
      </c>
      <c r="O55" s="4">
        <v>-15.275510514920622</v>
      </c>
      <c r="P55" s="4">
        <v>-33.648321493231194</v>
      </c>
      <c r="Q55" s="4">
        <v>-2.334338957140544</v>
      </c>
      <c r="R55" s="4">
        <v>-72.687326435369172</v>
      </c>
      <c r="S55" s="4">
        <v>-17.864270503165674</v>
      </c>
      <c r="T55" s="4">
        <v>39.33423123625348</v>
      </c>
      <c r="U55" s="4">
        <v>23.938800577439665</v>
      </c>
      <c r="V55" s="4">
        <v>-2.3089294133113469</v>
      </c>
      <c r="W55" s="4">
        <v>15.310632300340087</v>
      </c>
      <c r="X55" s="4">
        <v>116.07472000456031</v>
      </c>
      <c r="Y55" s="4">
        <v>25.871638648075596</v>
      </c>
      <c r="Z55" s="4">
        <v>442.98221514994628</v>
      </c>
      <c r="AA55" s="4">
        <v>64.553969070522299</v>
      </c>
      <c r="AB55" s="4">
        <v>64.299965913752288</v>
      </c>
      <c r="AC55" s="4">
        <v>7.6966250552293065</v>
      </c>
      <c r="AD55" s="4">
        <v>51.486390659879703</v>
      </c>
      <c r="AE55" s="4">
        <v>3.2201398599820892</v>
      </c>
      <c r="AF55" s="4">
        <v>2.8983084945402848</v>
      </c>
      <c r="AG55" s="4"/>
      <c r="AH55" s="4"/>
      <c r="AI55" s="4"/>
      <c r="AJ55" s="4"/>
      <c r="AK55" s="4"/>
      <c r="AL55" s="4"/>
      <c r="AM55" s="4"/>
      <c r="AN55" s="4"/>
      <c r="AO55" s="4"/>
      <c r="AP55" s="4"/>
      <c r="AQ55" s="4"/>
      <c r="AR55" s="4"/>
      <c r="AS55" s="4"/>
      <c r="AT55" s="4"/>
      <c r="AU55" s="4"/>
      <c r="AV55" s="4"/>
      <c r="AW55" s="4"/>
      <c r="AX55" s="4"/>
      <c r="AY55" s="4"/>
      <c r="AZ55" s="4"/>
      <c r="BA55" s="4"/>
      <c r="BB55" s="4"/>
    </row>
    <row r="56" spans="1:54" x14ac:dyDescent="0.3">
      <c r="A56" s="4">
        <v>4140</v>
      </c>
      <c r="B56" s="4"/>
      <c r="C56" s="4">
        <v>424.63414273155371</v>
      </c>
      <c r="D56" s="4">
        <v>-1.5072366685163123E-8</v>
      </c>
      <c r="E56" s="4">
        <v>-6.1702858240766079E-8</v>
      </c>
      <c r="F56" s="4">
        <v>-4.7560237858033863E-6</v>
      </c>
      <c r="G56" s="4">
        <v>-4.6115189567462347E-6</v>
      </c>
      <c r="H56" s="4">
        <v>-6.9560185724566035E-5</v>
      </c>
      <c r="I56" s="4">
        <v>-2.2999036356433073E-4</v>
      </c>
      <c r="J56" s="4">
        <v>-6.9737116093895766E-3</v>
      </c>
      <c r="K56" s="4">
        <v>-8.9410401055049823E-3</v>
      </c>
      <c r="L56" s="4">
        <v>-3.8083051046995227E-2</v>
      </c>
      <c r="M56" s="4">
        <v>-0.17768968798750412</v>
      </c>
      <c r="N56" s="4">
        <v>-1.5212688352068453</v>
      </c>
      <c r="O56" s="4">
        <v>-10.281270485410223</v>
      </c>
      <c r="P56" s="4">
        <v>-23.69742475288956</v>
      </c>
      <c r="Q56" s="4">
        <v>-1.7206868163709153</v>
      </c>
      <c r="R56" s="4">
        <v>-56.09337326544599</v>
      </c>
      <c r="S56" s="4">
        <v>-14.436742864400371</v>
      </c>
      <c r="T56" s="4">
        <v>33.296850698047152</v>
      </c>
      <c r="U56" s="4">
        <v>21.232557432206836</v>
      </c>
      <c r="V56" s="4">
        <v>-2.1463388542127393</v>
      </c>
      <c r="W56" s="4">
        <v>14.920733960367235</v>
      </c>
      <c r="X56" s="4">
        <v>118.62256605803016</v>
      </c>
      <c r="Y56" s="4">
        <v>27.733896159347196</v>
      </c>
      <c r="Z56" s="4">
        <v>498.26077860783033</v>
      </c>
      <c r="AA56" s="4">
        <v>76.20870002756233</v>
      </c>
      <c r="AB56" s="4">
        <v>79.695323644053573</v>
      </c>
      <c r="AC56" s="4">
        <v>10.018295099984854</v>
      </c>
      <c r="AD56" s="4">
        <v>70.402789078748782</v>
      </c>
      <c r="AE56" s="4">
        <v>4.6271147864518074</v>
      </c>
      <c r="AF56" s="4">
        <v>4.3777822700304281</v>
      </c>
      <c r="AG56" s="4"/>
      <c r="AH56" s="4"/>
      <c r="AI56" s="4"/>
      <c r="AJ56" s="4"/>
      <c r="AK56" s="4"/>
      <c r="AL56" s="4"/>
      <c r="AM56" s="4"/>
      <c r="AN56" s="4"/>
      <c r="AO56" s="4"/>
      <c r="AP56" s="4"/>
      <c r="AQ56" s="4"/>
      <c r="AR56" s="4"/>
      <c r="AS56" s="4"/>
      <c r="AT56" s="4"/>
      <c r="AU56" s="4"/>
      <c r="AV56" s="4"/>
      <c r="AW56" s="4"/>
      <c r="AX56" s="4"/>
      <c r="AY56" s="4"/>
      <c r="AZ56" s="4"/>
      <c r="BA56" s="4"/>
      <c r="BB56" s="4"/>
    </row>
    <row r="57" spans="1:54" x14ac:dyDescent="0.3">
      <c r="A57" s="4">
        <v>4130</v>
      </c>
      <c r="B57" s="4"/>
      <c r="C57" s="4">
        <v>491.35450508688876</v>
      </c>
      <c r="D57" s="4">
        <v>-6.13158555545095E-9</v>
      </c>
      <c r="E57" s="4">
        <v>-2.6197551072651776E-8</v>
      </c>
      <c r="F57" s="4">
        <v>-2.1079685277992135E-6</v>
      </c>
      <c r="G57" s="4">
        <v>-2.1341773642487862E-6</v>
      </c>
      <c r="H57" s="4">
        <v>-3.3621453188640337E-5</v>
      </c>
      <c r="I57" s="4">
        <v>-1.1612843875928315E-4</v>
      </c>
      <c r="J57" s="4">
        <v>-3.6793512206327412E-3</v>
      </c>
      <c r="K57" s="4">
        <v>-4.9303744849057991E-3</v>
      </c>
      <c r="L57" s="4">
        <v>-2.1954102019737354E-2</v>
      </c>
      <c r="M57" s="4">
        <v>-0.1071141720250309</v>
      </c>
      <c r="N57" s="4">
        <v>-0.95918276347466791</v>
      </c>
      <c r="O57" s="4">
        <v>-6.7820977074650717</v>
      </c>
      <c r="P57" s="4">
        <v>-16.358847985208239</v>
      </c>
      <c r="Q57" s="4">
        <v>-1.2433730351034602</v>
      </c>
      <c r="R57" s="4">
        <v>-42.439893226212781</v>
      </c>
      <c r="S57" s="4">
        <v>-11.439616383964399</v>
      </c>
      <c r="T57" s="4">
        <v>27.640295562107774</v>
      </c>
      <c r="U57" s="4">
        <v>18.469633355777034</v>
      </c>
      <c r="V57" s="4">
        <v>-1.9570020029459019</v>
      </c>
      <c r="W57" s="4">
        <v>14.264028509842973</v>
      </c>
      <c r="X57" s="4">
        <v>118.93285186760212</v>
      </c>
      <c r="Y57" s="4">
        <v>29.17110504342121</v>
      </c>
      <c r="Z57" s="4">
        <v>549.96197884902267</v>
      </c>
      <c r="AA57" s="4">
        <v>88.296303434143326</v>
      </c>
      <c r="AB57" s="4">
        <v>96.953261942624522</v>
      </c>
      <c r="AC57" s="4">
        <v>12.801069137161333</v>
      </c>
      <c r="AD57" s="4">
        <v>94.514399044773711</v>
      </c>
      <c r="AE57" s="4">
        <v>6.5284276456588346</v>
      </c>
      <c r="AF57" s="4">
        <v>6.4935009101339407</v>
      </c>
      <c r="AG57" s="4"/>
      <c r="AH57" s="4"/>
      <c r="AI57" s="4"/>
      <c r="AJ57" s="4"/>
      <c r="AK57" s="4"/>
      <c r="AL57" s="4"/>
      <c r="AM57" s="4"/>
      <c r="AN57" s="4"/>
      <c r="AO57" s="4"/>
      <c r="AP57" s="4"/>
      <c r="AQ57" s="4"/>
      <c r="AR57" s="4"/>
      <c r="AS57" s="4"/>
      <c r="AT57" s="4"/>
      <c r="AU57" s="4"/>
      <c r="AV57" s="4"/>
      <c r="AW57" s="4"/>
      <c r="AX57" s="4"/>
      <c r="AY57" s="4"/>
      <c r="AZ57" s="4"/>
      <c r="BA57" s="4"/>
      <c r="BB57" s="4"/>
    </row>
    <row r="58" spans="1:54" x14ac:dyDescent="0.3">
      <c r="A58" s="4">
        <v>4120</v>
      </c>
      <c r="B58" s="4"/>
      <c r="C58" s="4">
        <v>555.21577267136342</v>
      </c>
      <c r="D58" s="4">
        <v>-2.4415121660669854E-9</v>
      </c>
      <c r="E58" s="4">
        <v>-1.0888194546974373E-8</v>
      </c>
      <c r="F58" s="4">
        <v>-9.1468011517535867E-7</v>
      </c>
      <c r="G58" s="4">
        <v>-9.6704687410336704E-7</v>
      </c>
      <c r="H58" s="4">
        <v>-1.591286861463303E-5</v>
      </c>
      <c r="I58" s="4">
        <v>-5.7423515849804457E-5</v>
      </c>
      <c r="J58" s="4">
        <v>-1.9012840459525075E-3</v>
      </c>
      <c r="K58" s="4">
        <v>-2.6630957072495218E-3</v>
      </c>
      <c r="L58" s="4">
        <v>-1.239827865242704E-2</v>
      </c>
      <c r="M58" s="4">
        <v>-6.3261640441572078E-2</v>
      </c>
      <c r="N58" s="4">
        <v>-0.59258801820452356</v>
      </c>
      <c r="O58" s="4">
        <v>-4.3841456146367239</v>
      </c>
      <c r="P58" s="4">
        <v>-11.06765956956432</v>
      </c>
      <c r="Q58" s="4">
        <v>-0.88064461990061305</v>
      </c>
      <c r="R58" s="4">
        <v>-31.47639821538635</v>
      </c>
      <c r="S58" s="4">
        <v>-8.8869022286067558</v>
      </c>
      <c r="T58" s="4">
        <v>22.497169017469307</v>
      </c>
      <c r="U58" s="4">
        <v>15.754664439800845</v>
      </c>
      <c r="V58" s="4">
        <v>-1.7499623845872541</v>
      </c>
      <c r="W58" s="4">
        <v>13.374837385144511</v>
      </c>
      <c r="X58" s="4">
        <v>116.97169727517046</v>
      </c>
      <c r="Y58" s="4">
        <v>30.10161244385003</v>
      </c>
      <c r="Z58" s="4">
        <v>595.599413542467</v>
      </c>
      <c r="AA58" s="4">
        <v>100.3869320602558</v>
      </c>
      <c r="AB58" s="4">
        <v>115.75508465177876</v>
      </c>
      <c r="AC58" s="4">
        <v>16.054560568501657</v>
      </c>
      <c r="AD58" s="4">
        <v>124.55405202584444</v>
      </c>
      <c r="AE58" s="4">
        <v>9.0429687002764041</v>
      </c>
      <c r="AF58" s="4">
        <v>9.4571534133423736</v>
      </c>
      <c r="AG58" s="4"/>
      <c r="AH58" s="4"/>
      <c r="AI58" s="4"/>
      <c r="AJ58" s="4"/>
      <c r="AK58" s="4"/>
      <c r="AL58" s="4"/>
      <c r="AM58" s="4"/>
      <c r="AN58" s="4"/>
      <c r="AO58" s="4"/>
      <c r="AP58" s="4"/>
      <c r="AQ58" s="4"/>
      <c r="AR58" s="4"/>
      <c r="AS58" s="4"/>
      <c r="AT58" s="4"/>
      <c r="AU58" s="4"/>
      <c r="AV58" s="4"/>
      <c r="AW58" s="4"/>
      <c r="AX58" s="4"/>
      <c r="AY58" s="4"/>
      <c r="AZ58" s="4"/>
      <c r="BA58" s="4"/>
      <c r="BB58" s="4"/>
    </row>
    <row r="59" spans="1:54" x14ac:dyDescent="0.3">
      <c r="A59" s="4">
        <v>4110</v>
      </c>
      <c r="B59" s="4"/>
      <c r="C59" s="4">
        <v>615.7445841736893</v>
      </c>
      <c r="D59" s="4">
        <v>-9.514241906380938E-10</v>
      </c>
      <c r="E59" s="4">
        <v>-4.4292017985537857E-9</v>
      </c>
      <c r="F59" s="4">
        <v>-3.8850287749540816E-7</v>
      </c>
      <c r="G59" s="4">
        <v>-4.2897318343888002E-7</v>
      </c>
      <c r="H59" s="4">
        <v>-7.3738116749423337E-6</v>
      </c>
      <c r="I59" s="4">
        <v>-2.7803454480719905E-5</v>
      </c>
      <c r="J59" s="4">
        <v>-9.6211508572789151E-4</v>
      </c>
      <c r="K59" s="4">
        <v>-1.4087847404723086E-3</v>
      </c>
      <c r="L59" s="4">
        <v>-6.8581203304823824E-3</v>
      </c>
      <c r="M59" s="4">
        <v>-3.6599842589904251E-2</v>
      </c>
      <c r="N59" s="4">
        <v>-0.35867173084380488</v>
      </c>
      <c r="O59" s="4">
        <v>-2.7768120174195219</v>
      </c>
      <c r="P59" s="4">
        <v>-7.3374900058761927</v>
      </c>
      <c r="Q59" s="4">
        <v>-0.61127542074099606</v>
      </c>
      <c r="R59" s="4">
        <v>-22.881337953347071</v>
      </c>
      <c r="S59" s="4">
        <v>-6.7674318923034971</v>
      </c>
      <c r="T59" s="4">
        <v>17.951337456422714</v>
      </c>
      <c r="U59" s="4">
        <v>13.176294216028737</v>
      </c>
      <c r="V59" s="4">
        <v>-1.5344374347360465</v>
      </c>
      <c r="W59" s="4">
        <v>12.298947088280473</v>
      </c>
      <c r="X59" s="4">
        <v>112.83484689322727</v>
      </c>
      <c r="Y59" s="4">
        <v>30.469183748452455</v>
      </c>
      <c r="Z59" s="4">
        <v>632.79207839533387</v>
      </c>
      <c r="AA59" s="4">
        <v>111.9820274670748</v>
      </c>
      <c r="AB59" s="4">
        <v>135.61440921980937</v>
      </c>
      <c r="AC59" s="4">
        <v>19.760168952677855</v>
      </c>
      <c r="AD59" s="4">
        <v>161.1053866653744</v>
      </c>
      <c r="AE59" s="4">
        <v>12.295844775739845</v>
      </c>
      <c r="AF59" s="4">
        <v>13.521964787093671</v>
      </c>
      <c r="AG59" s="4"/>
      <c r="AH59" s="4"/>
      <c r="AI59" s="4"/>
      <c r="AJ59" s="4"/>
      <c r="AK59" s="4"/>
      <c r="AL59" s="4"/>
      <c r="AM59" s="4"/>
      <c r="AN59" s="4"/>
      <c r="AO59" s="4"/>
      <c r="AP59" s="4"/>
      <c r="AQ59" s="4"/>
      <c r="AR59" s="4"/>
      <c r="AS59" s="4"/>
      <c r="AT59" s="4"/>
      <c r="AU59" s="4"/>
      <c r="AV59" s="4"/>
      <c r="AW59" s="4"/>
      <c r="AX59" s="4"/>
      <c r="AY59" s="4"/>
      <c r="AZ59" s="4"/>
      <c r="BA59" s="4"/>
      <c r="BB59" s="4"/>
    </row>
    <row r="60" spans="1:54" x14ac:dyDescent="0.3">
      <c r="A60" s="4">
        <v>4100</v>
      </c>
      <c r="B60" s="4"/>
      <c r="C60" s="4">
        <v>672.37754883946604</v>
      </c>
      <c r="D60" s="4">
        <v>-3.6278768960988967E-10</v>
      </c>
      <c r="E60" s="4">
        <v>-1.7632080566385429E-9</v>
      </c>
      <c r="F60" s="4">
        <v>-1.6150033576048996E-7</v>
      </c>
      <c r="G60" s="4">
        <v>-1.862571220339919E-7</v>
      </c>
      <c r="H60" s="4">
        <v>-3.3448906317403936E-6</v>
      </c>
      <c r="I60" s="4">
        <v>-1.3179547466516601E-5</v>
      </c>
      <c r="J60" s="4">
        <v>-4.7670148708113205E-4</v>
      </c>
      <c r="K60" s="4">
        <v>-7.2977490835738723E-4</v>
      </c>
      <c r="L60" s="4">
        <v>-3.7152022209810394E-3</v>
      </c>
      <c r="M60" s="4">
        <v>-2.0739540291622567E-2</v>
      </c>
      <c r="N60" s="4">
        <v>-0.21265242089579653</v>
      </c>
      <c r="O60" s="4">
        <v>-1.7229985915790642</v>
      </c>
      <c r="P60" s="4">
        <v>-4.7661147374117965</v>
      </c>
      <c r="Q60" s="4">
        <v>-0.41576411874923092</v>
      </c>
      <c r="R60" s="4">
        <v>-16.300483769108201</v>
      </c>
      <c r="S60" s="4">
        <v>-5.0509053618805879</v>
      </c>
      <c r="T60" s="4">
        <v>14.040644320008852</v>
      </c>
      <c r="U60" s="4">
        <v>10.803100824506608</v>
      </c>
      <c r="V60" s="4">
        <v>-1.3191394359042126</v>
      </c>
      <c r="W60" s="4">
        <v>11.089672717376949</v>
      </c>
      <c r="X60" s="4">
        <v>106.74012286538083</v>
      </c>
      <c r="Y60" s="4">
        <v>30.248567789830524</v>
      </c>
      <c r="Z60" s="4">
        <v>659.46535828998265</v>
      </c>
      <c r="AA60" s="4">
        <v>122.54489076822782</v>
      </c>
      <c r="AB60" s="4">
        <v>155.88316290493768</v>
      </c>
      <c r="AC60" s="4">
        <v>23.865068956051424</v>
      </c>
      <c r="AD60" s="4">
        <v>204.50060311048699</v>
      </c>
      <c r="AE60" s="4">
        <v>16.409331832520188</v>
      </c>
      <c r="AF60" s="4">
        <v>18.978309828380191</v>
      </c>
      <c r="AG60" s="4"/>
      <c r="AH60" s="4"/>
      <c r="AI60" s="4"/>
      <c r="AJ60" s="4"/>
      <c r="AK60" s="4"/>
      <c r="AL60" s="4"/>
      <c r="AM60" s="4"/>
      <c r="AN60" s="4"/>
      <c r="AO60" s="4"/>
      <c r="AP60" s="4"/>
      <c r="AQ60" s="4"/>
      <c r="AR60" s="4"/>
      <c r="AS60" s="4"/>
      <c r="AT60" s="4"/>
      <c r="AU60" s="4"/>
      <c r="AV60" s="4"/>
      <c r="AW60" s="4"/>
      <c r="AX60" s="4"/>
      <c r="AY60" s="4"/>
      <c r="AZ60" s="4"/>
      <c r="BA60" s="4"/>
      <c r="BB60" s="4"/>
    </row>
    <row r="61" spans="1:54" x14ac:dyDescent="0.3">
      <c r="A61" s="4">
        <v>4090</v>
      </c>
      <c r="B61" s="4"/>
      <c r="C61" s="4">
        <v>724.5030651579707</v>
      </c>
      <c r="D61" s="4">
        <v>-1.3534032784262659E-10</v>
      </c>
      <c r="E61" s="4">
        <v>-6.8678950575006508E-10</v>
      </c>
      <c r="F61" s="4">
        <v>-6.5696241860659731E-8</v>
      </c>
      <c r="G61" s="4">
        <v>-7.9146133312061965E-8</v>
      </c>
      <c r="H61" s="4">
        <v>-1.4850883389243313E-6</v>
      </c>
      <c r="I61" s="4">
        <v>-6.1154637312145356E-6</v>
      </c>
      <c r="J61" s="4">
        <v>-2.312278150939205E-4</v>
      </c>
      <c r="K61" s="4">
        <v>-3.7013017532151879E-4</v>
      </c>
      <c r="L61" s="4">
        <v>-1.9707364437021725E-3</v>
      </c>
      <c r="M61" s="4">
        <v>-1.1508944349929951E-2</v>
      </c>
      <c r="N61" s="4">
        <v>-0.12348322504575894</v>
      </c>
      <c r="O61" s="4">
        <v>-1.0472155472584646</v>
      </c>
      <c r="P61" s="4">
        <v>-3.0327926828749527</v>
      </c>
      <c r="Q61" s="4">
        <v>-0.27705574644024977</v>
      </c>
      <c r="R61" s="4">
        <v>-11.378336184765732</v>
      </c>
      <c r="S61" s="4">
        <v>-3.6942233670230884</v>
      </c>
      <c r="T61" s="4">
        <v>10.76305424754262</v>
      </c>
      <c r="U61" s="4">
        <v>8.6818407409915146</v>
      </c>
      <c r="V61" s="4">
        <v>-1.1117080091009834</v>
      </c>
      <c r="W61" s="4">
        <v>9.8034425817866691</v>
      </c>
      <c r="X61" s="4">
        <v>99.008416082970697</v>
      </c>
      <c r="Y61" s="4">
        <v>29.448281531428506</v>
      </c>
      <c r="Z61" s="4">
        <v>674.03985724484107</v>
      </c>
      <c r="AA61" s="4">
        <v>131.53960669796743</v>
      </c>
      <c r="AB61" s="4">
        <v>175.7758299972939</v>
      </c>
      <c r="AC61" s="4">
        <v>28.278330111213798</v>
      </c>
      <c r="AD61" s="4">
        <v>254.7128932424294</v>
      </c>
      <c r="AE61" s="4">
        <v>21.490589863089767</v>
      </c>
      <c r="AF61" s="4">
        <v>26.142891521896082</v>
      </c>
      <c r="AG61" s="4"/>
      <c r="AH61" s="4"/>
      <c r="AI61" s="4"/>
      <c r="AJ61" s="4"/>
      <c r="AK61" s="4"/>
      <c r="AL61" s="4"/>
      <c r="AM61" s="4"/>
      <c r="AN61" s="4"/>
      <c r="AO61" s="4"/>
      <c r="AP61" s="4"/>
      <c r="AQ61" s="4"/>
      <c r="AR61" s="4"/>
      <c r="AS61" s="4"/>
      <c r="AT61" s="4"/>
      <c r="AU61" s="4"/>
      <c r="AV61" s="4"/>
      <c r="AW61" s="4"/>
      <c r="AX61" s="4"/>
      <c r="AY61" s="4"/>
      <c r="AZ61" s="4"/>
      <c r="BA61" s="4"/>
      <c r="BB61" s="4"/>
    </row>
    <row r="62" spans="1:54" x14ac:dyDescent="0.3">
      <c r="A62" s="4">
        <v>4080</v>
      </c>
      <c r="B62" s="4"/>
      <c r="C62" s="4">
        <v>771.49974671389418</v>
      </c>
      <c r="D62" s="4">
        <v>-4.9389078103320346E-11</v>
      </c>
      <c r="E62" s="4">
        <v>-2.6170898971355223E-10</v>
      </c>
      <c r="F62" s="4">
        <v>-2.6147409125950018E-8</v>
      </c>
      <c r="G62" s="4">
        <v>-3.2908943777256516E-8</v>
      </c>
      <c r="H62" s="4">
        <v>-6.4526294198808513E-7</v>
      </c>
      <c r="I62" s="4">
        <v>-2.777277405905428E-6</v>
      </c>
      <c r="J62" s="4">
        <v>-1.0978468844077434E-4</v>
      </c>
      <c r="K62" s="4">
        <v>-1.8377042114148533E-4</v>
      </c>
      <c r="L62" s="4">
        <v>-1.023476505745393E-3</v>
      </c>
      <c r="M62" s="4">
        <v>-6.2534985133420578E-3</v>
      </c>
      <c r="N62" s="4">
        <v>-7.0217444664637821E-2</v>
      </c>
      <c r="O62" s="4">
        <v>-0.62335459907241075</v>
      </c>
      <c r="P62" s="4">
        <v>-1.8902431075897845</v>
      </c>
      <c r="Q62" s="4">
        <v>-0.18085607021143876</v>
      </c>
      <c r="R62" s="4">
        <v>-7.781299778146292</v>
      </c>
      <c r="S62" s="4">
        <v>-2.6474137693546522</v>
      </c>
      <c r="T62" s="4">
        <v>8.0849753220712159</v>
      </c>
      <c r="U62" s="4">
        <v>6.8378583310108825</v>
      </c>
      <c r="V62" s="4">
        <v>-0.91830337712878063</v>
      </c>
      <c r="W62" s="4">
        <v>8.4954174840176826</v>
      </c>
      <c r="X62" s="4">
        <v>90.035522318033685</v>
      </c>
      <c r="Y62" s="4">
        <v>28.110197136648178</v>
      </c>
      <c r="Z62" s="4">
        <v>675.5845521341131</v>
      </c>
      <c r="AA62" s="4">
        <v>138.4747129565599</v>
      </c>
      <c r="AB62" s="4">
        <v>194.41245906524739</v>
      </c>
      <c r="AC62" s="4">
        <v>32.870213298723762</v>
      </c>
      <c r="AD62" s="4">
        <v>311.25618984067955</v>
      </c>
      <c r="AE62" s="4">
        <v>27.616578736074786</v>
      </c>
      <c r="AF62" s="4">
        <v>35.340078962812754</v>
      </c>
      <c r="AG62" s="4"/>
      <c r="AH62" s="4"/>
      <c r="AI62" s="4"/>
      <c r="AJ62" s="4"/>
      <c r="AK62" s="4"/>
      <c r="AL62" s="4"/>
      <c r="AM62" s="4"/>
      <c r="AN62" s="4"/>
      <c r="AO62" s="4"/>
      <c r="AP62" s="4"/>
      <c r="AQ62" s="4"/>
      <c r="AR62" s="4"/>
      <c r="AS62" s="4"/>
      <c r="AT62" s="4"/>
      <c r="AU62" s="4"/>
      <c r="AV62" s="4"/>
      <c r="AW62" s="4"/>
      <c r="AX62" s="4"/>
      <c r="AY62" s="4"/>
      <c r="AZ62" s="4"/>
      <c r="BA62" s="4"/>
      <c r="BB62" s="4"/>
    </row>
    <row r="63" spans="1:54" x14ac:dyDescent="0.3">
      <c r="A63" s="4">
        <v>4070</v>
      </c>
      <c r="B63" s="4"/>
      <c r="C63" s="4">
        <v>812.76555193484057</v>
      </c>
      <c r="D63" s="4">
        <v>-1.7627702561094817E-11</v>
      </c>
      <c r="E63" s="4">
        <v>-9.754855571888194E-11</v>
      </c>
      <c r="F63" s="4">
        <v>-1.0180529670286851E-8</v>
      </c>
      <c r="G63" s="4">
        <v>-1.3387465890840011E-8</v>
      </c>
      <c r="H63" s="4">
        <v>-2.7432679127937338E-7</v>
      </c>
      <c r="I63" s="4">
        <v>-1.2342505260940959E-6</v>
      </c>
      <c r="J63" s="4">
        <v>-5.1013492436679501E-5</v>
      </c>
      <c r="K63" s="4">
        <v>-8.9307096106180133E-5</v>
      </c>
      <c r="L63" s="4">
        <v>-5.2031263186741602E-4</v>
      </c>
      <c r="M63" s="4">
        <v>-3.3265646316569452E-3</v>
      </c>
      <c r="N63" s="4">
        <v>-3.9094521043983255E-2</v>
      </c>
      <c r="O63" s="4">
        <v>-0.3633430145336477</v>
      </c>
      <c r="P63" s="4">
        <v>-1.1537831270366894</v>
      </c>
      <c r="Q63" s="4">
        <v>-0.11563249629465501</v>
      </c>
      <c r="R63" s="4">
        <v>-5.2126192744589117</v>
      </c>
      <c r="S63" s="4">
        <v>-1.8586638253773897</v>
      </c>
      <c r="T63" s="4">
        <v>5.9504853394396227</v>
      </c>
      <c r="U63" s="4">
        <v>5.2772706811051817</v>
      </c>
      <c r="V63" s="4">
        <v>-0.74338429638755243</v>
      </c>
      <c r="W63" s="4">
        <v>7.2156201993695266</v>
      </c>
      <c r="X63" s="4">
        <v>80.258282756551054</v>
      </c>
      <c r="Y63" s="4">
        <v>26.305933129833161</v>
      </c>
      <c r="Z63" s="4">
        <v>663.91385069995431</v>
      </c>
      <c r="AA63" s="4">
        <v>142.94685764065298</v>
      </c>
      <c r="AB63" s="4">
        <v>210.87829183351417</v>
      </c>
      <c r="AC63" s="4">
        <v>37.475470692757028</v>
      </c>
      <c r="AD63" s="4">
        <v>373.1076665773403</v>
      </c>
      <c r="AE63" s="4">
        <v>34.817224950605848</v>
      </c>
      <c r="AF63" s="4">
        <v>46.874658653803372</v>
      </c>
      <c r="AG63" s="4"/>
      <c r="AH63" s="4"/>
      <c r="AI63" s="4"/>
      <c r="AJ63" s="4"/>
      <c r="AK63" s="4"/>
      <c r="AL63" s="4"/>
      <c r="AM63" s="4"/>
      <c r="AN63" s="4"/>
      <c r="AO63" s="4"/>
      <c r="AP63" s="4"/>
      <c r="AQ63" s="4"/>
      <c r="AR63" s="4"/>
      <c r="AS63" s="4"/>
      <c r="AT63" s="4"/>
      <c r="AU63" s="4"/>
      <c r="AV63" s="4"/>
      <c r="AW63" s="4"/>
      <c r="AX63" s="4"/>
      <c r="AY63" s="4"/>
      <c r="AZ63" s="4"/>
      <c r="BA63" s="4"/>
      <c r="BB63" s="4"/>
    </row>
    <row r="64" spans="1:54" x14ac:dyDescent="0.3">
      <c r="A64" s="4">
        <v>4060</v>
      </c>
      <c r="B64" s="4"/>
      <c r="C64" s="4">
        <v>847.73494365180647</v>
      </c>
      <c r="D64" s="4">
        <v>-6.152520760676848E-12</v>
      </c>
      <c r="E64" s="4">
        <v>-3.5560017563243152E-11</v>
      </c>
      <c r="F64" s="4">
        <v>-3.8770160386442395E-9</v>
      </c>
      <c r="G64" s="4">
        <v>-5.3273983095312059E-9</v>
      </c>
      <c r="H64" s="4">
        <v>-1.1409830254469456E-7</v>
      </c>
      <c r="I64" s="4">
        <v>-5.3667850672737974E-7</v>
      </c>
      <c r="J64" s="4">
        <v>-2.319544911419258E-5</v>
      </c>
      <c r="K64" s="4">
        <v>-4.2473559753199654E-5</v>
      </c>
      <c r="L64" s="4">
        <v>-2.5889362395507869E-4</v>
      </c>
      <c r="M64" s="4">
        <v>-1.7321591926645499E-3</v>
      </c>
      <c r="N64" s="4">
        <v>-2.130857458369334E-2</v>
      </c>
      <c r="O64" s="4">
        <v>-0.20735526594890979</v>
      </c>
      <c r="P64" s="4">
        <v>-0.68959891993227285</v>
      </c>
      <c r="Q64" s="4">
        <v>-7.2400593649652165E-2</v>
      </c>
      <c r="R64" s="4">
        <v>-3.4199921669196605</v>
      </c>
      <c r="S64" s="4">
        <v>-1.2781894845266391</v>
      </c>
      <c r="T64" s="4">
        <v>4.2903415624038415</v>
      </c>
      <c r="U64" s="4">
        <v>3.9903881802696892</v>
      </c>
      <c r="V64" s="4">
        <v>-0.58966873652783325</v>
      </c>
      <c r="W64" s="4">
        <v>6.0059462990494588</v>
      </c>
      <c r="X64" s="4">
        <v>70.119095603971203</v>
      </c>
      <c r="Y64" s="4">
        <v>24.130478889356251</v>
      </c>
      <c r="Z64" s="4">
        <v>639.61466514074993</v>
      </c>
      <c r="AA64" s="4">
        <v>144.67916483666164</v>
      </c>
      <c r="AB64" s="4">
        <v>224.29510572927919</v>
      </c>
      <c r="AC64" s="4">
        <v>41.901062725619269</v>
      </c>
      <c r="AD64" s="4">
        <v>438.66933420152617</v>
      </c>
      <c r="AE64" s="4">
        <v>43.058535298308541</v>
      </c>
      <c r="AF64" s="4">
        <v>60.996339960354753</v>
      </c>
      <c r="AG64" s="4"/>
      <c r="AH64" s="4"/>
      <c r="AI64" s="4"/>
      <c r="AJ64" s="4"/>
      <c r="AK64" s="4"/>
      <c r="AL64" s="4"/>
      <c r="AM64" s="4"/>
      <c r="AN64" s="4"/>
      <c r="AO64" s="4"/>
      <c r="AP64" s="4"/>
      <c r="AQ64" s="4"/>
      <c r="AR64" s="4"/>
      <c r="AS64" s="4"/>
      <c r="AT64" s="4"/>
      <c r="AU64" s="4"/>
      <c r="AV64" s="4"/>
      <c r="AW64" s="4"/>
      <c r="AX64" s="4"/>
      <c r="AY64" s="4"/>
      <c r="AZ64" s="4"/>
      <c r="BA64" s="4"/>
      <c r="BB64" s="4"/>
    </row>
    <row r="65" spans="1:54" x14ac:dyDescent="0.3">
      <c r="A65" s="4">
        <v>4050</v>
      </c>
      <c r="B65" s="4"/>
      <c r="C65" s="4">
        <v>875.88512075131916</v>
      </c>
      <c r="D65" s="4">
        <v>-2.0995871762672463E-12</v>
      </c>
      <c r="E65" s="4">
        <v>-1.2675733760287931E-11</v>
      </c>
      <c r="F65" s="4">
        <v>-1.4439151116836693E-9</v>
      </c>
      <c r="G65" s="4">
        <v>-2.0734610274603506E-9</v>
      </c>
      <c r="H65" s="4">
        <v>-4.6419600102857546E-8</v>
      </c>
      <c r="I65" s="4">
        <v>-2.2828844583297925E-7</v>
      </c>
      <c r="J65" s="4">
        <v>-1.031875309823821E-5</v>
      </c>
      <c r="K65" s="4">
        <v>-1.9765426322456949E-5</v>
      </c>
      <c r="L65" s="4">
        <v>-1.2606123779115093E-4</v>
      </c>
      <c r="M65" s="4">
        <v>-8.8273741670165601E-4</v>
      </c>
      <c r="N65" s="4">
        <v>-1.1368253257695995E-2</v>
      </c>
      <c r="O65" s="4">
        <v>-0.11584128988098839</v>
      </c>
      <c r="P65" s="4">
        <v>-0.40352321770963723</v>
      </c>
      <c r="Q65" s="4">
        <v>-4.4386787024106727E-2</v>
      </c>
      <c r="R65" s="4">
        <v>-2.197321737761412</v>
      </c>
      <c r="S65" s="4">
        <v>-0.86087369945345582</v>
      </c>
      <c r="T65" s="4">
        <v>3.0299245877092549</v>
      </c>
      <c r="U65" s="4">
        <v>2.9557817073900163</v>
      </c>
      <c r="V65" s="4">
        <v>-0.45825322178853739</v>
      </c>
      <c r="W65" s="4">
        <v>4.8982788112067581</v>
      </c>
      <c r="X65" s="4">
        <v>60.032842859483715</v>
      </c>
      <c r="Y65" s="4">
        <v>21.693844759698859</v>
      </c>
      <c r="Z65" s="4">
        <v>603.998650767139</v>
      </c>
      <c r="AA65" s="4">
        <v>143.54930058499372</v>
      </c>
      <c r="AB65" s="4">
        <v>233.89696525449892</v>
      </c>
      <c r="AC65" s="4">
        <v>45.938132618856926</v>
      </c>
      <c r="AD65" s="4">
        <v>505.7833847030451</v>
      </c>
      <c r="AE65" s="4">
        <v>52.22791545051858</v>
      </c>
      <c r="AF65" s="4">
        <v>77.857826766047083</v>
      </c>
      <c r="AG65" s="4"/>
      <c r="AH65" s="4"/>
      <c r="AI65" s="4"/>
      <c r="AJ65" s="4"/>
      <c r="AK65" s="4"/>
      <c r="AL65" s="4"/>
      <c r="AM65" s="4"/>
      <c r="AN65" s="4"/>
      <c r="AO65" s="4"/>
      <c r="AP65" s="4"/>
      <c r="AQ65" s="4"/>
      <c r="AR65" s="4"/>
      <c r="AS65" s="4"/>
      <c r="AT65" s="4"/>
      <c r="AU65" s="4"/>
      <c r="AV65" s="4"/>
      <c r="AW65" s="4"/>
      <c r="AX65" s="4"/>
      <c r="AY65" s="4"/>
      <c r="AZ65" s="4"/>
      <c r="BA65" s="4"/>
      <c r="BB65" s="4"/>
    </row>
    <row r="66" spans="1:54" x14ac:dyDescent="0.3">
      <c r="A66" s="4">
        <v>4040</v>
      </c>
      <c r="B66" s="4"/>
      <c r="C66" s="4">
        <v>896.73571137849524</v>
      </c>
      <c r="D66" s="4">
        <v>-7.0043596434113934E-13</v>
      </c>
      <c r="E66" s="4">
        <v>-4.4175833445284541E-12</v>
      </c>
      <c r="F66" s="4">
        <v>-5.2581537382452964E-10</v>
      </c>
      <c r="G66" s="4">
        <v>-7.891716015862894E-10</v>
      </c>
      <c r="H66" s="4">
        <v>-1.8469963551825879E-8</v>
      </c>
      <c r="I66" s="4">
        <v>-9.4982571512833229E-8</v>
      </c>
      <c r="J66" s="4">
        <v>-4.490451550786655E-6</v>
      </c>
      <c r="K66" s="4">
        <v>-8.9987136762666747E-6</v>
      </c>
      <c r="L66" s="4">
        <v>-6.0058867217986624E-5</v>
      </c>
      <c r="M66" s="4">
        <v>-4.4020962468767724E-4</v>
      </c>
      <c r="N66" s="4">
        <v>-5.9356260563162549E-3</v>
      </c>
      <c r="O66" s="4">
        <v>-6.3342415068099581E-2</v>
      </c>
      <c r="P66" s="4">
        <v>-0.23113895756831596</v>
      </c>
      <c r="Q66" s="4">
        <v>-2.6640844933979686E-2</v>
      </c>
      <c r="R66" s="4">
        <v>-1.3822774474390254</v>
      </c>
      <c r="S66" s="4">
        <v>-0.56776326353247464</v>
      </c>
      <c r="T66" s="4">
        <v>2.095590089914197</v>
      </c>
      <c r="U66" s="4">
        <v>2.144447169778354</v>
      </c>
      <c r="V66" s="4">
        <v>-0.34885122718030559</v>
      </c>
      <c r="W66" s="4">
        <v>3.9137645110773995</v>
      </c>
      <c r="X66" s="4">
        <v>50.359659614171882</v>
      </c>
      <c r="Y66" s="4">
        <v>19.111767004464216</v>
      </c>
      <c r="Z66" s="4">
        <v>558.98483399127781</v>
      </c>
      <c r="AA66" s="4">
        <v>139.60332618520098</v>
      </c>
      <c r="AB66" s="4">
        <v>239.10155335877275</v>
      </c>
      <c r="AC66" s="4">
        <v>49.377421943239518</v>
      </c>
      <c r="AD66" s="4">
        <v>571.81126254130379</v>
      </c>
      <c r="AE66" s="4">
        <v>62.124287965162388</v>
      </c>
      <c r="AF66" s="4">
        <v>97.469972036835316</v>
      </c>
      <c r="AG66" s="4"/>
      <c r="AH66" s="4"/>
      <c r="AI66" s="4"/>
      <c r="AJ66" s="4"/>
      <c r="AK66" s="4"/>
      <c r="AL66" s="4"/>
      <c r="AM66" s="4"/>
      <c r="AN66" s="4"/>
      <c r="AO66" s="4"/>
      <c r="AP66" s="4"/>
      <c r="AQ66" s="4"/>
      <c r="AR66" s="4"/>
      <c r="AS66" s="4"/>
      <c r="AT66" s="4"/>
      <c r="AU66" s="4"/>
      <c r="AV66" s="4"/>
      <c r="AW66" s="4"/>
      <c r="AX66" s="4"/>
      <c r="AY66" s="4"/>
      <c r="AZ66" s="4"/>
      <c r="BA66" s="4"/>
      <c r="BB66" s="4"/>
    </row>
    <row r="67" spans="1:54" x14ac:dyDescent="0.3">
      <c r="A67" s="4">
        <v>4030</v>
      </c>
      <c r="B67" s="4"/>
      <c r="C67" s="4">
        <v>909.84847737486632</v>
      </c>
      <c r="D67" s="4">
        <v>-2.2839484205707215E-13</v>
      </c>
      <c r="E67" s="4">
        <v>-1.5049662320936627E-12</v>
      </c>
      <c r="F67" s="4">
        <v>-1.8719857773480489E-10</v>
      </c>
      <c r="G67" s="4">
        <v>-2.9367853919208274E-10</v>
      </c>
      <c r="H67" s="4">
        <v>-7.1862724287464211E-9</v>
      </c>
      <c r="I67" s="4">
        <v>-3.8647817881121743E-8</v>
      </c>
      <c r="J67" s="4">
        <v>-1.9112707171121076E-6</v>
      </c>
      <c r="K67" s="4">
        <v>-4.0074921593961228E-6</v>
      </c>
      <c r="L67" s="4">
        <v>-2.7992364344197088E-5</v>
      </c>
      <c r="M67" s="4">
        <v>-2.1478480756557426E-4</v>
      </c>
      <c r="N67" s="4">
        <v>-3.0325277373070337E-3</v>
      </c>
      <c r="O67" s="4">
        <v>-3.3895419927021636E-2</v>
      </c>
      <c r="P67" s="4">
        <v>-0.12958148018531845</v>
      </c>
      <c r="Q67" s="4">
        <v>-1.5651563521291004E-2</v>
      </c>
      <c r="R67" s="4">
        <v>-0.85126115581843742</v>
      </c>
      <c r="S67" s="4">
        <v>-0.3666165209038223</v>
      </c>
      <c r="T67" s="4">
        <v>1.4192173639791739</v>
      </c>
      <c r="U67" s="4">
        <v>1.5236242641713831</v>
      </c>
      <c r="V67" s="4">
        <v>-0.26010355850135414</v>
      </c>
      <c r="W67" s="4">
        <v>3.0631571369606756</v>
      </c>
      <c r="X67" s="4">
        <v>41.385905007315564</v>
      </c>
      <c r="Y67" s="4">
        <v>16.496570436651954</v>
      </c>
      <c r="Z67" s="4">
        <v>506.92723701248792</v>
      </c>
      <c r="AA67" s="4">
        <v>133.05320961386886</v>
      </c>
      <c r="AB67" s="4">
        <v>239.56799639009611</v>
      </c>
      <c r="AC67" s="4">
        <v>52.026678224206961</v>
      </c>
      <c r="AD67" s="4">
        <v>633.77896645487192</v>
      </c>
      <c r="AE67" s="4">
        <v>72.455577775748338</v>
      </c>
      <c r="AF67" s="4">
        <v>119.65920603821982</v>
      </c>
      <c r="AG67" s="4"/>
      <c r="AH67" s="4"/>
      <c r="AI67" s="4"/>
      <c r="AJ67" s="4"/>
      <c r="AK67" s="4"/>
      <c r="AL67" s="4"/>
      <c r="AM67" s="4"/>
      <c r="AN67" s="4"/>
      <c r="AO67" s="4"/>
      <c r="AP67" s="4"/>
      <c r="AQ67" s="4"/>
      <c r="AR67" s="4"/>
      <c r="AS67" s="4"/>
      <c r="AT67" s="4"/>
      <c r="AU67" s="4"/>
      <c r="AV67" s="4"/>
      <c r="AW67" s="4"/>
      <c r="AX67" s="4"/>
      <c r="AY67" s="4"/>
      <c r="AZ67" s="4"/>
      <c r="BA67" s="4"/>
      <c r="BB67" s="4"/>
    </row>
    <row r="68" spans="1:54" x14ac:dyDescent="0.3">
      <c r="A68" s="4">
        <v>4020</v>
      </c>
      <c r="B68" s="4"/>
      <c r="C68" s="4">
        <v>914.83397448390065</v>
      </c>
      <c r="D68" s="4">
        <v>-7.2780740691365017E-14</v>
      </c>
      <c r="E68" s="4">
        <v>-5.0110455294961616E-13</v>
      </c>
      <c r="F68" s="4">
        <v>-6.5144674811368568E-11</v>
      </c>
      <c r="G68" s="4">
        <v>-1.0683852036053321E-10</v>
      </c>
      <c r="H68" s="4">
        <v>-2.7336584307564133E-9</v>
      </c>
      <c r="I68" s="4">
        <v>-1.5376492199744841E-8</v>
      </c>
      <c r="J68" s="4">
        <v>-7.9552569350476183E-7</v>
      </c>
      <c r="K68" s="4">
        <v>-1.745474819394285E-6</v>
      </c>
      <c r="L68" s="4">
        <v>-1.2761443593081174E-5</v>
      </c>
      <c r="M68" s="4">
        <v>-1.0251673285929131E-4</v>
      </c>
      <c r="N68" s="4">
        <v>-1.5157929363517671E-3</v>
      </c>
      <c r="O68" s="4">
        <v>-1.7747379071710027E-2</v>
      </c>
      <c r="P68" s="4">
        <v>-7.1090206081688229E-2</v>
      </c>
      <c r="Q68" s="4">
        <v>-8.9994308885367885E-3</v>
      </c>
      <c r="R68" s="4">
        <v>-0.51313167276651772</v>
      </c>
      <c r="S68" s="4">
        <v>-0.23174283200007642</v>
      </c>
      <c r="T68" s="4">
        <v>0.94100613396239641</v>
      </c>
      <c r="U68" s="4">
        <v>1.059968829127814</v>
      </c>
      <c r="V68" s="4">
        <v>-0.18991403065362195</v>
      </c>
      <c r="W68" s="4">
        <v>2.3480153103607746</v>
      </c>
      <c r="X68" s="4">
        <v>33.314388696911116</v>
      </c>
      <c r="Y68" s="4">
        <v>13.949196350024026</v>
      </c>
      <c r="Z68" s="4">
        <v>450.40917092611306</v>
      </c>
      <c r="AA68" s="4">
        <v>124.25805945140922</v>
      </c>
      <c r="AB68" s="4">
        <v>235.23328890393907</v>
      </c>
      <c r="AC68" s="4">
        <v>53.728120810375316</v>
      </c>
      <c r="AD68" s="4">
        <v>688.58162912042212</v>
      </c>
      <c r="AE68" s="4">
        <v>82.845645575674212</v>
      </c>
      <c r="AF68" s="4">
        <v>144.03371804134019</v>
      </c>
      <c r="AG68" s="4"/>
      <c r="AH68" s="4"/>
      <c r="AI68" s="4"/>
      <c r="AJ68" s="4"/>
      <c r="AK68" s="4"/>
      <c r="AL68" s="4"/>
      <c r="AM68" s="4"/>
      <c r="AN68" s="4"/>
      <c r="AO68" s="4"/>
      <c r="AP68" s="4"/>
      <c r="AQ68" s="4"/>
      <c r="AR68" s="4"/>
      <c r="AS68" s="4"/>
      <c r="AT68" s="4"/>
      <c r="AU68" s="4"/>
      <c r="AV68" s="4"/>
      <c r="AW68" s="4"/>
      <c r="AX68" s="4"/>
      <c r="AY68" s="4"/>
      <c r="AZ68" s="4"/>
      <c r="BA68" s="4"/>
      <c r="BB68" s="4"/>
    </row>
    <row r="69" spans="1:54" x14ac:dyDescent="0.3">
      <c r="A69" s="4">
        <v>4010</v>
      </c>
      <c r="B69" s="4"/>
      <c r="C69" s="4">
        <v>911.37056157518111</v>
      </c>
      <c r="D69" s="4">
        <v>-2.2661431037925283E-14</v>
      </c>
      <c r="E69" s="4">
        <v>-1.6304899394711387E-13</v>
      </c>
      <c r="F69" s="4">
        <v>-2.2155993838796669E-11</v>
      </c>
      <c r="G69" s="4">
        <v>-3.7989840995112553E-11</v>
      </c>
      <c r="H69" s="4">
        <v>-1.01652264850058E-9</v>
      </c>
      <c r="I69" s="4">
        <v>-5.9809524930401549E-9</v>
      </c>
      <c r="J69" s="4">
        <v>-3.2375450348328312E-7</v>
      </c>
      <c r="K69" s="4">
        <v>-7.4341819360723875E-7</v>
      </c>
      <c r="L69" s="4">
        <v>-5.6896831535837252E-6</v>
      </c>
      <c r="M69" s="4">
        <v>-4.7859003356568479E-5</v>
      </c>
      <c r="N69" s="4">
        <v>-7.4114399445002102E-4</v>
      </c>
      <c r="O69" s="4">
        <v>-9.0908660254591794E-3</v>
      </c>
      <c r="P69" s="4">
        <v>-3.815969805387983E-2</v>
      </c>
      <c r="Q69" s="4">
        <v>-5.0635076407289275E-3</v>
      </c>
      <c r="R69" s="4">
        <v>-0.3027087770175057</v>
      </c>
      <c r="S69" s="4">
        <v>-0.1433778791246518</v>
      </c>
      <c r="T69" s="4">
        <v>0.61075810076995285</v>
      </c>
      <c r="U69" s="4">
        <v>0.72192741644963432</v>
      </c>
      <c r="V69" s="4">
        <v>-0.13577047230368885</v>
      </c>
      <c r="W69" s="4">
        <v>1.7624739145252177</v>
      </c>
      <c r="X69" s="4">
        <v>26.263601905584459</v>
      </c>
      <c r="Y69" s="4">
        <v>11.55316554241092</v>
      </c>
      <c r="Z69" s="4">
        <v>392.02943311641138</v>
      </c>
      <c r="AA69" s="4">
        <v>113.69137575983754</v>
      </c>
      <c r="AB69" s="4">
        <v>226.32197676607484</v>
      </c>
      <c r="AC69" s="4">
        <v>54.37380561575619</v>
      </c>
      <c r="AD69" s="4">
        <v>733.23040819108905</v>
      </c>
      <c r="AE69" s="4">
        <v>92.851776725959667</v>
      </c>
      <c r="AF69" s="4">
        <v>169.96538706257098</v>
      </c>
      <c r="AG69" s="4"/>
      <c r="AH69" s="4"/>
      <c r="AI69" s="4"/>
      <c r="AJ69" s="4"/>
      <c r="AK69" s="4"/>
      <c r="AL69" s="4"/>
      <c r="AM69" s="4"/>
      <c r="AN69" s="4"/>
      <c r="AO69" s="4"/>
      <c r="AP69" s="4"/>
      <c r="AQ69" s="4"/>
      <c r="AR69" s="4"/>
      <c r="AS69" s="4"/>
      <c r="AT69" s="4"/>
      <c r="AU69" s="4"/>
      <c r="AV69" s="4"/>
      <c r="AW69" s="4"/>
      <c r="AX69" s="4"/>
      <c r="AY69" s="4"/>
      <c r="AZ69" s="4"/>
      <c r="BA69" s="4"/>
      <c r="BB69" s="4"/>
    </row>
    <row r="70" spans="1:54" x14ac:dyDescent="0.3">
      <c r="A70" s="4">
        <v>4000</v>
      </c>
      <c r="B70" s="4"/>
      <c r="C70" s="4">
        <v>899.2379409946634</v>
      </c>
      <c r="D70" s="4">
        <v>-6.893290536445345E-15</v>
      </c>
      <c r="E70" s="4">
        <v>-5.1835110345828189E-14</v>
      </c>
      <c r="F70" s="4">
        <v>-7.363218302253509E-12</v>
      </c>
      <c r="G70" s="4">
        <v>-1.3201384200128051E-11</v>
      </c>
      <c r="H70" s="4">
        <v>-3.6944583586450777E-10</v>
      </c>
      <c r="I70" s="4">
        <v>-2.2740139735242578E-9</v>
      </c>
      <c r="J70" s="4">
        <v>-1.2880602601783085E-7</v>
      </c>
      <c r="K70" s="4">
        <v>-3.0957142893088633E-7</v>
      </c>
      <c r="L70" s="4">
        <v>-2.4804704515815117E-6</v>
      </c>
      <c r="M70" s="4">
        <v>-2.1849431007315714E-5</v>
      </c>
      <c r="N70" s="4">
        <v>-3.5442395596533264E-4</v>
      </c>
      <c r="O70" s="4">
        <v>-4.5549593663474228E-3</v>
      </c>
      <c r="P70" s="4">
        <v>-2.0038215859058007E-2</v>
      </c>
      <c r="Q70" s="4">
        <v>-2.7873910245203894E-3</v>
      </c>
      <c r="R70" s="4">
        <v>-0.17473606216465334</v>
      </c>
      <c r="S70" s="4">
        <v>-8.6810242207282201E-2</v>
      </c>
      <c r="T70" s="4">
        <v>0.38798142068807878</v>
      </c>
      <c r="U70" s="4">
        <v>0.48129475824915025</v>
      </c>
      <c r="V70" s="4">
        <v>-9.502181373061197E-2</v>
      </c>
      <c r="W70" s="4">
        <v>1.2952901069452756</v>
      </c>
      <c r="X70" s="4">
        <v>20.274608999620582</v>
      </c>
      <c r="Y70" s="4">
        <v>9.3709166271497164</v>
      </c>
      <c r="Z70" s="4">
        <v>334.20521711476545</v>
      </c>
      <c r="AA70" s="4">
        <v>101.89848771446599</v>
      </c>
      <c r="AB70" s="4">
        <v>213.32729723624266</v>
      </c>
      <c r="AC70" s="4">
        <v>53.916835892995003</v>
      </c>
      <c r="AD70" s="4">
        <v>765.11596629277312</v>
      </c>
      <c r="AE70" s="4">
        <v>101.9924516578369</v>
      </c>
      <c r="AF70" s="4">
        <v>196.59386204684608</v>
      </c>
      <c r="AG70" s="4"/>
      <c r="AH70" s="4"/>
      <c r="AI70" s="4"/>
      <c r="AJ70" s="4"/>
      <c r="AK70" s="4"/>
      <c r="AL70" s="4"/>
      <c r="AM70" s="4"/>
      <c r="AN70" s="4"/>
      <c r="AO70" s="4"/>
      <c r="AP70" s="4"/>
      <c r="AQ70" s="4"/>
      <c r="AR70" s="4"/>
      <c r="AS70" s="4"/>
      <c r="AT70" s="4"/>
      <c r="AU70" s="4"/>
      <c r="AV70" s="4"/>
      <c r="AW70" s="4"/>
      <c r="AX70" s="4"/>
      <c r="AY70" s="4"/>
      <c r="AZ70" s="4"/>
      <c r="BA70" s="4"/>
      <c r="BB70" s="4"/>
    </row>
    <row r="71" spans="1:54" x14ac:dyDescent="0.3">
      <c r="A71" s="4">
        <v>3990</v>
      </c>
      <c r="B71" s="4"/>
      <c r="C71" s="4">
        <v>878.36324899742181</v>
      </c>
      <c r="D71" s="4">
        <v>-2.0481477552977965E-15</v>
      </c>
      <c r="E71" s="4">
        <v>-1.6098053134413135E-14</v>
      </c>
      <c r="F71" s="4">
        <v>-2.3907588887353328E-12</v>
      </c>
      <c r="G71" s="4">
        <v>-4.4824104983965443E-12</v>
      </c>
      <c r="H71" s="4">
        <v>-1.3121195886733251E-10</v>
      </c>
      <c r="I71" s="4">
        <v>-8.4499446856833033E-10</v>
      </c>
      <c r="J71" s="4">
        <v>-5.008916718793749E-8</v>
      </c>
      <c r="K71" s="4">
        <v>-1.2601591726872409E-7</v>
      </c>
      <c r="L71" s="4">
        <v>-1.0572233306118754E-6</v>
      </c>
      <c r="M71" s="4">
        <v>-9.753342089340619E-6</v>
      </c>
      <c r="N71" s="4">
        <v>-1.6574132654381343E-4</v>
      </c>
      <c r="O71" s="4">
        <v>-2.2320387700844654E-3</v>
      </c>
      <c r="P71" s="4">
        <v>-1.02920562227806E-2</v>
      </c>
      <c r="Q71" s="4">
        <v>-1.5010134992347064E-3</v>
      </c>
      <c r="R71" s="4">
        <v>-9.8680636151349643E-2</v>
      </c>
      <c r="S71" s="4">
        <v>-5.1428462697700038E-2</v>
      </c>
      <c r="T71" s="4">
        <v>0.24118404694880927</v>
      </c>
      <c r="U71" s="4">
        <v>0.3140343752460048</v>
      </c>
      <c r="V71" s="4">
        <v>-6.5094243078506364E-2</v>
      </c>
      <c r="W71" s="4">
        <v>0.93189248626285648</v>
      </c>
      <c r="X71" s="4">
        <v>15.323520390596796</v>
      </c>
      <c r="Y71" s="4">
        <v>7.4426018854951019</v>
      </c>
      <c r="Z71" s="4">
        <v>279.01240594513968</v>
      </c>
      <c r="AA71" s="4">
        <v>89.449542987301726</v>
      </c>
      <c r="AB71" s="4">
        <v>196.96591242613849</v>
      </c>
      <c r="AC71" s="4">
        <v>52.376817845231379</v>
      </c>
      <c r="AD71" s="4">
        <v>782.25717631120392</v>
      </c>
      <c r="AE71" s="4">
        <v>109.78351593767562</v>
      </c>
      <c r="AF71" s="4">
        <v>222.85729853700303</v>
      </c>
      <c r="AG71" s="4"/>
      <c r="AH71" s="4"/>
      <c r="AI71" s="4"/>
      <c r="AJ71" s="4"/>
      <c r="AK71" s="4"/>
      <c r="AL71" s="4"/>
      <c r="AM71" s="4"/>
      <c r="AN71" s="4"/>
      <c r="AO71" s="4"/>
      <c r="AP71" s="4"/>
      <c r="AQ71" s="4"/>
      <c r="AR71" s="4"/>
      <c r="AS71" s="4"/>
      <c r="AT71" s="4"/>
      <c r="AU71" s="4"/>
      <c r="AV71" s="4"/>
      <c r="AW71" s="4"/>
      <c r="AX71" s="4"/>
      <c r="AY71" s="4"/>
      <c r="AZ71" s="4"/>
      <c r="BA71" s="4"/>
      <c r="BB71" s="4"/>
    </row>
    <row r="72" spans="1:54" x14ac:dyDescent="0.3">
      <c r="A72" s="4">
        <v>3980</v>
      </c>
      <c r="B72" s="4"/>
      <c r="C72" s="4">
        <v>848.8735737212919</v>
      </c>
      <c r="D72" s="4">
        <v>-5.9431655650987187E-16</v>
      </c>
      <c r="E72" s="4">
        <v>-4.8830677263587888E-15</v>
      </c>
      <c r="F72" s="4">
        <v>-7.5826746613067343E-13</v>
      </c>
      <c r="G72" s="4">
        <v>-1.4868633846020187E-12</v>
      </c>
      <c r="H72" s="4">
        <v>-4.5531541764192613E-11</v>
      </c>
      <c r="I72" s="4">
        <v>-3.0681753543229742E-10</v>
      </c>
      <c r="J72" s="4">
        <v>-1.9035599883399497E-8</v>
      </c>
      <c r="K72" s="4">
        <v>-5.01366017877358E-8</v>
      </c>
      <c r="L72" s="4">
        <v>-4.4046812309381096E-7</v>
      </c>
      <c r="M72" s="4">
        <v>-4.2563000625884116E-6</v>
      </c>
      <c r="N72" s="4">
        <v>-7.5780014437806551E-5</v>
      </c>
      <c r="O72" s="4">
        <v>-1.069512973636741E-3</v>
      </c>
      <c r="P72" s="4">
        <v>-5.1696792999371532E-3</v>
      </c>
      <c r="Q72" s="4">
        <v>-7.9057159184117666E-4</v>
      </c>
      <c r="R72" s="4">
        <v>-5.4513377892262446E-2</v>
      </c>
      <c r="S72" s="4">
        <v>-2.9806434472681644E-2</v>
      </c>
      <c r="T72" s="4">
        <v>0.14669408318731256</v>
      </c>
      <c r="U72" s="4">
        <v>0.20050369803556309</v>
      </c>
      <c r="V72" s="4">
        <v>-4.3640937135163614E-2</v>
      </c>
      <c r="W72" s="4">
        <v>0.65622110183186244</v>
      </c>
      <c r="X72" s="4">
        <v>11.337151585324902</v>
      </c>
      <c r="Y72" s="4">
        <v>5.7870986740457049</v>
      </c>
      <c r="Z72" s="4">
        <v>228.07703580264729</v>
      </c>
      <c r="AA72" s="4">
        <v>76.893738413911038</v>
      </c>
      <c r="AB72" s="4">
        <v>178.11201544518767</v>
      </c>
      <c r="AC72" s="4">
        <v>49.838700326602819</v>
      </c>
      <c r="AD72" s="4">
        <v>783.50263730583242</v>
      </c>
      <c r="AE72" s="4">
        <v>115.77930344540972</v>
      </c>
      <c r="AF72" s="4">
        <v>247.55111862024225</v>
      </c>
      <c r="AG72" s="4"/>
      <c r="AH72" s="4"/>
      <c r="AI72" s="4"/>
      <c r="AJ72" s="4"/>
      <c r="AK72" s="4"/>
      <c r="AL72" s="4"/>
      <c r="AM72" s="4"/>
      <c r="AN72" s="4"/>
      <c r="AO72" s="4"/>
      <c r="AP72" s="4"/>
      <c r="AQ72" s="4"/>
      <c r="AR72" s="4"/>
      <c r="AS72" s="4"/>
      <c r="AT72" s="4"/>
      <c r="AU72" s="4"/>
      <c r="AV72" s="4"/>
      <c r="AW72" s="4"/>
      <c r="AX72" s="4"/>
      <c r="AY72" s="4"/>
      <c r="AZ72" s="4"/>
      <c r="BA72" s="4"/>
      <c r="BB72" s="4"/>
    </row>
    <row r="73" spans="1:54" x14ac:dyDescent="0.3">
      <c r="A73" s="4">
        <v>3970</v>
      </c>
      <c r="B73" s="4"/>
      <c r="C73" s="4">
        <v>811.14566742860245</v>
      </c>
      <c r="D73" s="4">
        <v>-1.6839219067748554E-16</v>
      </c>
      <c r="E73" s="4">
        <v>-1.4464658070701118E-15</v>
      </c>
      <c r="F73" s="4">
        <v>-2.3488420961082307E-13</v>
      </c>
      <c r="G73" s="4">
        <v>-4.8175280315061467E-13</v>
      </c>
      <c r="H73" s="4">
        <v>-1.5434561441667794E-11</v>
      </c>
      <c r="I73" s="4">
        <v>-1.0884262728769936E-10</v>
      </c>
      <c r="J73" s="4">
        <v>-7.0685714956006244E-9</v>
      </c>
      <c r="K73" s="4">
        <v>-1.9492915254757127E-8</v>
      </c>
      <c r="L73" s="4">
        <v>-1.7935149457764211E-7</v>
      </c>
      <c r="M73" s="4">
        <v>-1.815534195282436E-6</v>
      </c>
      <c r="N73" s="4">
        <v>-3.3870601029592753E-5</v>
      </c>
      <c r="O73" s="4">
        <v>-5.0103255788964409E-4</v>
      </c>
      <c r="P73" s="4">
        <v>-2.5390551703091692E-3</v>
      </c>
      <c r="Q73" s="4">
        <v>-4.0718962623418497E-4</v>
      </c>
      <c r="R73" s="4">
        <v>-2.9452709456718316E-2</v>
      </c>
      <c r="S73" s="4">
        <v>-1.6897401951228522E-2</v>
      </c>
      <c r="T73" s="4">
        <v>8.7283622446113943E-2</v>
      </c>
      <c r="U73" s="4">
        <v>0.12524972019154484</v>
      </c>
      <c r="V73" s="4">
        <v>-2.8629125609491095E-2</v>
      </c>
      <c r="W73" s="4">
        <v>0.4522210463115327</v>
      </c>
      <c r="X73" s="4">
        <v>8.2095536169080816</v>
      </c>
      <c r="Y73" s="4">
        <v>4.4047522872725589</v>
      </c>
      <c r="Z73" s="4">
        <v>182.52348651630436</v>
      </c>
      <c r="AA73" s="4">
        <v>64.719917716398456</v>
      </c>
      <c r="AB73" s="4">
        <v>157.71929002598176</v>
      </c>
      <c r="AC73" s="4">
        <v>46.445048298065331</v>
      </c>
      <c r="AD73" s="4">
        <v>768.65682728996524</v>
      </c>
      <c r="AE73" s="4">
        <v>119.61405364642135</v>
      </c>
      <c r="AF73" s="4">
        <v>269.41211347748367</v>
      </c>
      <c r="AG73" s="4"/>
      <c r="AH73" s="4"/>
      <c r="AI73" s="4"/>
      <c r="AJ73" s="4"/>
      <c r="AK73" s="4"/>
      <c r="AL73" s="4"/>
      <c r="AM73" s="4"/>
      <c r="AN73" s="4"/>
      <c r="AO73" s="4"/>
      <c r="AP73" s="4"/>
      <c r="AQ73" s="4"/>
      <c r="AR73" s="4"/>
      <c r="AS73" s="4"/>
      <c r="AT73" s="4"/>
      <c r="AU73" s="4"/>
      <c r="AV73" s="4"/>
      <c r="AW73" s="4"/>
      <c r="AX73" s="4"/>
      <c r="AY73" s="4"/>
      <c r="AZ73" s="4"/>
      <c r="BA73" s="4"/>
      <c r="BB73" s="4"/>
    </row>
    <row r="74" spans="1:54" x14ac:dyDescent="0.3">
      <c r="A74" s="4">
        <v>3960</v>
      </c>
      <c r="B74" s="4"/>
      <c r="C74" s="4">
        <v>765.84233781105797</v>
      </c>
      <c r="D74" s="4">
        <v>-4.6579914755581346E-17</v>
      </c>
      <c r="E74" s="4">
        <v>-4.183549625902715E-16</v>
      </c>
      <c r="F74" s="4">
        <v>-7.1048598977781515E-14</v>
      </c>
      <c r="G74" s="4">
        <v>-1.5243930741703227E-13</v>
      </c>
      <c r="H74" s="4">
        <v>-5.1102867433654902E-12</v>
      </c>
      <c r="I74" s="4">
        <v>-3.7716959174402149E-11</v>
      </c>
      <c r="J74" s="4">
        <v>-2.5642809857916031E-9</v>
      </c>
      <c r="K74" s="4">
        <v>-7.4048778172475362E-9</v>
      </c>
      <c r="L74" s="4">
        <v>-7.1361723921731488E-8</v>
      </c>
      <c r="M74" s="4">
        <v>-7.5682826837323093E-7</v>
      </c>
      <c r="N74" s="4">
        <v>-1.479663725027185E-5</v>
      </c>
      <c r="O74" s="4">
        <v>-2.2944004680662509E-4</v>
      </c>
      <c r="P74" s="4">
        <v>-1.2191463175944815E-3</v>
      </c>
      <c r="Q74" s="4">
        <v>-2.0505928441065733E-4</v>
      </c>
      <c r="R74" s="4">
        <v>-1.5560624380760823E-2</v>
      </c>
      <c r="S74" s="4">
        <v>-9.3683289031660996E-3</v>
      </c>
      <c r="T74" s="4">
        <v>5.0797016262960105E-2</v>
      </c>
      <c r="U74" s="4">
        <v>7.6536697699581463E-2</v>
      </c>
      <c r="V74" s="4">
        <v>-1.8374447818604284E-2</v>
      </c>
      <c r="W74" s="4">
        <v>0.30492812574280315</v>
      </c>
      <c r="X74" s="4">
        <v>5.8174884696054514</v>
      </c>
      <c r="Y74" s="4">
        <v>3.2812330686259226</v>
      </c>
      <c r="Z74" s="4">
        <v>142.97689511658206</v>
      </c>
      <c r="AA74" s="4">
        <v>53.327362530566582</v>
      </c>
      <c r="AB74" s="4">
        <v>136.74050353058394</v>
      </c>
      <c r="AC74" s="4">
        <v>42.382721216979029</v>
      </c>
      <c r="AD74" s="4">
        <v>738.51192851265887</v>
      </c>
      <c r="AE74" s="4">
        <v>121.03838707545981</v>
      </c>
      <c r="AF74" s="4">
        <v>287.22086694293995</v>
      </c>
      <c r="AG74" s="4"/>
      <c r="AH74" s="4"/>
      <c r="AI74" s="4"/>
      <c r="AJ74" s="4"/>
      <c r="AK74" s="4"/>
      <c r="AL74" s="4"/>
      <c r="AM74" s="4"/>
      <c r="AN74" s="4"/>
      <c r="AO74" s="4"/>
      <c r="AP74" s="4"/>
      <c r="AQ74" s="4"/>
      <c r="AR74" s="4"/>
      <c r="AS74" s="4"/>
      <c r="AT74" s="4"/>
      <c r="AU74" s="4"/>
      <c r="AV74" s="4"/>
      <c r="AW74" s="4"/>
      <c r="AX74" s="4"/>
      <c r="AY74" s="4"/>
      <c r="AZ74" s="4"/>
      <c r="BA74" s="4"/>
      <c r="BB74" s="4"/>
    </row>
    <row r="75" spans="1:54" x14ac:dyDescent="0.3">
      <c r="A75" s="4">
        <v>3950</v>
      </c>
      <c r="B75" s="4"/>
      <c r="C75" s="4">
        <v>713.92593906617537</v>
      </c>
      <c r="D75" s="4">
        <v>-1.2576865748489397E-17</v>
      </c>
      <c r="E75" s="4">
        <v>-1.1812113792324E-16</v>
      </c>
      <c r="F75" s="4">
        <v>-2.0982265352617336E-14</v>
      </c>
      <c r="G75" s="4">
        <v>-4.7099286473236677E-14</v>
      </c>
      <c r="H75" s="4">
        <v>-1.6523066275416668E-12</v>
      </c>
      <c r="I75" s="4">
        <v>-1.2764939367668174E-11</v>
      </c>
      <c r="J75" s="4">
        <v>-9.0864513395367815E-10</v>
      </c>
      <c r="K75" s="4">
        <v>-2.7479215012455986E-9</v>
      </c>
      <c r="L75" s="4">
        <v>-2.7740983840309558E-8</v>
      </c>
      <c r="M75" s="4">
        <v>-3.0827450388907741E-7</v>
      </c>
      <c r="N75" s="4">
        <v>-6.3168701268901087E-6</v>
      </c>
      <c r="O75" s="4">
        <v>-1.0268878955959523E-4</v>
      </c>
      <c r="P75" s="4">
        <v>-5.721924179820587E-4</v>
      </c>
      <c r="Q75" s="4">
        <v>-1.0095250043107308E-4</v>
      </c>
      <c r="R75" s="4">
        <v>-8.0377840840510275E-3</v>
      </c>
      <c r="S75" s="4">
        <v>-5.0788433868550397E-3</v>
      </c>
      <c r="T75" s="4">
        <v>2.891061955854626E-2</v>
      </c>
      <c r="U75" s="4">
        <v>4.5743564294339255E-2</v>
      </c>
      <c r="V75" s="4">
        <v>-1.1535640807715315E-2</v>
      </c>
      <c r="W75" s="4">
        <v>0.20114980907301611</v>
      </c>
      <c r="X75" s="4">
        <v>4.0334946199300603</v>
      </c>
      <c r="Y75" s="4">
        <v>2.3918696013766763</v>
      </c>
      <c r="Z75" s="4">
        <v>109.61071150246507</v>
      </c>
      <c r="AA75" s="4">
        <v>43.008848993662852</v>
      </c>
      <c r="AB75" s="4">
        <v>116.05423208968419</v>
      </c>
      <c r="AC75" s="4">
        <v>37.865694569757345</v>
      </c>
      <c r="AD75" s="4">
        <v>694.77916574015467</v>
      </c>
      <c r="AE75" s="4">
        <v>119.9458493455782</v>
      </c>
      <c r="AF75" s="4">
        <v>299.91164243535894</v>
      </c>
      <c r="AG75" s="4"/>
      <c r="AH75" s="4"/>
      <c r="AI75" s="4"/>
      <c r="AJ75" s="4"/>
      <c r="AK75" s="4"/>
      <c r="AL75" s="4"/>
      <c r="AM75" s="4"/>
      <c r="AN75" s="4"/>
      <c r="AO75" s="4"/>
      <c r="AP75" s="4"/>
      <c r="AQ75" s="4"/>
      <c r="AR75" s="4"/>
      <c r="AS75" s="4"/>
      <c r="AT75" s="4"/>
      <c r="AU75" s="4"/>
      <c r="AV75" s="4"/>
      <c r="AW75" s="4"/>
      <c r="AX75" s="4"/>
      <c r="AY75" s="4"/>
      <c r="AZ75" s="4"/>
      <c r="BA75" s="4"/>
      <c r="BB75" s="4"/>
    </row>
    <row r="76" spans="1:54" x14ac:dyDescent="0.3">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row>
    <row r="77" spans="1:54" x14ac:dyDescent="0.3">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row>
    <row r="78" spans="1:54"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row>
    <row r="79" spans="1:54"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row>
    <row r="80" spans="1:54"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row>
    <row r="81" spans="1:54"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row>
    <row r="82" spans="1:54"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row>
    <row r="83" spans="1:54"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row>
    <row r="84" spans="1:54"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row>
    <row r="85" spans="1:54"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row>
    <row r="86" spans="1:54"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row>
    <row r="87" spans="1:54"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row>
    <row r="88" spans="1:54"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row>
    <row r="89" spans="1:54"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row>
    <row r="90" spans="1:54"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row>
    <row r="91" spans="1:54" x14ac:dyDescent="0.3">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row>
    <row r="92" spans="1:54" x14ac:dyDescent="0.3">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row>
    <row r="93" spans="1:54" x14ac:dyDescent="0.3">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row>
    <row r="94" spans="1:54" x14ac:dyDescent="0.3">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row>
    <row r="95" spans="1:54" x14ac:dyDescent="0.3">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row>
    <row r="96" spans="1:54" x14ac:dyDescent="0.3">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row>
    <row r="97" spans="1:54" x14ac:dyDescent="0.3">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row>
    <row r="98" spans="1:54" x14ac:dyDescent="0.3">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row>
    <row r="99" spans="1:54" x14ac:dyDescent="0.3">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row>
    <row r="100" spans="1:54" x14ac:dyDescent="0.3">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row>
    <row r="101" spans="1:54" x14ac:dyDescent="0.3">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row>
    <row r="102" spans="1:54" x14ac:dyDescent="0.3">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row>
    <row r="103" spans="1:54" x14ac:dyDescent="0.3">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row>
    <row r="104" spans="1:54" x14ac:dyDescent="0.3">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row>
    <row r="105" spans="1:54"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row>
    <row r="106" spans="1:54"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row>
    <row r="107" spans="1:54"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row>
    <row r="108" spans="1:54" x14ac:dyDescent="0.3">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row>
    <row r="109" spans="1:54"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row>
    <row r="110" spans="1:54"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row>
    <row r="111" spans="1:54"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row>
    <row r="112" spans="1:54"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row>
    <row r="113" spans="1:54"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row>
    <row r="114" spans="1:54"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row>
    <row r="115" spans="1:54" x14ac:dyDescent="0.3">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row>
    <row r="116" spans="1:54"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row>
    <row r="117" spans="1:54"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row>
    <row r="118" spans="1:54"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row>
    <row r="119" spans="1:54"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row>
    <row r="120" spans="1:54"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row>
    <row r="121" spans="1:54"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row>
    <row r="122" spans="1:54"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row>
    <row r="123" spans="1:54"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row>
    <row r="124" spans="1:54"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row>
    <row r="125" spans="1:54"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row>
    <row r="126" spans="1:54"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row>
    <row r="127" spans="1:54"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row>
    <row r="128" spans="1:54"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row>
    <row r="129" spans="1:5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row>
    <row r="130" spans="1:5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row>
    <row r="131" spans="1:5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row>
    <row r="132" spans="1:5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row>
    <row r="133" spans="1:5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row>
    <row r="134" spans="1:5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row>
    <row r="135" spans="1:5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row>
    <row r="136" spans="1:5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row>
    <row r="137" spans="1:5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row>
    <row r="138" spans="1:5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row>
    <row r="139" spans="1:5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row>
    <row r="140" spans="1:5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row>
    <row r="141" spans="1:5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row>
    <row r="142" spans="1:5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row>
    <row r="143" spans="1:5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row>
    <row r="144" spans="1:5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row>
    <row r="145" spans="1:5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row>
    <row r="146" spans="1:5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row>
    <row r="147" spans="1:5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row>
    <row r="148" spans="1:5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row>
    <row r="149" spans="1:5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row>
    <row r="150" spans="1:5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row>
    <row r="151" spans="1:5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row>
    <row r="152" spans="1:5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row>
    <row r="153" spans="1:5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row>
    <row r="154" spans="1:5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row>
    <row r="155" spans="1:5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row>
    <row r="156" spans="1:5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row>
    <row r="157" spans="1:5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row>
    <row r="158" spans="1:5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row>
    <row r="159" spans="1:5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row>
    <row r="160" spans="1:5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row>
    <row r="161" spans="1:5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row>
    <row r="162" spans="1:5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row>
    <row r="163" spans="1:5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row>
    <row r="164" spans="1:5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row>
    <row r="165" spans="1:5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row>
    <row r="166" spans="1:5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row>
    <row r="167" spans="1:5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row>
    <row r="168" spans="1:5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row>
    <row r="169" spans="1:5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row>
    <row r="170" spans="1:5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row>
    <row r="171" spans="1:5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row>
    <row r="172" spans="1:5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row>
    <row r="173" spans="1:5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row>
    <row r="174" spans="1:5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row>
    <row r="175" spans="1:5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row>
    <row r="176" spans="1:5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row>
    <row r="177" spans="1:5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row>
    <row r="178" spans="1:5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row>
    <row r="179" spans="1:5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row>
    <row r="180" spans="1:5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row>
    <row r="181" spans="1:5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row>
    <row r="182" spans="1:5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row>
    <row r="183" spans="1:5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row>
    <row r="184" spans="1:5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row>
    <row r="185" spans="1:5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row>
    <row r="186" spans="1:5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row>
    <row r="187" spans="1:5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row>
    <row r="188" spans="1:5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row>
    <row r="189" spans="1:5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row>
    <row r="190" spans="1:5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row>
    <row r="191" spans="1:5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row>
    <row r="192" spans="1:5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row>
    <row r="193" spans="1:5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row>
    <row r="194" spans="1:5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row>
    <row r="195" spans="1:5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row>
    <row r="196" spans="1:5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row>
    <row r="197" spans="1:5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row>
    <row r="198" spans="1:5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row>
    <row r="199" spans="1:5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row>
    <row r="200" spans="1:5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row>
    <row r="201" spans="1:54" x14ac:dyDescent="0.3">
      <c r="B201" s="4"/>
      <c r="AQ201" s="4"/>
      <c r="AR201" s="4"/>
    </row>
    <row r="202" spans="1:54" x14ac:dyDescent="0.3">
      <c r="B202" s="4"/>
      <c r="AQ202" s="4"/>
      <c r="AR202" s="4"/>
    </row>
    <row r="203" spans="1:54" x14ac:dyDescent="0.3">
      <c r="B203" s="4"/>
      <c r="AQ203" s="4"/>
      <c r="AR203" s="4"/>
    </row>
    <row r="204" spans="1:54" x14ac:dyDescent="0.3">
      <c r="B204" s="4"/>
      <c r="AQ204" s="4"/>
      <c r="AR204" s="4"/>
    </row>
    <row r="205" spans="1:54" x14ac:dyDescent="0.3">
      <c r="B205" s="4"/>
      <c r="AQ205" s="4"/>
      <c r="AR205" s="4"/>
    </row>
    <row r="206" spans="1:54" x14ac:dyDescent="0.3">
      <c r="AR206" s="4"/>
    </row>
  </sheetData>
  <pageMargins left="0.7" right="0.7" top="0.78740157499999996" bottom="0.78740157499999996"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43ACC-FE0D-47E0-8464-63F39BC9FAAA}">
  <sheetPr codeName="Tabelle15"/>
  <dimension ref="A13:F15"/>
  <sheetViews>
    <sheetView workbookViewId="0">
      <selection activeCell="A13" sqref="A13:F16"/>
    </sheetView>
  </sheetViews>
  <sheetFormatPr baseColWidth="10" defaultRowHeight="14.4" x14ac:dyDescent="0.3"/>
  <cols>
    <col min="1" max="1" width="18.21875" bestFit="1" customWidth="1"/>
    <col min="2" max="6" width="12.5546875" bestFit="1" customWidth="1"/>
    <col min="7" max="7" width="20.44140625" bestFit="1" customWidth="1"/>
    <col min="8" max="8" width="12.5546875" bestFit="1" customWidth="1"/>
    <col min="9" max="14" width="12.5546875" customWidth="1"/>
    <col min="15" max="22" width="12.5546875" bestFit="1" customWidth="1"/>
    <col min="23" max="25" width="12.5546875" customWidth="1"/>
    <col min="26" max="30" width="12.5546875" bestFit="1" customWidth="1"/>
    <col min="31" max="33" width="12.5546875" customWidth="1"/>
    <col min="34" max="36" width="12.5546875" bestFit="1" customWidth="1"/>
    <col min="37" max="41" width="12.5546875" customWidth="1"/>
    <col min="42" max="44" width="12.5546875" bestFit="1" customWidth="1"/>
    <col min="45" max="49" width="13" bestFit="1" customWidth="1"/>
    <col min="50" max="51" width="12.5546875" customWidth="1"/>
    <col min="52" max="52" width="12.5546875" bestFit="1" customWidth="1"/>
    <col min="53" max="56" width="12.6640625" bestFit="1" customWidth="1"/>
    <col min="57" max="58" width="12.6640625" customWidth="1"/>
    <col min="59" max="63" width="12.6640625" bestFit="1" customWidth="1"/>
    <col min="64" max="66" width="12.6640625" customWidth="1"/>
    <col min="67" max="70" width="12.6640625" bestFit="1" customWidth="1"/>
    <col min="71" max="74" width="12.6640625" customWidth="1"/>
    <col min="75" max="75" width="12.6640625" bestFit="1" customWidth="1"/>
    <col min="76" max="76" width="12.6640625" customWidth="1"/>
    <col min="77" max="80" width="12.6640625" bestFit="1" customWidth="1"/>
    <col min="81" max="82" width="12.6640625" customWidth="1"/>
    <col min="83" max="83" width="12.6640625" bestFit="1" customWidth="1"/>
    <col min="84" max="86" width="12.6640625" customWidth="1"/>
    <col min="87" max="91" width="12.6640625" bestFit="1" customWidth="1"/>
    <col min="92" max="93" width="12.6640625" customWidth="1"/>
    <col min="94" max="97" width="12.6640625" bestFit="1" customWidth="1"/>
    <col min="98" max="99" width="12.6640625" customWidth="1"/>
    <col min="100" max="100" width="12.6640625" bestFit="1" customWidth="1"/>
    <col min="101" max="101" width="12.6640625" customWidth="1"/>
    <col min="102" max="104" width="12.6640625" bestFit="1" customWidth="1"/>
    <col min="105" max="111" width="12.6640625" customWidth="1"/>
    <col min="112" max="118" width="12.6640625" bestFit="1" customWidth="1"/>
    <col min="119" max="121" width="12.6640625" customWidth="1"/>
    <col min="122" max="125" width="12.6640625" bestFit="1" customWidth="1"/>
    <col min="126" max="127" width="12.6640625" customWidth="1"/>
    <col min="128" max="128" width="12.6640625" bestFit="1" customWidth="1"/>
    <col min="129" max="131" width="12.6640625" customWidth="1"/>
    <col min="132" max="135" width="12.6640625" bestFit="1" customWidth="1"/>
    <col min="136" max="137" width="12.6640625" customWidth="1"/>
    <col min="138" max="138" width="12.6640625" bestFit="1" customWidth="1"/>
    <col min="139" max="141" width="12.6640625" customWidth="1"/>
    <col min="142" max="146" width="12.6640625" bestFit="1" customWidth="1"/>
    <col min="147" max="149" width="12.6640625" customWidth="1"/>
    <col min="150" max="154" width="12.6640625" bestFit="1" customWidth="1"/>
    <col min="155" max="156" width="12.6640625" customWidth="1"/>
    <col min="157" max="159" width="12.6640625" bestFit="1" customWidth="1"/>
    <col min="160" max="165" width="12.6640625" customWidth="1"/>
    <col min="166" max="167" width="12.6640625" bestFit="1" customWidth="1"/>
    <col min="168" max="169" width="12.6640625" customWidth="1"/>
    <col min="170" max="179" width="12.6640625" bestFit="1" customWidth="1"/>
    <col min="180" max="181" width="12.6640625" customWidth="1"/>
    <col min="182" max="182" width="12.6640625" bestFit="1" customWidth="1"/>
    <col min="183" max="183" width="21.6640625" bestFit="1" customWidth="1"/>
    <col min="184" max="192" width="12.6640625" bestFit="1" customWidth="1"/>
    <col min="193" max="195" width="12.6640625" customWidth="1"/>
    <col min="196" max="200" width="12.6640625" bestFit="1" customWidth="1"/>
    <col min="201" max="201" width="12.6640625" customWidth="1"/>
    <col min="202" max="210" width="12.6640625" bestFit="1" customWidth="1"/>
    <col min="211" max="215" width="12.6640625" customWidth="1"/>
    <col min="216" max="216" width="12.6640625" bestFit="1" customWidth="1"/>
    <col min="217" max="219" width="12.6640625" customWidth="1"/>
    <col min="220" max="223" width="12.6640625" bestFit="1" customWidth="1"/>
    <col min="224" max="234" width="12.6640625" customWidth="1"/>
    <col min="235" max="235" width="12.6640625" bestFit="1" customWidth="1"/>
    <col min="236" max="237" width="12.6640625" customWidth="1"/>
    <col min="238" max="242" width="12.6640625" bestFit="1" customWidth="1"/>
    <col min="243" max="245" width="12.6640625" customWidth="1"/>
    <col min="246" max="269" width="12.6640625" bestFit="1" customWidth="1"/>
    <col min="270" max="271" width="12.109375" bestFit="1" customWidth="1"/>
    <col min="272" max="272" width="13.109375" bestFit="1" customWidth="1"/>
    <col min="273" max="273" width="14.109375" bestFit="1" customWidth="1"/>
    <col min="274" max="274" width="15.109375" bestFit="1" customWidth="1"/>
    <col min="275" max="276" width="14.109375" bestFit="1" customWidth="1"/>
    <col min="277" max="279" width="15.109375" bestFit="1" customWidth="1"/>
    <col min="280" max="282" width="14.109375" bestFit="1" customWidth="1"/>
    <col min="283" max="285" width="13.109375" bestFit="1" customWidth="1"/>
    <col min="286" max="288" width="14.109375" bestFit="1" customWidth="1"/>
    <col min="289" max="289" width="15.109375" bestFit="1" customWidth="1"/>
    <col min="290" max="290" width="14.109375" bestFit="1" customWidth="1"/>
    <col min="291" max="291" width="13.109375" bestFit="1" customWidth="1"/>
    <col min="292" max="293" width="14.109375" bestFit="1" customWidth="1"/>
    <col min="294" max="294" width="13.109375" bestFit="1" customWidth="1"/>
    <col min="295" max="295" width="12.109375" bestFit="1" customWidth="1"/>
    <col min="296" max="296" width="14.109375" bestFit="1" customWidth="1"/>
    <col min="297" max="298" width="15.109375" bestFit="1" customWidth="1"/>
    <col min="299" max="300" width="14.109375" bestFit="1" customWidth="1"/>
    <col min="301" max="303" width="15.109375" bestFit="1" customWidth="1"/>
    <col min="304" max="305" width="14.109375" bestFit="1" customWidth="1"/>
    <col min="306" max="307" width="15.109375" bestFit="1" customWidth="1"/>
    <col min="308" max="309" width="14.109375" bestFit="1" customWidth="1"/>
    <col min="310" max="310" width="15.109375" bestFit="1" customWidth="1"/>
    <col min="311" max="314" width="14.109375" bestFit="1" customWidth="1"/>
    <col min="315" max="316" width="15.109375" bestFit="1" customWidth="1"/>
    <col min="317" max="318" width="14.109375" bestFit="1" customWidth="1"/>
    <col min="319" max="320" width="15.109375" bestFit="1" customWidth="1"/>
    <col min="321" max="322" width="14.109375" bestFit="1" customWidth="1"/>
    <col min="323" max="325" width="15.109375" bestFit="1" customWidth="1"/>
    <col min="326" max="326" width="14.109375" bestFit="1" customWidth="1"/>
    <col min="327" max="327" width="13.109375" bestFit="1" customWidth="1"/>
    <col min="328" max="330" width="14.109375" bestFit="1" customWidth="1"/>
    <col min="331" max="332" width="13.109375" bestFit="1" customWidth="1"/>
    <col min="333" max="335" width="14.109375" bestFit="1" customWidth="1"/>
    <col min="336" max="337" width="13.109375" bestFit="1" customWidth="1"/>
    <col min="338" max="340" width="14.109375" bestFit="1" customWidth="1"/>
    <col min="341" max="342" width="13.109375" bestFit="1" customWidth="1"/>
    <col min="343" max="345" width="14.109375" bestFit="1" customWidth="1"/>
    <col min="346" max="346" width="13.109375" bestFit="1" customWidth="1"/>
    <col min="347" max="347" width="12.109375" bestFit="1" customWidth="1"/>
    <col min="348" max="350" width="13.109375" bestFit="1" customWidth="1"/>
    <col min="351" max="351" width="12.109375" bestFit="1" customWidth="1"/>
    <col min="352" max="354" width="11.109375" bestFit="1" customWidth="1"/>
    <col min="355" max="356" width="12.109375" bestFit="1" customWidth="1"/>
    <col min="357" max="357" width="11.109375" bestFit="1" customWidth="1"/>
    <col min="358" max="363" width="12.109375" bestFit="1" customWidth="1"/>
    <col min="364" max="364" width="11.109375" bestFit="1" customWidth="1"/>
    <col min="365" max="365" width="15.109375" bestFit="1" customWidth="1"/>
    <col min="366" max="366" width="14.109375" bestFit="1" customWidth="1"/>
    <col min="367" max="367" width="13.109375" bestFit="1" customWidth="1"/>
    <col min="368" max="370" width="14.109375" bestFit="1" customWidth="1"/>
    <col min="371" max="371" width="13.109375" bestFit="1" customWidth="1"/>
    <col min="372" max="374" width="12.109375" bestFit="1" customWidth="1"/>
    <col min="375" max="377" width="14.109375" bestFit="1" customWidth="1"/>
    <col min="378" max="385" width="13.109375" bestFit="1" customWidth="1"/>
    <col min="386" max="386" width="12.109375" bestFit="1" customWidth="1"/>
    <col min="387" max="388" width="11.109375" bestFit="1" customWidth="1"/>
    <col min="389" max="389" width="12.109375" bestFit="1" customWidth="1"/>
    <col min="390" max="390" width="14.109375" bestFit="1" customWidth="1"/>
    <col min="391" max="393" width="15.109375" bestFit="1" customWidth="1"/>
    <col min="394" max="395" width="14.109375" bestFit="1" customWidth="1"/>
    <col min="396" max="398" width="15.109375" bestFit="1" customWidth="1"/>
    <col min="399" max="400" width="14.109375" bestFit="1" customWidth="1"/>
    <col min="401" max="405" width="15.109375" bestFit="1" customWidth="1"/>
    <col min="406" max="407" width="14.109375" bestFit="1" customWidth="1"/>
    <col min="408" max="408" width="15.109375" bestFit="1" customWidth="1"/>
    <col min="409" max="411" width="14.109375" bestFit="1" customWidth="1"/>
    <col min="412" max="412" width="13.109375" bestFit="1" customWidth="1"/>
    <col min="413" max="415" width="14.109375" bestFit="1" customWidth="1"/>
    <col min="416" max="417" width="13.109375" bestFit="1" customWidth="1"/>
    <col min="418" max="420" width="14.109375" bestFit="1" customWidth="1"/>
    <col min="421" max="422" width="13.109375" bestFit="1" customWidth="1"/>
    <col min="423" max="425" width="14.109375" bestFit="1" customWidth="1"/>
    <col min="426" max="427" width="13.109375" bestFit="1" customWidth="1"/>
    <col min="428" max="430" width="14.109375" bestFit="1" customWidth="1"/>
    <col min="431" max="431" width="13.109375" bestFit="1" customWidth="1"/>
    <col min="432" max="432" width="12.109375" bestFit="1" customWidth="1"/>
    <col min="433" max="438" width="13.109375" bestFit="1" customWidth="1"/>
    <col min="439" max="439" width="12.109375" bestFit="1" customWidth="1"/>
    <col min="440" max="441" width="11.109375" bestFit="1" customWidth="1"/>
    <col min="442" max="444" width="12.109375" bestFit="1" customWidth="1"/>
    <col min="445" max="445" width="11.109375" bestFit="1" customWidth="1"/>
    <col min="446" max="447" width="14.109375" bestFit="1" customWidth="1"/>
    <col min="448" max="448" width="13.109375" bestFit="1" customWidth="1"/>
    <col min="449" max="451" width="14.109375" bestFit="1" customWidth="1"/>
    <col min="452" max="453" width="13.109375" bestFit="1" customWidth="1"/>
    <col min="454" max="456" width="14.109375" bestFit="1" customWidth="1"/>
    <col min="457" max="458" width="13.109375" bestFit="1" customWidth="1"/>
    <col min="459" max="461" width="14.109375" bestFit="1" customWidth="1"/>
    <col min="462" max="463" width="13.109375" bestFit="1" customWidth="1"/>
    <col min="464" max="466" width="14.109375" bestFit="1" customWidth="1"/>
    <col min="467" max="467" width="13.109375" bestFit="1" customWidth="1"/>
    <col min="468" max="468" width="12.109375" bestFit="1" customWidth="1"/>
    <col min="469" max="474" width="13.109375" bestFit="1" customWidth="1"/>
    <col min="475" max="475" width="12.109375" bestFit="1" customWidth="1"/>
    <col min="476" max="477" width="11.109375" bestFit="1" customWidth="1"/>
    <col min="478" max="480" width="12.109375" bestFit="1" customWidth="1"/>
    <col min="481" max="481" width="11.109375" bestFit="1" customWidth="1"/>
  </cols>
  <sheetData>
    <row r="13" spans="1:6" x14ac:dyDescent="0.3">
      <c r="A13" t="s">
        <v>12</v>
      </c>
      <c r="B13" t="s">
        <v>278</v>
      </c>
      <c r="C13" t="s">
        <v>279</v>
      </c>
      <c r="D13" t="s">
        <v>280</v>
      </c>
      <c r="E13" t="s">
        <v>281</v>
      </c>
      <c r="F13" t="s">
        <v>282</v>
      </c>
    </row>
    <row r="14" spans="1:6" x14ac:dyDescent="0.3">
      <c r="A14" s="92" t="s">
        <v>283</v>
      </c>
      <c r="B14" s="92" t="s">
        <v>284</v>
      </c>
      <c r="C14" s="92" t="s">
        <v>285</v>
      </c>
      <c r="D14" s="92" t="s">
        <v>286</v>
      </c>
      <c r="E14" s="92" t="s">
        <v>287</v>
      </c>
      <c r="F14" s="92" t="s">
        <v>288</v>
      </c>
    </row>
    <row r="15" spans="1:6" x14ac:dyDescent="0.3">
      <c r="A15" s="92" t="s">
        <v>289</v>
      </c>
      <c r="B15" s="92" t="s">
        <v>290</v>
      </c>
      <c r="C15" s="92" t="s">
        <v>291</v>
      </c>
      <c r="D15" s="92" t="s">
        <v>292</v>
      </c>
      <c r="E15" s="92" t="s">
        <v>293</v>
      </c>
      <c r="F15" s="92" t="s">
        <v>294</v>
      </c>
    </row>
  </sheetData>
  <phoneticPr fontId="25" type="noConversion"/>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185E-AA76-4187-9FAD-E5A70E9034DC}">
  <sheetPr codeName="Tabelle12"/>
  <dimension ref="A1:F6"/>
  <sheetViews>
    <sheetView workbookViewId="0">
      <selection sqref="A1:F6"/>
    </sheetView>
  </sheetViews>
  <sheetFormatPr baseColWidth="10" defaultRowHeight="14.4" x14ac:dyDescent="0.3"/>
  <cols>
    <col min="1" max="1" width="20.33203125" bestFit="1" customWidth="1"/>
    <col min="2" max="2" width="11.5546875" bestFit="1" customWidth="1"/>
    <col min="4" max="4" width="7.88671875" bestFit="1" customWidth="1"/>
    <col min="5" max="5" width="9.88671875" bestFit="1" customWidth="1"/>
    <col min="6" max="6" width="6.6640625" bestFit="1" customWidth="1"/>
  </cols>
  <sheetData>
    <row r="1" spans="1:6" x14ac:dyDescent="0.3">
      <c r="A1" t="s">
        <v>65</v>
      </c>
      <c r="B1" t="s">
        <v>66</v>
      </c>
      <c r="C1" t="s">
        <v>113</v>
      </c>
      <c r="D1" t="s">
        <v>68</v>
      </c>
      <c r="E1" t="s">
        <v>67</v>
      </c>
      <c r="F1" t="s">
        <v>61</v>
      </c>
    </row>
    <row r="2" spans="1:6" x14ac:dyDescent="0.3">
      <c r="A2" t="s">
        <v>177</v>
      </c>
      <c r="B2" t="s">
        <v>183</v>
      </c>
      <c r="C2" t="s">
        <v>184</v>
      </c>
      <c r="D2">
        <v>65</v>
      </c>
      <c r="E2">
        <v>2747</v>
      </c>
    </row>
    <row r="3" spans="1:6" x14ac:dyDescent="0.3">
      <c r="A3" t="s">
        <v>94</v>
      </c>
      <c r="B3" t="s">
        <v>185</v>
      </c>
      <c r="C3" t="s">
        <v>179</v>
      </c>
      <c r="D3">
        <v>-15</v>
      </c>
      <c r="E3">
        <v>-650</v>
      </c>
    </row>
    <row r="4" spans="1:6" x14ac:dyDescent="0.3">
      <c r="A4" t="s">
        <v>69</v>
      </c>
      <c r="B4" t="s">
        <v>186</v>
      </c>
      <c r="C4" t="s">
        <v>180</v>
      </c>
      <c r="D4">
        <v>-10</v>
      </c>
      <c r="E4">
        <v>-433</v>
      </c>
    </row>
    <row r="5" spans="1:6" x14ac:dyDescent="0.3">
      <c r="A5" t="s">
        <v>175</v>
      </c>
      <c r="B5" s="88" t="s">
        <v>187</v>
      </c>
      <c r="C5" t="s">
        <v>181</v>
      </c>
      <c r="D5">
        <v>-13</v>
      </c>
      <c r="E5">
        <v>-565</v>
      </c>
    </row>
    <row r="6" spans="1:6" x14ac:dyDescent="0.3">
      <c r="A6" t="s">
        <v>99</v>
      </c>
      <c r="B6" t="s">
        <v>188</v>
      </c>
      <c r="C6" t="s">
        <v>182</v>
      </c>
      <c r="D6">
        <v>25</v>
      </c>
      <c r="E6">
        <v>1046</v>
      </c>
    </row>
  </sheetData>
  <phoneticPr fontId="25" type="noConversion"/>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FD252-F099-4458-903E-B1CF816E5233}">
  <sheetPr codeName="Tabelle14"/>
  <dimension ref="A1:B11"/>
  <sheetViews>
    <sheetView workbookViewId="0">
      <selection sqref="A1:B11"/>
    </sheetView>
  </sheetViews>
  <sheetFormatPr baseColWidth="10" defaultRowHeight="14.4" x14ac:dyDescent="0.3"/>
  <cols>
    <col min="1" max="2" width="10.77734375" bestFit="1" customWidth="1"/>
  </cols>
  <sheetData>
    <row r="1" spans="1:2" x14ac:dyDescent="0.3">
      <c r="A1" t="s">
        <v>12</v>
      </c>
      <c r="B1" t="s">
        <v>13</v>
      </c>
    </row>
    <row r="2" spans="1:2" x14ac:dyDescent="0.3">
      <c r="A2">
        <v>13102023</v>
      </c>
      <c r="B2">
        <v>3.9849999999999997E-2</v>
      </c>
    </row>
    <row r="3" spans="1:2" x14ac:dyDescent="0.3">
      <c r="A3">
        <v>12102023</v>
      </c>
      <c r="B3">
        <v>3.9649999999999998E-2</v>
      </c>
    </row>
    <row r="4" spans="1:2" x14ac:dyDescent="0.3">
      <c r="A4">
        <v>11102023</v>
      </c>
      <c r="B4">
        <v>3.952E-2</v>
      </c>
    </row>
    <row r="5" spans="1:2" x14ac:dyDescent="0.3">
      <c r="A5">
        <v>10102023</v>
      </c>
      <c r="B5">
        <v>3.9879999999999999E-2</v>
      </c>
    </row>
    <row r="6" spans="1:2" x14ac:dyDescent="0.3">
      <c r="A6">
        <v>9102023</v>
      </c>
      <c r="B6">
        <v>3.9800000000000002E-2</v>
      </c>
    </row>
    <row r="7" spans="1:2" x14ac:dyDescent="0.3">
      <c r="A7">
        <v>6102023</v>
      </c>
      <c r="B7">
        <v>3.9829999999999997E-2</v>
      </c>
    </row>
    <row r="8" spans="1:2" x14ac:dyDescent="0.3">
      <c r="A8">
        <v>5102023</v>
      </c>
      <c r="B8">
        <v>3.9719999999999998E-2</v>
      </c>
    </row>
    <row r="9" spans="1:2" x14ac:dyDescent="0.3">
      <c r="A9">
        <v>4102023</v>
      </c>
      <c r="B9">
        <v>3.9620000000000002E-2</v>
      </c>
    </row>
    <row r="10" spans="1:2" x14ac:dyDescent="0.3">
      <c r="A10">
        <v>3102023</v>
      </c>
      <c r="B10">
        <v>3.9640000000000002E-2</v>
      </c>
    </row>
    <row r="11" spans="1:2" x14ac:dyDescent="0.3">
      <c r="A11">
        <v>2102023</v>
      </c>
      <c r="B11">
        <v>3.9510000000000003E-2</v>
      </c>
    </row>
  </sheetData>
  <phoneticPr fontId="25" type="noConversion"/>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23910-D5F9-4587-8D4A-0DD04333D23C}">
  <sheetPr codeName="Tabelle7"/>
  <dimension ref="A1:F11"/>
  <sheetViews>
    <sheetView workbookViewId="0">
      <selection sqref="A1:F11"/>
    </sheetView>
  </sheetViews>
  <sheetFormatPr baseColWidth="10" defaultRowHeight="14.4" x14ac:dyDescent="0.3"/>
  <cols>
    <col min="1" max="1" width="9.33203125" bestFit="1" customWidth="1"/>
    <col min="2" max="2" width="9.6640625" bestFit="1" customWidth="1"/>
    <col min="3" max="3" width="7.88671875" bestFit="1" customWidth="1"/>
    <col min="4" max="4" width="8.33203125" bestFit="1" customWidth="1"/>
    <col min="5" max="5" width="9.6640625" bestFit="1" customWidth="1"/>
    <col min="6" max="6" width="7.88671875" bestFit="1" customWidth="1"/>
  </cols>
  <sheetData>
    <row r="1" spans="1:6" ht="43.2" x14ac:dyDescent="0.3">
      <c r="A1" t="s">
        <v>60</v>
      </c>
      <c r="B1" s="25" t="s">
        <v>116</v>
      </c>
      <c r="C1" s="25" t="s">
        <v>117</v>
      </c>
      <c r="D1" t="s">
        <v>118</v>
      </c>
      <c r="E1" t="s">
        <v>119</v>
      </c>
      <c r="F1" t="s">
        <v>120</v>
      </c>
    </row>
    <row r="2" spans="1:6" ht="86.4" x14ac:dyDescent="0.3">
      <c r="A2">
        <v>17052023</v>
      </c>
      <c r="B2" s="25" t="s">
        <v>233</v>
      </c>
      <c r="C2" s="25" t="s">
        <v>234</v>
      </c>
      <c r="D2">
        <v>4293.57</v>
      </c>
      <c r="E2">
        <v>4323.2299999999996</v>
      </c>
      <c r="F2">
        <v>1.8E-3</v>
      </c>
    </row>
    <row r="3" spans="1:6" ht="86.4" x14ac:dyDescent="0.3">
      <c r="A3">
        <v>16052023</v>
      </c>
      <c r="B3" s="25" t="s">
        <v>235</v>
      </c>
      <c r="C3" s="25" t="s">
        <v>236</v>
      </c>
      <c r="D3">
        <v>4298.3100000000004</v>
      </c>
      <c r="E3">
        <v>4315.51</v>
      </c>
      <c r="F3">
        <v>-2.0000000000000001E-4</v>
      </c>
    </row>
    <row r="4" spans="1:6" ht="86.4" x14ac:dyDescent="0.3">
      <c r="A4">
        <v>15052023</v>
      </c>
      <c r="B4" s="25" t="s">
        <v>231</v>
      </c>
      <c r="C4" s="25" t="s">
        <v>232</v>
      </c>
      <c r="D4">
        <v>4302.76</v>
      </c>
      <c r="E4">
        <v>4316.41</v>
      </c>
      <c r="F4">
        <v>-2.9999999999999997E-4</v>
      </c>
    </row>
    <row r="5" spans="1:6" ht="86.4" x14ac:dyDescent="0.3">
      <c r="A5">
        <v>12052023</v>
      </c>
      <c r="B5" s="25" t="s">
        <v>217</v>
      </c>
      <c r="C5" s="25" t="s">
        <v>218</v>
      </c>
      <c r="D5">
        <v>4304.07</v>
      </c>
      <c r="E5">
        <v>4317.88</v>
      </c>
      <c r="F5">
        <v>1.9E-3</v>
      </c>
    </row>
    <row r="6" spans="1:6" ht="86.4" x14ac:dyDescent="0.3">
      <c r="A6">
        <v>11052023</v>
      </c>
      <c r="B6" s="25" t="s">
        <v>219</v>
      </c>
      <c r="C6" s="25" t="s">
        <v>220</v>
      </c>
      <c r="D6">
        <v>4281.6899999999996</v>
      </c>
      <c r="E6">
        <v>4309.75</v>
      </c>
      <c r="F6">
        <v>6.9999999999999999E-4</v>
      </c>
    </row>
    <row r="7" spans="1:6" ht="86.4" x14ac:dyDescent="0.3">
      <c r="A7">
        <v>10052023</v>
      </c>
      <c r="B7" s="25" t="s">
        <v>221</v>
      </c>
      <c r="C7" s="25" t="s">
        <v>222</v>
      </c>
      <c r="D7">
        <v>4293.21</v>
      </c>
      <c r="E7">
        <v>4306.76</v>
      </c>
      <c r="F7">
        <v>-3.8E-3</v>
      </c>
    </row>
    <row r="8" spans="1:6" ht="86.4" x14ac:dyDescent="0.3">
      <c r="A8">
        <v>9052023</v>
      </c>
      <c r="B8" s="25" t="s">
        <v>223</v>
      </c>
      <c r="C8" s="25" t="s">
        <v>224</v>
      </c>
      <c r="D8">
        <v>4305.3100000000004</v>
      </c>
      <c r="E8">
        <v>4323.09</v>
      </c>
      <c r="F8">
        <v>-5.8999999999999999E-3</v>
      </c>
    </row>
    <row r="9" spans="1:6" ht="86.4" x14ac:dyDescent="0.3">
      <c r="A9">
        <v>8052023</v>
      </c>
      <c r="B9" s="25" t="s">
        <v>225</v>
      </c>
      <c r="C9" s="25" t="s">
        <v>226</v>
      </c>
      <c r="D9">
        <v>4334.13</v>
      </c>
      <c r="E9">
        <v>4348.6499999999996</v>
      </c>
      <c r="F9">
        <v>1.9E-3</v>
      </c>
    </row>
    <row r="10" spans="1:6" ht="86.4" x14ac:dyDescent="0.3">
      <c r="A10">
        <v>5052023</v>
      </c>
      <c r="B10" s="25" t="s">
        <v>227</v>
      </c>
      <c r="C10" s="25" t="s">
        <v>228</v>
      </c>
      <c r="D10">
        <v>4280.92</v>
      </c>
      <c r="E10">
        <v>4340.43</v>
      </c>
      <c r="F10">
        <v>1.2500000000000001E-2</v>
      </c>
    </row>
    <row r="11" spans="1:6" ht="86.4" x14ac:dyDescent="0.3">
      <c r="A11">
        <v>4052023</v>
      </c>
      <c r="B11" s="25" t="s">
        <v>229</v>
      </c>
      <c r="C11" s="25" t="s">
        <v>230</v>
      </c>
      <c r="D11">
        <v>4264.41</v>
      </c>
      <c r="E11">
        <v>4287.03</v>
      </c>
      <c r="F11">
        <v>-5.4000000000000003E-3</v>
      </c>
    </row>
  </sheetData>
  <phoneticPr fontId="25" type="noConversion"/>
  <pageMargins left="0.7" right="0.7" top="0.78740157499999996" bottom="0.78740157499999996"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87D7F-CD88-40FB-87D5-AEC211CF1937}">
  <sheetPr codeName="Tabelle2"/>
  <dimension ref="A1:G21"/>
  <sheetViews>
    <sheetView workbookViewId="0">
      <selection sqref="A1:G21"/>
    </sheetView>
  </sheetViews>
  <sheetFormatPr baseColWidth="10" defaultRowHeight="14.4" x14ac:dyDescent="0.3"/>
  <cols>
    <col min="1" max="1" width="11.109375" bestFit="1" customWidth="1"/>
    <col min="2" max="2" width="9.109375" bestFit="1" customWidth="1"/>
    <col min="3" max="3" width="12" bestFit="1" customWidth="1"/>
    <col min="4" max="4" width="7.6640625" bestFit="1" customWidth="1"/>
    <col min="5" max="5" width="6.6640625" bestFit="1" customWidth="1"/>
    <col min="6" max="6" width="13.44140625" bestFit="1" customWidth="1"/>
    <col min="7" max="7" width="11.44140625" bestFit="1" customWidth="1"/>
  </cols>
  <sheetData>
    <row r="1" spans="1:7" x14ac:dyDescent="0.3">
      <c r="A1" t="s">
        <v>12</v>
      </c>
      <c r="B1" t="s">
        <v>60</v>
      </c>
      <c r="C1" t="s">
        <v>0</v>
      </c>
      <c r="D1" t="s">
        <v>125</v>
      </c>
      <c r="E1" t="s">
        <v>118</v>
      </c>
      <c r="F1" t="s">
        <v>59</v>
      </c>
      <c r="G1" t="s">
        <v>126</v>
      </c>
    </row>
    <row r="2" spans="1:7" x14ac:dyDescent="0.3">
      <c r="A2" t="s">
        <v>121</v>
      </c>
      <c r="B2">
        <v>25052021</v>
      </c>
      <c r="C2">
        <v>19.16</v>
      </c>
      <c r="D2">
        <v>19.66</v>
      </c>
      <c r="E2">
        <v>18.64</v>
      </c>
      <c r="F2">
        <v>19.079999999999998</v>
      </c>
      <c r="G2">
        <v>0</v>
      </c>
    </row>
    <row r="3" spans="1:7" x14ac:dyDescent="0.3">
      <c r="A3" t="s">
        <v>121</v>
      </c>
      <c r="B3">
        <v>21052021</v>
      </c>
      <c r="C3">
        <v>21.51</v>
      </c>
      <c r="D3">
        <v>23.12</v>
      </c>
      <c r="E3">
        <v>20.3</v>
      </c>
      <c r="F3">
        <v>20.350000000000001</v>
      </c>
      <c r="G3">
        <v>0</v>
      </c>
    </row>
    <row r="4" spans="1:7" x14ac:dyDescent="0.3">
      <c r="A4" t="s">
        <v>121</v>
      </c>
      <c r="B4">
        <v>20052021</v>
      </c>
      <c r="C4">
        <v>22.8</v>
      </c>
      <c r="D4">
        <v>24.79</v>
      </c>
      <c r="E4">
        <v>22.05</v>
      </c>
      <c r="F4">
        <v>22.1</v>
      </c>
      <c r="G4">
        <v>0</v>
      </c>
    </row>
    <row r="5" spans="1:7" x14ac:dyDescent="0.3">
      <c r="A5" t="s">
        <v>121</v>
      </c>
      <c r="B5">
        <v>19052021</v>
      </c>
      <c r="C5">
        <v>23.78</v>
      </c>
      <c r="D5">
        <v>27.87</v>
      </c>
      <c r="E5">
        <v>23.09</v>
      </c>
      <c r="F5">
        <v>24.48</v>
      </c>
      <c r="G5">
        <v>0</v>
      </c>
    </row>
    <row r="6" spans="1:7" x14ac:dyDescent="0.3">
      <c r="A6" t="s">
        <v>121</v>
      </c>
      <c r="B6">
        <v>18052021</v>
      </c>
      <c r="C6">
        <v>20.22</v>
      </c>
      <c r="D6">
        <v>22.6</v>
      </c>
      <c r="E6">
        <v>19.809999999999999</v>
      </c>
      <c r="F6">
        <v>21.31</v>
      </c>
      <c r="G6">
        <v>0</v>
      </c>
    </row>
    <row r="7" spans="1:7" x14ac:dyDescent="0.3">
      <c r="A7" t="s">
        <v>121</v>
      </c>
      <c r="B7">
        <v>17052021</v>
      </c>
      <c r="C7">
        <v>19.66</v>
      </c>
      <c r="D7">
        <v>22.03</v>
      </c>
      <c r="E7">
        <v>19.66</v>
      </c>
      <c r="F7">
        <v>21.81</v>
      </c>
      <c r="G7">
        <v>0</v>
      </c>
    </row>
    <row r="8" spans="1:7" x14ac:dyDescent="0.3">
      <c r="A8" t="s">
        <v>121</v>
      </c>
      <c r="B8">
        <v>14052021</v>
      </c>
      <c r="C8">
        <v>21.48</v>
      </c>
      <c r="D8">
        <v>22.03</v>
      </c>
      <c r="E8">
        <v>19.5</v>
      </c>
      <c r="F8">
        <v>19.55</v>
      </c>
      <c r="G8">
        <v>0</v>
      </c>
    </row>
    <row r="9" spans="1:7" x14ac:dyDescent="0.3">
      <c r="A9" t="s">
        <v>121</v>
      </c>
      <c r="B9">
        <v>13052021</v>
      </c>
      <c r="C9">
        <v>26.07</v>
      </c>
      <c r="D9">
        <v>28.27</v>
      </c>
      <c r="E9">
        <v>22.27</v>
      </c>
      <c r="F9">
        <v>23.35</v>
      </c>
      <c r="G9">
        <v>0</v>
      </c>
    </row>
    <row r="10" spans="1:7" x14ac:dyDescent="0.3">
      <c r="A10" t="s">
        <v>121</v>
      </c>
      <c r="B10">
        <v>12052021</v>
      </c>
      <c r="C10">
        <v>23.09</v>
      </c>
      <c r="D10">
        <v>23.96</v>
      </c>
      <c r="E10">
        <v>21.95</v>
      </c>
      <c r="F10">
        <v>23.94</v>
      </c>
      <c r="G10">
        <v>0</v>
      </c>
    </row>
    <row r="11" spans="1:7" x14ac:dyDescent="0.3">
      <c r="A11" t="s">
        <v>121</v>
      </c>
      <c r="B11">
        <v>11052021</v>
      </c>
      <c r="C11">
        <v>21.72</v>
      </c>
      <c r="D11">
        <v>23.89</v>
      </c>
      <c r="E11">
        <v>21.15</v>
      </c>
      <c r="F11">
        <v>22.56</v>
      </c>
      <c r="G11">
        <v>0</v>
      </c>
    </row>
    <row r="12" spans="1:7" x14ac:dyDescent="0.3">
      <c r="A12" t="s">
        <v>121</v>
      </c>
      <c r="B12">
        <v>10052021</v>
      </c>
      <c r="C12">
        <v>18.7</v>
      </c>
      <c r="D12">
        <v>19</v>
      </c>
      <c r="E12">
        <v>18.29</v>
      </c>
      <c r="F12">
        <v>18.5</v>
      </c>
      <c r="G12">
        <v>0</v>
      </c>
    </row>
    <row r="13" spans="1:7" x14ac:dyDescent="0.3">
      <c r="A13" t="s">
        <v>121</v>
      </c>
      <c r="B13">
        <v>7052021</v>
      </c>
      <c r="C13">
        <v>19.77</v>
      </c>
      <c r="D13">
        <v>20.11</v>
      </c>
      <c r="E13">
        <v>18.37</v>
      </c>
      <c r="F13">
        <v>18.38</v>
      </c>
      <c r="G13">
        <v>0</v>
      </c>
    </row>
    <row r="14" spans="1:7" x14ac:dyDescent="0.3">
      <c r="A14" t="s">
        <v>121</v>
      </c>
      <c r="B14">
        <v>6052021</v>
      </c>
      <c r="C14">
        <v>19.170000000000002</v>
      </c>
      <c r="D14">
        <v>21.49</v>
      </c>
      <c r="E14">
        <v>19.14</v>
      </c>
      <c r="F14">
        <v>20.38</v>
      </c>
      <c r="G14">
        <v>0</v>
      </c>
    </row>
    <row r="15" spans="1:7" x14ac:dyDescent="0.3">
      <c r="A15" t="s">
        <v>121</v>
      </c>
      <c r="B15">
        <v>5052021</v>
      </c>
      <c r="C15">
        <v>20.6</v>
      </c>
      <c r="D15">
        <v>20.73</v>
      </c>
      <c r="E15">
        <v>19.82</v>
      </c>
      <c r="F15">
        <v>19.899999999999999</v>
      </c>
      <c r="G15">
        <v>0</v>
      </c>
    </row>
    <row r="16" spans="1:7" x14ac:dyDescent="0.3">
      <c r="A16" t="s">
        <v>121</v>
      </c>
      <c r="B16">
        <v>4052021</v>
      </c>
      <c r="C16">
        <v>19.079999999999998</v>
      </c>
      <c r="D16">
        <v>22.98</v>
      </c>
      <c r="E16">
        <v>18.850000000000001</v>
      </c>
      <c r="F16">
        <v>22.82</v>
      </c>
      <c r="G16">
        <v>0</v>
      </c>
    </row>
    <row r="17" spans="1:7" x14ac:dyDescent="0.3">
      <c r="A17" t="s">
        <v>121</v>
      </c>
      <c r="B17">
        <v>3052021</v>
      </c>
      <c r="C17">
        <v>20.48</v>
      </c>
      <c r="D17">
        <v>21.66</v>
      </c>
      <c r="E17">
        <v>19.55</v>
      </c>
      <c r="F17">
        <v>19.93</v>
      </c>
      <c r="G17">
        <v>0</v>
      </c>
    </row>
    <row r="18" spans="1:7" x14ac:dyDescent="0.3">
      <c r="A18" t="s">
        <v>121</v>
      </c>
      <c r="B18">
        <v>30042021</v>
      </c>
      <c r="C18">
        <v>18.45</v>
      </c>
      <c r="D18">
        <v>20.65</v>
      </c>
      <c r="E18">
        <v>18.34</v>
      </c>
      <c r="F18">
        <v>20.63</v>
      </c>
      <c r="G18">
        <v>0</v>
      </c>
    </row>
    <row r="19" spans="1:7" x14ac:dyDescent="0.3">
      <c r="A19" t="s">
        <v>121</v>
      </c>
      <c r="B19">
        <v>29042021</v>
      </c>
      <c r="C19">
        <v>18</v>
      </c>
      <c r="D19">
        <v>19.670000000000002</v>
      </c>
      <c r="E19">
        <v>17.399999999999999</v>
      </c>
      <c r="F19">
        <v>18.88</v>
      </c>
      <c r="G19">
        <v>0</v>
      </c>
    </row>
    <row r="20" spans="1:7" x14ac:dyDescent="0.3">
      <c r="A20" t="s">
        <v>121</v>
      </c>
      <c r="B20">
        <v>28042021</v>
      </c>
      <c r="C20">
        <v>18.57</v>
      </c>
      <c r="D20">
        <v>18.78</v>
      </c>
      <c r="E20">
        <v>17.920000000000002</v>
      </c>
      <c r="F20">
        <v>18.38</v>
      </c>
      <c r="G20">
        <v>0</v>
      </c>
    </row>
    <row r="21" spans="1:7" x14ac:dyDescent="0.3">
      <c r="A21" t="s">
        <v>121</v>
      </c>
      <c r="B21">
        <v>27042021</v>
      </c>
      <c r="C21">
        <v>18.41</v>
      </c>
      <c r="D21">
        <v>19.22</v>
      </c>
      <c r="E21">
        <v>17.899999999999999</v>
      </c>
      <c r="F21">
        <v>19.21</v>
      </c>
      <c r="G21">
        <v>0</v>
      </c>
    </row>
  </sheetData>
  <phoneticPr fontId="25" type="noConversion"/>
  <pageMargins left="0.7" right="0.7" top="0.78740157499999996" bottom="0.78740157499999996"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33AFA-5312-4872-B7AF-33E30B66C458}">
  <sheetPr codeName="Tabelle4"/>
  <dimension ref="A1:C5"/>
  <sheetViews>
    <sheetView workbookViewId="0">
      <selection sqref="A1:C5"/>
    </sheetView>
  </sheetViews>
  <sheetFormatPr baseColWidth="10" defaultRowHeight="14.4" x14ac:dyDescent="0.3"/>
  <cols>
    <col min="1" max="1" width="11.109375" bestFit="1" customWidth="1"/>
    <col min="2" max="2" width="11.6640625" bestFit="1" customWidth="1"/>
    <col min="3" max="3" width="11.109375" bestFit="1" customWidth="1"/>
  </cols>
  <sheetData>
    <row r="1" spans="1:3" x14ac:dyDescent="0.3">
      <c r="A1" t="s">
        <v>12</v>
      </c>
      <c r="B1" t="s">
        <v>13</v>
      </c>
      <c r="C1" t="s">
        <v>127</v>
      </c>
    </row>
    <row r="2" spans="1:3" x14ac:dyDescent="0.3">
      <c r="A2" t="s">
        <v>128</v>
      </c>
      <c r="B2" t="s">
        <v>129</v>
      </c>
      <c r="C2">
        <v>27.6629</v>
      </c>
    </row>
    <row r="3" spans="1:3" x14ac:dyDescent="0.3">
      <c r="A3" t="s">
        <v>128</v>
      </c>
      <c r="B3" t="s">
        <v>130</v>
      </c>
      <c r="C3">
        <v>31.37</v>
      </c>
    </row>
    <row r="4" spans="1:3" x14ac:dyDescent="0.3">
      <c r="A4" t="s">
        <v>128</v>
      </c>
      <c r="B4" t="s">
        <v>131</v>
      </c>
      <c r="C4">
        <v>29.08</v>
      </c>
    </row>
    <row r="5" spans="1:3" x14ac:dyDescent="0.3">
      <c r="A5" t="s">
        <v>128</v>
      </c>
      <c r="B5" t="s">
        <v>132</v>
      </c>
      <c r="C5">
        <v>32.590000000000003</v>
      </c>
    </row>
  </sheetData>
  <phoneticPr fontId="25" type="noConversion"/>
  <pageMargins left="0.7" right="0.7" top="0.78740157499999996" bottom="0.78740157499999996" header="0.3" footer="0.3"/>
  <pageSetup paperSize="9"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1E6AE-042E-493F-954D-BA02DCAB5696}">
  <sheetPr codeName="Tabelle8"/>
  <dimension ref="A1:D9"/>
  <sheetViews>
    <sheetView workbookViewId="0">
      <selection sqref="A1:D9"/>
    </sheetView>
  </sheetViews>
  <sheetFormatPr baseColWidth="10" defaultRowHeight="14.4" x14ac:dyDescent="0.3"/>
  <cols>
    <col min="1" max="1" width="21.88671875" bestFit="1" customWidth="1"/>
    <col min="2" max="2" width="9" bestFit="1" customWidth="1"/>
    <col min="3" max="3" width="5.6640625" bestFit="1" customWidth="1"/>
    <col min="4" max="4" width="8.109375" bestFit="1" customWidth="1"/>
  </cols>
  <sheetData>
    <row r="1" spans="1:4" x14ac:dyDescent="0.3">
      <c r="A1" t="s">
        <v>190</v>
      </c>
      <c r="B1" t="s">
        <v>66</v>
      </c>
      <c r="C1" t="s">
        <v>120</v>
      </c>
      <c r="D1" t="s">
        <v>61</v>
      </c>
    </row>
    <row r="2" spans="1:4" x14ac:dyDescent="0.3">
      <c r="A2" t="s">
        <v>191</v>
      </c>
      <c r="B2">
        <v>4159.1899999999996</v>
      </c>
      <c r="C2">
        <v>0.91</v>
      </c>
      <c r="D2" s="90">
        <v>0.93541666666666667</v>
      </c>
    </row>
    <row r="3" spans="1:4" x14ac:dyDescent="0.3">
      <c r="A3" t="s">
        <v>192</v>
      </c>
      <c r="B3">
        <v>3158.47</v>
      </c>
      <c r="C3">
        <v>0.35</v>
      </c>
      <c r="D3" s="90">
        <v>0.73333333333333328</v>
      </c>
    </row>
    <row r="4" spans="1:4" x14ac:dyDescent="0.3">
      <c r="A4" t="s">
        <v>193</v>
      </c>
      <c r="B4">
        <v>10889.03</v>
      </c>
      <c r="C4">
        <v>-0.1</v>
      </c>
      <c r="D4" s="90">
        <v>0.72916666666666663</v>
      </c>
    </row>
    <row r="5" spans="1:4" x14ac:dyDescent="0.3">
      <c r="A5" t="s">
        <v>194</v>
      </c>
      <c r="B5">
        <v>34001.74</v>
      </c>
      <c r="C5">
        <v>1.1399999999999999</v>
      </c>
      <c r="D5" s="90">
        <v>0.93611111111111112</v>
      </c>
    </row>
    <row r="6" spans="1:4" x14ac:dyDescent="0.3">
      <c r="A6" t="s">
        <v>195</v>
      </c>
      <c r="B6">
        <v>4375.04</v>
      </c>
      <c r="C6">
        <v>1.3</v>
      </c>
      <c r="D6" s="90">
        <v>0.93611111111111112</v>
      </c>
    </row>
    <row r="7" spans="1:4" x14ac:dyDescent="0.3">
      <c r="A7" t="s">
        <v>196</v>
      </c>
      <c r="B7">
        <v>15175.11</v>
      </c>
      <c r="C7">
        <v>1.36</v>
      </c>
      <c r="D7" s="90">
        <v>0.93680555555555556</v>
      </c>
    </row>
    <row r="8" spans="1:4" x14ac:dyDescent="0.3">
      <c r="A8" t="s">
        <v>197</v>
      </c>
      <c r="B8">
        <v>31971.78</v>
      </c>
      <c r="C8">
        <v>0.27</v>
      </c>
      <c r="D8" s="90">
        <v>0.93680555555555556</v>
      </c>
    </row>
    <row r="9" spans="1:4" x14ac:dyDescent="0.3">
      <c r="A9" t="s">
        <v>198</v>
      </c>
      <c r="B9">
        <v>17640.36</v>
      </c>
      <c r="C9">
        <v>-0.97</v>
      </c>
      <c r="D9" s="90">
        <v>0.42222222222222222</v>
      </c>
    </row>
  </sheetData>
  <phoneticPr fontId="25" type="noConversion"/>
  <pageMargins left="0.7" right="0.7" top="0.78740157499999996" bottom="0.78740157499999996"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D3332-DC13-4F6C-B101-9D0844BC8B37}">
  <sheetPr codeName="Tabelle21"/>
  <dimension ref="A1:E2"/>
  <sheetViews>
    <sheetView workbookViewId="0">
      <selection sqref="A1:E2"/>
    </sheetView>
  </sheetViews>
  <sheetFormatPr baseColWidth="10" defaultRowHeight="14.4" x14ac:dyDescent="0.3"/>
  <cols>
    <col min="1" max="1" width="10.109375" bestFit="1" customWidth="1"/>
    <col min="2" max="2" width="21.6640625" bestFit="1" customWidth="1"/>
    <col min="3" max="4" width="11.5546875" bestFit="1" customWidth="1"/>
    <col min="5" max="5" width="8.109375" bestFit="1" customWidth="1"/>
  </cols>
  <sheetData>
    <row r="1" spans="1:5" x14ac:dyDescent="0.3">
      <c r="A1" t="s">
        <v>203</v>
      </c>
      <c r="B1" t="s">
        <v>204</v>
      </c>
      <c r="C1" t="s">
        <v>205</v>
      </c>
      <c r="D1" t="s">
        <v>206</v>
      </c>
      <c r="E1" t="s">
        <v>207</v>
      </c>
    </row>
    <row r="2" spans="1:5" x14ac:dyDescent="0.3">
      <c r="A2" t="s">
        <v>208</v>
      </c>
      <c r="B2">
        <v>-1.9099999999999999E-2</v>
      </c>
      <c r="C2">
        <v>18.350000000000001</v>
      </c>
      <c r="D2">
        <v>34473</v>
      </c>
      <c r="E2" s="90">
        <v>0.91659722222222217</v>
      </c>
    </row>
  </sheetData>
  <phoneticPr fontId="25" type="noConversion"/>
  <pageMargins left="0.7" right="0.7" top="0.78740157499999996" bottom="0.78740157499999996"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C5F8B-AEF4-4205-8BAA-9EFDEDC7E0ED}">
  <sheetPr codeName="Tabelle22"/>
  <dimension ref="A1:C24"/>
  <sheetViews>
    <sheetView workbookViewId="0">
      <selection activeCell="C3" sqref="C3"/>
    </sheetView>
  </sheetViews>
  <sheetFormatPr baseColWidth="10" defaultRowHeight="14.4" x14ac:dyDescent="0.3"/>
  <cols>
    <col min="1" max="1" width="9.109375" bestFit="1" customWidth="1"/>
    <col min="2" max="2" width="12" bestFit="1" customWidth="1"/>
    <col min="3" max="3" width="9.6640625" bestFit="1" customWidth="1"/>
  </cols>
  <sheetData>
    <row r="1" spans="1:3" x14ac:dyDescent="0.3">
      <c r="A1" t="s">
        <v>60</v>
      </c>
      <c r="B1" t="s">
        <v>0</v>
      </c>
      <c r="C1" t="s">
        <v>119</v>
      </c>
    </row>
    <row r="2" spans="1:3" x14ac:dyDescent="0.3">
      <c r="A2">
        <v>16112022</v>
      </c>
      <c r="B2">
        <v>21.14</v>
      </c>
      <c r="C2">
        <v>21.4</v>
      </c>
    </row>
    <row r="3" spans="1:3" x14ac:dyDescent="0.3">
      <c r="A3">
        <v>15112022</v>
      </c>
      <c r="B3">
        <v>20.9</v>
      </c>
      <c r="C3">
        <v>20.86</v>
      </c>
    </row>
    <row r="4" spans="1:3" x14ac:dyDescent="0.3">
      <c r="A4">
        <v>14112022</v>
      </c>
      <c r="B4">
        <v>21.35</v>
      </c>
      <c r="C4">
        <v>20.94</v>
      </c>
    </row>
    <row r="5" spans="1:3" x14ac:dyDescent="0.3">
      <c r="A5">
        <v>11112022</v>
      </c>
      <c r="B5">
        <v>21.59</v>
      </c>
      <c r="C5">
        <v>20.78</v>
      </c>
    </row>
    <row r="6" spans="1:3" x14ac:dyDescent="0.3">
      <c r="A6">
        <v>10112022</v>
      </c>
      <c r="B6">
        <v>23.73</v>
      </c>
      <c r="C6">
        <v>21.32</v>
      </c>
    </row>
    <row r="7" spans="1:3" x14ac:dyDescent="0.3">
      <c r="A7">
        <v>9112022</v>
      </c>
      <c r="B7">
        <v>23.19</v>
      </c>
      <c r="C7">
        <v>23.24</v>
      </c>
    </row>
    <row r="8" spans="1:3" x14ac:dyDescent="0.3">
      <c r="A8">
        <v>8112022</v>
      </c>
      <c r="B8">
        <v>22.89</v>
      </c>
      <c r="C8">
        <v>22.61</v>
      </c>
    </row>
    <row r="9" spans="1:3" x14ac:dyDescent="0.3">
      <c r="A9">
        <v>7112022</v>
      </c>
      <c r="B9">
        <v>23.74</v>
      </c>
      <c r="C9">
        <v>22.66</v>
      </c>
    </row>
    <row r="10" spans="1:3" x14ac:dyDescent="0.3">
      <c r="A10">
        <v>4112022</v>
      </c>
      <c r="B10">
        <v>23.57</v>
      </c>
      <c r="C10">
        <v>22.91</v>
      </c>
    </row>
    <row r="11" spans="1:3" x14ac:dyDescent="0.3">
      <c r="A11">
        <v>3112022</v>
      </c>
      <c r="B11">
        <v>24.21</v>
      </c>
      <c r="C11">
        <v>23.77</v>
      </c>
    </row>
    <row r="12" spans="1:3" x14ac:dyDescent="0.3">
      <c r="A12">
        <v>2112022</v>
      </c>
      <c r="B12">
        <v>24.54</v>
      </c>
      <c r="C12">
        <v>24.7</v>
      </c>
    </row>
    <row r="13" spans="1:3" x14ac:dyDescent="0.3">
      <c r="A13">
        <v>1112022</v>
      </c>
      <c r="B13">
        <v>24.47</v>
      </c>
      <c r="C13">
        <v>24.47</v>
      </c>
    </row>
    <row r="14" spans="1:3" x14ac:dyDescent="0.3">
      <c r="A14">
        <v>31102022</v>
      </c>
      <c r="B14">
        <v>25.74</v>
      </c>
      <c r="C14">
        <v>24.83</v>
      </c>
    </row>
    <row r="15" spans="1:3" x14ac:dyDescent="0.3">
      <c r="A15">
        <v>28102022</v>
      </c>
      <c r="B15">
        <v>26.33</v>
      </c>
      <c r="C15">
        <v>24.89</v>
      </c>
    </row>
    <row r="16" spans="1:3" x14ac:dyDescent="0.3">
      <c r="A16">
        <v>27102022</v>
      </c>
      <c r="B16">
        <v>27.03</v>
      </c>
      <c r="C16">
        <v>25.87</v>
      </c>
    </row>
    <row r="17" spans="1:3" x14ac:dyDescent="0.3">
      <c r="A17">
        <v>26102022</v>
      </c>
      <c r="B17">
        <v>27.28</v>
      </c>
      <c r="C17">
        <v>26.95</v>
      </c>
    </row>
    <row r="18" spans="1:3" x14ac:dyDescent="0.3">
      <c r="A18">
        <v>25102022</v>
      </c>
      <c r="B18">
        <v>28.33</v>
      </c>
      <c r="C18">
        <v>27.62</v>
      </c>
    </row>
    <row r="19" spans="1:3" x14ac:dyDescent="0.3">
      <c r="A19">
        <v>24102022</v>
      </c>
      <c r="B19">
        <v>28.79</v>
      </c>
      <c r="C19">
        <v>28.68</v>
      </c>
    </row>
    <row r="20" spans="1:3" x14ac:dyDescent="0.3">
      <c r="A20">
        <v>21102022</v>
      </c>
      <c r="B20">
        <v>28.24</v>
      </c>
      <c r="C20">
        <v>27.83</v>
      </c>
    </row>
    <row r="21" spans="1:3" x14ac:dyDescent="0.3">
      <c r="A21">
        <v>20102022</v>
      </c>
      <c r="B21">
        <v>28.67</v>
      </c>
      <c r="C21">
        <v>27.75</v>
      </c>
    </row>
    <row r="22" spans="1:3" x14ac:dyDescent="0.3">
      <c r="A22">
        <v>19102022</v>
      </c>
      <c r="B22">
        <v>28.55</v>
      </c>
      <c r="C22">
        <v>28.3</v>
      </c>
    </row>
    <row r="23" spans="1:3" x14ac:dyDescent="0.3">
      <c r="A23">
        <v>18102022</v>
      </c>
      <c r="B23">
        <v>29.3</v>
      </c>
      <c r="C23">
        <v>28.92</v>
      </c>
    </row>
    <row r="24" spans="1:3" x14ac:dyDescent="0.3">
      <c r="A24">
        <v>17102022</v>
      </c>
      <c r="B24">
        <v>30.36</v>
      </c>
      <c r="C24">
        <v>29.27</v>
      </c>
    </row>
  </sheetData>
  <phoneticPr fontId="25" type="noConversion"/>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FEEA8-AF91-4BD4-B84E-41DBF570AF82}">
  <sheetPr codeName="Tabelle24"/>
  <dimension ref="A1:C8"/>
  <sheetViews>
    <sheetView workbookViewId="0">
      <selection sqref="A1:C8"/>
    </sheetView>
  </sheetViews>
  <sheetFormatPr baseColWidth="10" defaultRowHeight="14.4" x14ac:dyDescent="0.3"/>
  <cols>
    <col min="1" max="1" width="14.88671875" bestFit="1" customWidth="1"/>
    <col min="2" max="2" width="17.77734375" bestFit="1" customWidth="1"/>
    <col min="3" max="3" width="10.77734375" bestFit="1" customWidth="1"/>
  </cols>
  <sheetData>
    <row r="1" spans="1:3" x14ac:dyDescent="0.3">
      <c r="A1" t="s">
        <v>12</v>
      </c>
      <c r="B1" t="s">
        <v>13</v>
      </c>
      <c r="C1" t="s">
        <v>127</v>
      </c>
    </row>
    <row r="2" spans="1:3" x14ac:dyDescent="0.3">
      <c r="A2" t="s">
        <v>66</v>
      </c>
      <c r="B2" t="s">
        <v>299</v>
      </c>
      <c r="C2" s="25">
        <f>1*(LEFT(VSTOXX_Finanzen[[#This Row],[Column2]],5))</f>
        <v>19.87</v>
      </c>
    </row>
    <row r="3" spans="1:3" x14ac:dyDescent="0.3">
      <c r="A3" t="s">
        <v>210</v>
      </c>
      <c r="B3" t="s">
        <v>300</v>
      </c>
      <c r="C3" s="25">
        <f>1*(LEFT(VSTOXX_Finanzen[[#This Row],[Column2]],5))</f>
        <v>45216</v>
      </c>
    </row>
    <row r="4" spans="1:3" ht="28.8" x14ac:dyDescent="0.3">
      <c r="A4" s="25" t="s">
        <v>211</v>
      </c>
      <c r="B4" s="25" t="s">
        <v>301</v>
      </c>
      <c r="C4" s="25">
        <f>1*(LEFT(VSTOXX_Finanzen[[#This Row],[Column2]],5))</f>
        <v>19.52</v>
      </c>
    </row>
    <row r="5" spans="1:3" ht="28.8" x14ac:dyDescent="0.3">
      <c r="A5" s="25" t="s">
        <v>212</v>
      </c>
      <c r="B5" s="25" t="s">
        <v>302</v>
      </c>
      <c r="C5" s="25">
        <f>1*(LEFT(VSTOXX_Finanzen[[#This Row],[Column2]],5))</f>
        <v>19.21</v>
      </c>
    </row>
    <row r="6" spans="1:3" ht="28.8" x14ac:dyDescent="0.3">
      <c r="A6" s="25" t="s">
        <v>213</v>
      </c>
      <c r="B6" s="25" t="s">
        <v>237</v>
      </c>
      <c r="C6" s="25">
        <f>1*(LEFT(VSTOXX_Finanzen[[#This Row],[Column2]],5))</f>
        <v>12.89</v>
      </c>
    </row>
    <row r="7" spans="1:3" x14ac:dyDescent="0.3">
      <c r="A7" t="s">
        <v>214</v>
      </c>
      <c r="B7" t="s">
        <v>238</v>
      </c>
      <c r="C7" s="25">
        <f>1*(LEFT(VSTOXX_Finanzen[[#This Row],[Column2]],5))</f>
        <v>12.89</v>
      </c>
    </row>
    <row r="8" spans="1:3" x14ac:dyDescent="0.3">
      <c r="A8" t="s">
        <v>215</v>
      </c>
      <c r="B8" t="s">
        <v>295</v>
      </c>
      <c r="C8" s="25">
        <f>1*(LEFT(VSTOXX_Finanzen[[#This Row],[Column2]],5))</f>
        <v>33.5</v>
      </c>
    </row>
  </sheetData>
  <phoneticPr fontId="25" type="noConversion"/>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83C518-2949-4416-B9E4-05A8F166BF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27</vt:i4>
      </vt:variant>
      <vt:variant>
        <vt:lpstr>Benannte Bereiche</vt:lpstr>
      </vt:variant>
      <vt:variant>
        <vt:i4>8</vt:i4>
      </vt:variant>
    </vt:vector>
  </HeadingPairs>
  <TitlesOfParts>
    <vt:vector size="35" baseType="lpstr">
      <vt:lpstr>Version</vt:lpstr>
      <vt:lpstr>Ueberhaenge</vt:lpstr>
      <vt:lpstr>STOXX_Call_Front</vt:lpstr>
      <vt:lpstr>STOXX_Put_Front</vt:lpstr>
      <vt:lpstr>STOXX_CallFront-1</vt:lpstr>
      <vt:lpstr>STOXX_PutFront-1</vt:lpstr>
      <vt:lpstr>STOXX_Call+01</vt:lpstr>
      <vt:lpstr>STOXX_Put+01</vt:lpstr>
      <vt:lpstr>AngeboteM</vt:lpstr>
      <vt:lpstr>AngeboteA</vt:lpstr>
      <vt:lpstr>STOXX_Infos</vt:lpstr>
      <vt:lpstr>STOXX_SummeryVerfall</vt:lpstr>
      <vt:lpstr>STOXX_Summery</vt:lpstr>
      <vt:lpstr>Glossar</vt:lpstr>
      <vt:lpstr>Disclaimer</vt:lpstr>
      <vt:lpstr>STOXX_HedgeBedarf</vt:lpstr>
      <vt:lpstr>STOXX_HedgeBedarf+01</vt:lpstr>
      <vt:lpstr>Rates</vt:lpstr>
      <vt:lpstr>Stoxx50</vt:lpstr>
      <vt:lpstr>Euribor3M</vt:lpstr>
      <vt:lpstr>Stoxx50Hist</vt:lpstr>
      <vt:lpstr>VSTOXX_Hist</vt:lpstr>
      <vt:lpstr>VSTOXX</vt:lpstr>
      <vt:lpstr>STOXX_CITI</vt:lpstr>
      <vt:lpstr>VSTOXX Eu</vt:lpstr>
      <vt:lpstr>VSTOXX Hist</vt:lpstr>
      <vt:lpstr>VSTOXX_Finanzen</vt:lpstr>
      <vt:lpstr>STOXX_Summery!Druckbereich</vt:lpstr>
      <vt:lpstr>STOXX_Summery!P</vt:lpstr>
      <vt:lpstr>STOXX_SummeryVerfall!P</vt:lpstr>
      <vt:lpstr>Disclaimer!Print_Area</vt:lpstr>
      <vt:lpstr>Glossar!Print_Area</vt:lpstr>
      <vt:lpstr>STOXX_Summery!Print_Area</vt:lpstr>
      <vt:lpstr>STOXX_SummeryVerfall!Print_Area</vt:lpstr>
      <vt:lpstr>Ueberhaenge!Print_Area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Detlef D</dc:creator>
  <cp:lastModifiedBy>Detlef Dieball</cp:lastModifiedBy>
  <cp:lastPrinted>2023-10-17T04:44:55Z</cp:lastPrinted>
  <dcterms:created xsi:type="dcterms:W3CDTF">2018-08-10T12:34:01Z</dcterms:created>
  <dcterms:modified xsi:type="dcterms:W3CDTF">2023-10-17T17:09:50Z</dcterms:modified>
</cp:coreProperties>
</file>