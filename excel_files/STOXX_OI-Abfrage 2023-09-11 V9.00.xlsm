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STOXX\"/>
    </mc:Choice>
  </mc:AlternateContent>
  <xr:revisionPtr revIDLastSave="0" documentId="13_ncr:1_{FF48B2DB-605B-4969-A8A1-E317426F1D46}" xr6:coauthVersionLast="47" xr6:coauthVersionMax="47" xr10:uidLastSave="{00000000-0000-0000-0000-000000000000}"/>
  <bookViews>
    <workbookView xWindow="-23148" yWindow="-108" windowWidth="23256" windowHeight="12456" tabRatio="751" firstSheet="7" activeTab="12" xr2:uid="{3CDFE83A-9C88-4766-961F-2D6C5E1FA6D2}"/>
  </bookViews>
  <sheets>
    <sheet name="Version" sheetId="44" r:id="rId1"/>
    <sheet name="Ueberhaenge" sheetId="1" r:id="rId2"/>
    <sheet name="STOXX_Call_Front" sheetId="106" r:id="rId3"/>
    <sheet name="STOXX_Put_Front" sheetId="107" r:id="rId4"/>
    <sheet name="STOXX_CallFront-1" sheetId="108" r:id="rId5"/>
    <sheet name="STOXX_PutFront-1" sheetId="109" r:id="rId6"/>
    <sheet name="STOXX_Call+01" sheetId="110" r:id="rId7"/>
    <sheet name="STOXX_Put+01" sheetId="111" r:id="rId8"/>
    <sheet name="AngeboteM" sheetId="69" r:id="rId9"/>
    <sheet name="AngeboteA" sheetId="70" r:id="rId10"/>
    <sheet name="STOXX_Infos" sheetId="19" r:id="rId11"/>
    <sheet name="STOXX_SummeryVerfall" sheetId="67" r:id="rId12"/>
    <sheet name="STOXX_Summery" sheetId="38" r:id="rId13"/>
    <sheet name="Glossar" sheetId="75" r:id="rId14"/>
    <sheet name="Disclaimer" sheetId="40" r:id="rId15"/>
    <sheet name="STOXX_HedgeBedarf" sheetId="18" r:id="rId16"/>
    <sheet name="STOXX_HedgeBedarf+01" sheetId="41" r:id="rId17"/>
    <sheet name="Rates" sheetId="17" r:id="rId18"/>
    <sheet name="Stoxx50" sheetId="61" r:id="rId19"/>
    <sheet name="Euribor3M" sheetId="63" r:id="rId20"/>
    <sheet name="Stoxx50Hist" sheetId="64" r:id="rId21"/>
    <sheet name="VSTOXX_Hist" sheetId="65" r:id="rId22"/>
    <sheet name="VSTOXX" sheetId="66" r:id="rId23"/>
    <sheet name="STOXX_CITI" sheetId="71" r:id="rId24"/>
    <sheet name="VSTOXX Eu" sheetId="72" r:id="rId25"/>
    <sheet name="VSTOXX Hist" sheetId="73" r:id="rId26"/>
    <sheet name="VSTOXX_Finanzen" sheetId="74" r:id="rId27"/>
  </sheets>
  <definedNames>
    <definedName name="_xlnm.Print_Area" localSheetId="12">STOXX_Summery!$A$1:$K$47</definedName>
    <definedName name="ExterneDaten_1" localSheetId="19" hidden="1">Euribor3M!$A$1:$B$11</definedName>
    <definedName name="ExterneDaten_1" localSheetId="23" hidden="1">STOXX_CITI!$A$1:$D$9</definedName>
    <definedName name="ExterneDaten_1" localSheetId="20" hidden="1">Stoxx50Hist!$A$1:$F$11</definedName>
    <definedName name="ExterneDaten_1" localSheetId="24" hidden="1">'VSTOXX Eu'!$A$1:$E$2</definedName>
    <definedName name="ExterneDaten_1" localSheetId="25" hidden="1">'VSTOXX Hist'!$A$1:$C$24</definedName>
    <definedName name="ExterneDaten_1" localSheetId="26" hidden="1">VSTOXX_Finanzen!$A$1:$B$8</definedName>
    <definedName name="ExterneDaten_3" localSheetId="17" hidden="1">Rates!$A$13:$F$16</definedName>
    <definedName name="P" localSheetId="12">STOXX_Summery!$A$1:$K$57</definedName>
    <definedName name="P" localSheetId="11">STOXX_SummeryVerfall!$A$1:$K$57</definedName>
    <definedName name="Print_Area" localSheetId="14">Disclaimer!$A$2:$K$27</definedName>
    <definedName name="Print_Area" localSheetId="13">Glossar!$A$4:$B$16</definedName>
    <definedName name="Print_Area" localSheetId="12">STOXX_Summery!$A$1:$K$47</definedName>
    <definedName name="Print_Area" localSheetId="11">STOXX_SummeryVerfall!$A$2:$K$47</definedName>
    <definedName name="Print_Area" localSheetId="1">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4" l="1"/>
  <c r="C3" i="74"/>
  <c r="C4" i="74"/>
  <c r="C5" i="74"/>
  <c r="C6" i="74"/>
  <c r="C7" i="74"/>
  <c r="C8" i="74"/>
  <c r="O8" i="1" l="1"/>
  <c r="N4" i="1" s="1"/>
  <c r="H3" i="38"/>
  <c r="X2" i="1"/>
  <c r="Y8" i="1"/>
  <c r="X4" i="1" s="1"/>
  <c r="G4" i="1"/>
  <c r="B10" i="67"/>
  <c r="A50" i="67" l="1"/>
  <c r="C9" i="67"/>
  <c r="D9" i="67" s="1"/>
  <c r="Q9" i="67" s="1"/>
  <c r="A50" i="38"/>
  <c r="P9" i="67" l="1"/>
  <c r="AE3" i="1"/>
  <c r="AE2" i="1"/>
  <c r="R6" i="1"/>
  <c r="AE4" i="1" l="1"/>
  <c r="Z4" i="1" s="1"/>
  <c r="X9" i="1"/>
  <c r="X8" i="1" s="1"/>
  <c r="X7" i="1" s="1"/>
  <c r="N3" i="1"/>
  <c r="Y9" i="1"/>
  <c r="G3" i="1"/>
  <c r="I8" i="1" l="1"/>
  <c r="H8" i="1"/>
  <c r="G8" i="1"/>
  <c r="F8" i="1"/>
  <c r="B32" i="19"/>
  <c r="B31" i="19"/>
  <c r="D8" i="1" s="1"/>
  <c r="O8" i="67" l="1"/>
  <c r="B7" i="67"/>
  <c r="G46" i="67"/>
  <c r="E8" i="1"/>
  <c r="B33" i="19"/>
  <c r="G45" i="67" l="1"/>
  <c r="X5" i="1" l="1"/>
  <c r="Z5" i="1" l="1"/>
  <c r="G2" i="1" l="1"/>
  <c r="C3" i="67" s="1"/>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R5" i="1"/>
  <c r="R4" i="1" l="1"/>
  <c r="G1" i="1"/>
  <c r="C9" i="38"/>
  <c r="D9" i="38" s="1"/>
  <c r="O8" i="38"/>
  <c r="B7" i="38"/>
  <c r="G1" i="38" l="1"/>
  <c r="G1" i="67"/>
  <c r="C3" i="38"/>
  <c r="P9" i="38"/>
  <c r="Q9" i="38"/>
  <c r="A28" i="19" l="1"/>
  <c r="A24"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5B80BF-C023-43D8-97C1-35A83AD1E706}" keepAlive="1" name="Abfrage - Euribor3M" description="Verbindung mit der Abfrage 'Euribor3M' in der Arbeitsmappe." type="5" refreshedVersion="7" background="1" saveData="1">
    <dbPr connection="Provider=Microsoft.Mashup.OleDb.1;Data Source=$Workbook$;Location=Euribor3M;Extended Properties=&quot;&quot;" command="SELECT * FROM [Euribor3M]"/>
  </connection>
  <connection id="2" xr16:uid="{C2B06F10-FB3C-4CE9-A0C4-0ED6991DEEA4}" keepAlive="1" name="Abfrage - Historische Kurse VSTOXX" description="Verbindung mit der Abfrage 'Historische Kurse VSTOXX' in der Arbeitsmappe." type="5" refreshedVersion="8" background="1" saveData="1">
    <dbPr connection="Provider=Microsoft.Mashup.OleDb.1;Data Source=$Workbook$;Location=&quot;Historische Kurse VSTOXX&quot;;Extended Properties=&quot;&quot;" command="SELECT * FROM [Historische Kurse VSTOXX]"/>
  </connection>
  <connection id="3" xr16:uid="{E08BC714-C41A-4E2C-BABA-2616CA428715}" keepAlive="1" name="Abfrage - Libor" description="Verbindung mit der Abfrage 'Libor' in der Arbeitsmappe." type="5" refreshedVersion="7" background="1" saveData="1">
    <dbPr connection="Provider=Microsoft.Mashup.OleDb.1;Data Source=$Workbook$;Location=Libor;Extended Properties=&quot;&quot;" command="SELECT * FROM [Libor]"/>
  </connection>
  <connection id="4" xr16:uid="{DFF14FEE-55C2-4F6E-9F7F-F2A63837101F}" keepAlive="1" name="Abfrage - Stuttgart" description="Verbindung mit der Abfrage 'Stuttgart' in der Arbeitsmappe." type="5" refreshedVersion="7" background="1" saveData="1">
    <dbPr connection="Provider=Microsoft.Mashup.OleDb.1;Data Source=$Workbook$;Location=Stuttgart;Extended Properties=&quot;&quot;" command="SELECT * FROM [Stuttgart]"/>
  </connection>
  <connection id="5" xr16:uid="{6B6A468E-F151-4CA2-9A18-353F0ADBB15D}" keepAlive="1" name="Abfrage - VSTOXX EUREX" description="Verbindung mit der Abfrage 'VSTOXX EUREX' in der Arbeitsmappe." type="5" refreshedVersion="8" background="1" saveData="1">
    <dbPr connection="Provider=Microsoft.Mashup.OleDb.1;Data Source=$Workbook$;Location=&quot;VSTOXX EUREX&quot;;Extended Properties=&quot;&quot;" command="SELECT * FROM [VSTOXX EUREX]"/>
  </connection>
  <connection id="6" xr16:uid="{AD67065E-6E95-4FBA-A1B5-BE88EF1AEB21}" keepAlive="1" name="Abfrage - VSTOXX_Finanzen" description="Verbindung mit der Abfrage 'VSTOXX_Finanzen' in der Arbeitsmappe." type="5" refreshedVersion="7" background="1" saveData="1">
    <dbPr connection="Provider=Microsoft.Mashup.OleDb.1;Data Source=$Workbook$;Location=VSTOXX_Finanzen;Extended Properties=&quot;&quot;" command="SELECT * FROM [VSTOXX_Finanzen]"/>
  </connection>
</connections>
</file>

<file path=xl/sharedStrings.xml><?xml version="1.0" encoding="utf-8"?>
<sst xmlns="http://schemas.openxmlformats.org/spreadsheetml/2006/main" count="490" uniqueCount="302">
  <si>
    <t>Eröffnung</t>
  </si>
  <si>
    <t>Basis</t>
  </si>
  <si>
    <t>Überhang</t>
  </si>
  <si>
    <t>Front</t>
  </si>
  <si>
    <t>ZentralKurs</t>
  </si>
  <si>
    <t>Spannweite</t>
  </si>
  <si>
    <t>Schritt</t>
  </si>
  <si>
    <t>P</t>
  </si>
  <si>
    <t>+01</t>
  </si>
  <si>
    <t>+02</t>
  </si>
  <si>
    <t>6M</t>
  </si>
  <si>
    <t>9M</t>
  </si>
  <si>
    <t>Column1</t>
  </si>
  <si>
    <t>Column2</t>
  </si>
  <si>
    <t>Link zur Statistik:</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</si>
  <si>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</si>
  <si>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</si>
  <si>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</si>
  <si>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</si>
  <si>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</si>
  <si>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</si>
  <si>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</si>
  <si>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</si>
  <si>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</si>
  <si>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</si>
  <si>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</si>
  <si>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</si>
  <si>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</si>
  <si>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</si>
  <si>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</si>
  <si>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</si>
  <si>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</si>
  <si>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</si>
  <si>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t>Änderung des Hedgebedarfs für den Frontmonat (Kontrakte/P)</t>
  </si>
  <si>
    <t>Tage bis Verfall nächster Kontrakt</t>
  </si>
  <si>
    <t>Verfall nächster Kontrakt</t>
  </si>
  <si>
    <t>summe H&amp;H+1</t>
  </si>
  <si>
    <t>12M</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</si>
  <si>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</si>
  <si>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</si>
  <si>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</si>
  <si>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</si>
  <si>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</si>
  <si>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</si>
  <si>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</si>
  <si>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</si>
  <si>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</si>
  <si>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</si>
  <si>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</si>
  <si>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</si>
  <si>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</si>
  <si>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</si>
  <si>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</si>
  <si>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</si>
  <si>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</si>
  <si>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</si>
  <si>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</si>
  <si>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</si>
  <si>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</si>
  <si>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</si>
  <si>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</si>
  <si>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</si>
  <si>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Settlement</t>
  </si>
  <si>
    <t>EUREX</t>
  </si>
  <si>
    <t>Godmode</t>
  </si>
  <si>
    <t>Name</t>
  </si>
  <si>
    <t>Kurs</t>
  </si>
  <si>
    <t>+/- abs.</t>
  </si>
  <si>
    <t>+/- %</t>
  </si>
  <si>
    <t>Forex Capital Markets</t>
  </si>
  <si>
    <t>4.0</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</si>
  <si>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</si>
  <si>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</si>
  <si>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</si>
  <si>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</si>
  <si>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</si>
  <si>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</si>
  <si>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</si>
  <si>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</si>
  <si>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</si>
  <si>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</si>
  <si>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</si>
  <si>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</si>
  <si>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</si>
  <si>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</si>
  <si>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</si>
  <si>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</si>
  <si>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</si>
  <si>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</si>
  <si>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</si>
  <si>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https://www.eurexchange.com/exchange-de/marktdaten/statistik/online-marktstatistiken/</t>
  </si>
  <si>
    <t>alternativ mit bereinigtem OI: https://www.eurexchange.com/exchange-de/produkte/idx/dax/DAX-Optionen-141164</t>
  </si>
  <si>
    <t>neu</t>
  </si>
  <si>
    <t>Table 0</t>
  </si>
  <si>
    <t>JFD Bank</t>
  </si>
  <si>
    <t>let_x000D_
    Quelle = Web.Page(Web.Contents("https://www.eurexchange.com/exchange-de/marktdaten/statistik/online-marktstatistiken/4302!onlineStats?productGroupId=13394&amp;productId=70044&amp;viewType=&amp;cp=Put&amp;month=5&amp;year=2019&amp;busDate=20190426")),_x000D_
    Data0 = Quelle{0}[Data],_x000D_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Int64.Type}})_x000D_
in_x000D_
    #"Geänderter Typ"</t>
  </si>
  <si>
    <t>https://www.eurexchange.com/exchange-de/marktdaten/statistik/online-marktstatistiken/4302!onlineStats?productGroupId=13370&amp;productId=69660&amp;viewType=3&amp;cp=Put&amp;month=6&amp;year=2019&amp;busDate=20190517</t>
  </si>
  <si>
    <t>StoxxPut Front</t>
  </si>
  <si>
    <t>StoxxCall Front</t>
  </si>
  <si>
    <t>STOXX</t>
  </si>
  <si>
    <t>STOXX (e)</t>
  </si>
  <si>
    <r>
      <t xml:space="preserve">STOXX 50 OpenInterest und HedgeBedarf
</t>
    </r>
    <r>
      <rPr>
        <i/>
        <sz val="14"/>
        <color theme="0"/>
        <rFont val="Calibri"/>
        <family val="2"/>
        <scheme val="minor"/>
      </rPr>
      <t>basierend auf Daten von der EUREX
(http://www.eurexchange.com/exchange-de/disclaimer)</t>
    </r>
  </si>
  <si>
    <t>6.0</t>
  </si>
  <si>
    <t>STOXX OI-Abfrage</t>
  </si>
  <si>
    <r>
      <t xml:space="preserve">Future-Hedgebedarf für Überhänge der Optionen
</t>
    </r>
    <r>
      <rPr>
        <b/>
        <i/>
        <sz val="14"/>
        <color theme="0"/>
        <rFont val="Calibri"/>
        <family val="2"/>
        <scheme val="minor"/>
      </rPr>
      <t>(Überhang)*delta</t>
    </r>
  </si>
  <si>
    <t>Kontraktwert</t>
  </si>
  <si>
    <t>FESX/OESX</t>
  </si>
  <si>
    <t>STOXX Hedge und Überhänge; KontraktWert = FESX/OESX in Überhänge (C&amp;) hinzugefügt</t>
  </si>
  <si>
    <t>StoxxPut +1</t>
  </si>
  <si>
    <t>StoxxCall +1</t>
  </si>
  <si>
    <t>StoxxPut/CallFrontLast wieder umbenannt in Put/CallFrontLast damit das automatische Datumsupdate funktioniert</t>
  </si>
  <si>
    <t>6.01</t>
  </si>
  <si>
    <t>Kontraktwert in Hedgeberechnung durch Variable ersetzt</t>
  </si>
  <si>
    <t>Vortag</t>
  </si>
  <si>
    <t>6.02</t>
  </si>
  <si>
    <t>PDF Hedgegrafik herausgenommen</t>
  </si>
  <si>
    <t>Erster 
                    Schluss</t>
  </si>
  <si>
    <t>Hoch 
                    Tief</t>
  </si>
  <si>
    <t>Tief</t>
  </si>
  <si>
    <t>Schluss</t>
  </si>
  <si>
    <t>%</t>
  </si>
  <si>
    <t/>
  </si>
  <si>
    <t>6.03</t>
  </si>
  <si>
    <t>Max. Hedge</t>
  </si>
  <si>
    <t xml:space="preserve">Min. Hedge </t>
  </si>
  <si>
    <t>Hoch</t>
  </si>
  <si>
    <t>Volumen</t>
  </si>
  <si>
    <t>Column3</t>
  </si>
  <si>
    <t>Aktuell</t>
  </si>
  <si>
    <t>Eröffnung:</t>
  </si>
  <si>
    <t>Tages-Hoch:</t>
  </si>
  <si>
    <t>Tages-Tief:</t>
  </si>
  <si>
    <t>Schlusskurs:</t>
  </si>
  <si>
    <t>Adjusted</t>
  </si>
  <si>
    <t>OI-Spalte:</t>
  </si>
  <si>
    <t>Unadjusted</t>
  </si>
  <si>
    <t>OI-Daten-Spalte</t>
  </si>
  <si>
    <t>6.1</t>
  </si>
  <si>
    <t>OI-Spalte adjusted/unadjusted (I oder J) zur Auswahl (Infos: O30) hinzugefügt</t>
  </si>
  <si>
    <t>Spannweite auf 28 Werte reduziert, Löschen der Tabelle auf Summery eingeschränkt, 
anualisierte Volatilität VSTOXX verwendet (sigma = VDAX    '* ((Tage / VDAX_Laufzeit) ^ 0.5) ),
VSTOXX alternativen und STOXX Schlusskurs-Alternativen aufgenommen
Pfeilposition 5% der Spannweite</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</si>
  <si>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</si>
  <si>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Die September-Angebote 14.9. – 24.09.2021</t>
  </si>
  <si>
    <t>Options-Analysen:</t>
  </si>
  <si>
    <r>
      <t>OI-Tabelle FDAX Professionell</t>
    </r>
    <r>
      <rPr>
        <sz val="11"/>
        <color theme="1"/>
        <rFont val="Calibri"/>
        <family val="2"/>
        <scheme val="minor"/>
      </rPr>
      <t xml:space="preserve"> </t>
    </r>
  </si>
  <si>
    <t>Only Verfallswoche - 5 Analysen</t>
  </si>
  <si>
    <t>OI-Tabelle STOXX</t>
  </si>
  <si>
    <t>Versand per Mail, Kündigungsfrist 1 Woche zum Monatsende</t>
  </si>
  <si>
    <t>Weitere Angebote</t>
  </si>
  <si>
    <t>Programmierungen</t>
  </si>
  <si>
    <t>Analysen und Statistiken</t>
  </si>
  <si>
    <t>Alle Preise enthalten 19% Mehrwertsteuer</t>
  </si>
  <si>
    <t xml:space="preserve">Nur im September: </t>
  </si>
  <si>
    <t xml:space="preserve">die ersten 3 Monate: 13,00€/M </t>
  </si>
  <si>
    <t>danach 18,00€/M</t>
  </si>
  <si>
    <t>(Mo- Fr der Verfallswoche):  8,00€/M</t>
  </si>
  <si>
    <t xml:space="preserve">Nur im September und nur für </t>
  </si>
  <si>
    <t xml:space="preserve">Minotaurus-Kunden: </t>
  </si>
  <si>
    <t xml:space="preserve">die ersten 3 Monate: 10,00€/M </t>
  </si>
  <si>
    <t>danach 15,00€/M</t>
  </si>
  <si>
    <t xml:space="preserve">Algo-Entwicklungen </t>
  </si>
  <si>
    <t>Backtesting</t>
  </si>
  <si>
    <t>Nach Aufwand</t>
  </si>
  <si>
    <t>Ing.-Büro Dieball   Oderstr.8    01109 Dresden   0351 84 722 726   info@dieball.de</t>
  </si>
  <si>
    <t>regulär 24,00€/M  Minotaurus-Kunden 19,00€/M</t>
  </si>
  <si>
    <t xml:space="preserve">regulär 24,00€/M  </t>
  </si>
  <si>
    <t>danach 19,00€/M</t>
  </si>
  <si>
    <t xml:space="preserve">regulär 21,00€/M  </t>
  </si>
  <si>
    <t>danach 17,00€/M</t>
  </si>
  <si>
    <t>Angebote</t>
  </si>
  <si>
    <t>Minotaurus</t>
  </si>
  <si>
    <t>Allgemein</t>
  </si>
  <si>
    <t>aktiv/ passiv</t>
  </si>
  <si>
    <t>passiv</t>
  </si>
  <si>
    <t>StoxxPutFrontLast</t>
  </si>
  <si>
    <t>StoxxCallFrontLast</t>
  </si>
  <si>
    <t>ARIVA Indikation</t>
  </si>
  <si>
    <t>klein/ groß</t>
  </si>
  <si>
    <t>TTMzero Indikation</t>
  </si>
  <si>
    <t>morgen</t>
  </si>
  <si>
    <t>4,257.50 Pkt</t>
  </si>
  <si>
    <t>4,259.36 Pkt</t>
  </si>
  <si>
    <t>4,260.87 Pkt</t>
  </si>
  <si>
    <t>4,257.82 Pkt</t>
  </si>
  <si>
    <t>4,282.33 Pkt</t>
  </si>
  <si>
    <t>4,254.86 Pkt</t>
  </si>
  <si>
    <t>4,251.00 Pkt</t>
  </si>
  <si>
    <t>4,255.03 Pkt</t>
  </si>
  <si>
    <t>4,255.22 Pkt</t>
  </si>
  <si>
    <t>4,268.28 Pkt</t>
  </si>
  <si>
    <t>Pfad</t>
  </si>
  <si>
    <t>Indizes EU / USA / INT</t>
  </si>
  <si>
    <t>CITI Euro Stoxx 50</t>
  </si>
  <si>
    <t>ATX</t>
  </si>
  <si>
    <t>SMI</t>
  </si>
  <si>
    <t>CITI Dow Jones</t>
  </si>
  <si>
    <t>CITI S&amp;P 500</t>
  </si>
  <si>
    <t>CITI US TECH 100</t>
  </si>
  <si>
    <t>Citi Nikkei 225</t>
  </si>
  <si>
    <t>Hang Seng</t>
  </si>
  <si>
    <t>Stuutgart</t>
  </si>
  <si>
    <t>8.15</t>
  </si>
  <si>
    <t>USD</t>
  </si>
  <si>
    <t>LIBOR USD - overnight</t>
  </si>
  <si>
    <t>LIBOR USD - 6 Monate</t>
  </si>
  <si>
    <t>LIBOR USD - 12 Monate</t>
  </si>
  <si>
    <t>done</t>
  </si>
  <si>
    <t>klein</t>
  </si>
  <si>
    <t>Product</t>
  </si>
  <si>
    <t>Diff. to prev. day last</t>
  </si>
  <si>
    <t>Last price</t>
  </si>
  <si>
    <t>Contracts</t>
  </si>
  <si>
    <t>Time</t>
  </si>
  <si>
    <t>FVS</t>
  </si>
  <si>
    <t>VSTOXX F</t>
  </si>
  <si>
    <t>Kurszeit</t>
  </si>
  <si>
    <t>Eröffnung /_x000D_
Vortag</t>
  </si>
  <si>
    <t>Tagestief /_x000D_
Tageshoch</t>
  </si>
  <si>
    <t>Jahrestief /_x000D_
Jahreshoch</t>
  </si>
  <si>
    <t>52 Wochen Tief</t>
  </si>
  <si>
    <t>52 Wochen Hoch</t>
  </si>
  <si>
    <t>C:\Detlef\Tradematiker\Research\Optionen\OI-Abfrage\send</t>
  </si>
  <si>
    <t>4.304,07_x000D_
                        4.317,88</t>
  </si>
  <si>
    <t>4.344,32_x000D_
                        4.304,07</t>
  </si>
  <si>
    <t>4.303,98_x000D_
                        4.309,75</t>
  </si>
  <si>
    <t>4.341,59_x000D_
                        4.281,69</t>
  </si>
  <si>
    <t>4.322,65_x000D_
                        4.306,76</t>
  </si>
  <si>
    <t>4.332,29_x000D_
                        4.293,21</t>
  </si>
  <si>
    <t>4.344,42_x000D_
                        4.323,09</t>
  </si>
  <si>
    <t>4.344,42_x000D_
                        4.305,31</t>
  </si>
  <si>
    <t>4.335,22_x000D_
                        4.348,65</t>
  </si>
  <si>
    <t>4.355,41_x000D_
                        4.334,13</t>
  </si>
  <si>
    <t>4.280,92_x000D_
                        4.340,43</t>
  </si>
  <si>
    <t>4.340,48_x000D_
                        4.280,92</t>
  </si>
  <si>
    <t>4.280,66_x000D_
                        4.287,03</t>
  </si>
  <si>
    <t>4.302,04_x000D_
                        4.264,41</t>
  </si>
  <si>
    <t>33,78 (30.09.2022)</t>
  </si>
  <si>
    <t>4.315,85_x000D_
                        4.316,41</t>
  </si>
  <si>
    <t>4.338,14_x000D_
                        4.302,76</t>
  </si>
  <si>
    <t>4.313,25_x000D_
                        4.323,23</t>
  </si>
  <si>
    <t>4.332,08_x000D_
                        4.293,57</t>
  </si>
  <si>
    <t>4.313,12_x000D_
                        4.315,51</t>
  </si>
  <si>
    <t>4.328,78_x000D_
                        4.298,31</t>
  </si>
  <si>
    <t>-</t>
  </si>
  <si>
    <t>12,89 /_x000D_
33,50</t>
  </si>
  <si>
    <t>12,89 (21.06.2023)</t>
  </si>
  <si>
    <t>09</t>
  </si>
  <si>
    <t>groß</t>
  </si>
  <si>
    <t>let
    Quelle = Web.Page(Web.Contents("https://www.eurexchange.com/exchange-de/marktdaten/statistik/online-marktstatistiken/4302!onlineStats?productGroupId=13370&amp;productId=69660&amp;viewType=&amp;cp=Put&amp;month=08&amp;year=2023&amp;busDate=20230811")),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</si>
  <si>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</si>
  <si>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</si>
  <si>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</si>
  <si>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Web.Page(Web.Contents("https://www.eurexchange.com/exchange-de/marktdaten/statistik/online-marktstatistiken/4302!onlineStats?productGroupId=13370&amp;productId=69660&amp;viewType=&amp;cp=Put&amp;month=08&amp;year=2023&amp;busDate=20230810")),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</si>
  <si>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</si>
  <si>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9.00</t>
  </si>
  <si>
    <t>Python auslesen der Eurexdaten via api, das Python script kopiert die Daten in diese Excel Tabelle</t>
  </si>
  <si>
    <t>strike</t>
  </si>
  <si>
    <t>Glossar</t>
  </si>
  <si>
    <t>Verfallsdatum ist für die DAX und STOXX Optionen jeweils der 3. Freitag jedes Monats</t>
  </si>
  <si>
    <t>Tage bis zum Verfallsdatum incl. Wochenende und Feiertage</t>
  </si>
  <si>
    <t xml:space="preserve">kleiner Verfall: </t>
  </si>
  <si>
    <t>Verfall der Optionen</t>
  </si>
  <si>
    <t>großer Verfall:</t>
  </si>
  <si>
    <t>Verfall der Optionen und Futuresgleichzeitig (mehrere Interessenlagen kommen zusammen!) =&gt; auf neuen Future-Kontrakt updaten</t>
  </si>
  <si>
    <t>Änderung des Optionspreises, wenn sich der Basispreis um 1 ändert.
Das Delta wird auch benutzt um die Ausübungswahrscheinlichkeit abzuschätzen:
Delta = 0,5 =&gt; 50% Wahrscheinlichkeit, dass die Option am Verfallstag mit Gewinn ausgeübt werden kann</t>
  </si>
  <si>
    <t>Future Delta Hedge</t>
  </si>
  <si>
    <t>Hedge an den Basispreisen im Future um Delta neutral zu sein</t>
  </si>
  <si>
    <t>Gamma</t>
  </si>
  <si>
    <t>Änderung des Deltas, wenn sich der Basispreis um 1 ändert, Beschleunigung der Preisänderung.</t>
  </si>
  <si>
    <t>Gamma long</t>
  </si>
  <si>
    <t>Gamma positiv
Der Theta-Gamma Optionshändler kann bei jeder Marktbewegung gewinnen =&gt; der Markt wird „klebrig“</t>
  </si>
  <si>
    <t>Gamma short</t>
  </si>
  <si>
    <t>Gamma negativ
Bei jeder Marktbewegung muss der Theta-Gamma Optionshändler hedgen – in Bewegungsrichtung
=&gt; der Markt wird hektisch</t>
  </si>
  <si>
    <t>Abschätzung des Hedgebedarfs</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</si>
  <si>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</si>
  <si>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Call</t>
  </si>
  <si>
    <t>dSettle</t>
  </si>
  <si>
    <t>last</t>
  </si>
  <si>
    <t>low</t>
  </si>
  <si>
    <t>high</t>
  </si>
  <si>
    <t>open</t>
  </si>
  <si>
    <t>openInterest</t>
  </si>
  <si>
    <t>volume</t>
  </si>
  <si>
    <t>versionNumber</t>
  </si>
  <si>
    <t>callOrPut</t>
  </si>
  <si>
    <t>Put</t>
  </si>
  <si>
    <t>Hedge fertig</t>
  </si>
  <si>
    <t>10</t>
  </si>
  <si>
    <t>04-09-2023</t>
  </si>
  <si>
    <t>5,88150 %</t>
  </si>
  <si>
    <t>08-09-2023</t>
  </si>
  <si>
    <t>07-09-2023</t>
  </si>
  <si>
    <t>06-09-2023</t>
  </si>
  <si>
    <t>05-09-2023</t>
  </si>
  <si>
    <t>5,90023 %</t>
  </si>
  <si>
    <t>5,90427 %</t>
  </si>
  <si>
    <t>5,88098 %</t>
  </si>
  <si>
    <t>5,86038 %</t>
  </si>
  <si>
    <t>16,19 PKT</t>
  </si>
  <si>
    <t>08.09.2023 19:00:31</t>
  </si>
  <si>
    <t>16,50 /_x000D_
16,99</t>
  </si>
  <si>
    <t>16,06 /_x000D_
17,48</t>
  </si>
  <si>
    <t>C:\Detlef\Tradematiker\Research\Optionen\OI-Abfrage\send\STOXX OI-Abfrage 2023-9-11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</si>
</sst>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409]d\-mmm\-yy;@"/>
    <numFmt numFmtId="167" formatCode="[$-F400]h:mm:ss\ AM/PM"/>
  </numFmts>
  <fonts count="41"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i/>
      <sz val="14"/>
      <color theme="1"/>
      <name val="Calibri"/>
      <family val="2"/>
      <scheme val="minor"/>
    </font>
    <font>
      <b/>
      <i/>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b/>
      <sz val="14"/>
      <name val="Calibri"/>
      <family val="2"/>
      <scheme val="minor"/>
    </font>
    <font>
      <b/>
      <i/>
      <sz val="22"/>
      <color theme="0"/>
      <name val="Calibri"/>
      <family val="2"/>
      <scheme val="minor"/>
    </font>
    <font>
      <i/>
      <sz val="14"/>
      <color theme="0"/>
      <name val="Calibri"/>
      <family val="2"/>
      <scheme val="minor"/>
    </font>
    <font>
      <b/>
      <i/>
      <sz val="22"/>
      <color theme="0"/>
      <name val="Arial"/>
      <family val="2"/>
    </font>
    <font>
      <b/>
      <i/>
      <sz val="24"/>
      <color theme="0"/>
      <name val="Calibri"/>
      <family val="2"/>
      <scheme val="minor"/>
    </font>
    <font>
      <b/>
      <i/>
      <sz val="14"/>
      <color theme="0"/>
      <name val="Calibri"/>
      <family val="2"/>
      <scheme val="minor"/>
    </font>
    <font>
      <b/>
      <sz val="14"/>
      <color theme="0"/>
      <name val="Calibri"/>
      <family val="2"/>
      <scheme val="minor"/>
    </font>
    <font>
      <b/>
      <sz val="24"/>
      <color theme="0"/>
      <name val="Calibri"/>
      <family val="2"/>
      <scheme val="minor"/>
    </font>
    <font>
      <sz val="14"/>
      <color theme="0"/>
      <name val="Calibri"/>
      <family val="2"/>
      <scheme val="minor"/>
    </font>
    <font>
      <sz val="8"/>
      <name val="Calibri"/>
      <family val="2"/>
      <scheme val="minor"/>
    </font>
    <font>
      <sz val="11"/>
      <name val="Calibri"/>
      <family val="2"/>
      <scheme val="minor"/>
    </font>
    <font>
      <sz val="10"/>
      <color rgb="FF000000"/>
      <name val="Arial"/>
      <family val="2"/>
    </font>
    <font>
      <sz val="14"/>
      <color rgb="FF000000"/>
      <name val="Calibri"/>
      <family val="2"/>
    </font>
    <font>
      <sz val="11"/>
      <color rgb="FF000000"/>
      <name val="Calibri"/>
      <family val="2"/>
    </font>
    <font>
      <i/>
      <sz val="22"/>
      <color rgb="FF000000"/>
      <name val="Calibri"/>
      <family val="2"/>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b/>
      <sz val="22"/>
      <color theme="4" tint="-0.499984740745262"/>
      <name val="Calibri"/>
      <family val="2"/>
      <scheme val="minor"/>
    </font>
    <font>
      <sz val="11"/>
      <color theme="1" tint="0.34998626667073579"/>
      <name val="Calibri"/>
      <family val="2"/>
      <scheme val="minor"/>
    </font>
    <font>
      <sz val="11"/>
      <color theme="0" tint="-0.34998626667073579"/>
      <name val="Calibri"/>
      <family val="2"/>
      <scheme val="minor"/>
    </font>
    <font>
      <b/>
      <i/>
      <sz val="12"/>
      <color theme="1"/>
      <name val="Calibri"/>
      <family val="2"/>
      <scheme val="minor"/>
    </font>
    <font>
      <b/>
      <vertAlign val="subscript"/>
      <sz val="16"/>
      <color rgb="FF000000"/>
      <name val="Calibri"/>
      <family val="2"/>
      <scheme val="minor"/>
    </font>
    <font>
      <vertAlign val="subscript"/>
      <sz val="16"/>
      <color rgb="FF000000"/>
      <name val="Calibri"/>
      <family val="2"/>
      <scheme val="minor"/>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rgb="FFFFFFFF"/>
        <bgColor rgb="FF000000"/>
      </patternFill>
    </fill>
    <fill>
      <patternFill patternType="solid">
        <fgColor theme="5"/>
        <bgColor indexed="64"/>
      </patternFill>
    </fill>
    <fill>
      <patternFill patternType="solid">
        <fgColor theme="0" tint="-0.14999847407452621"/>
        <bgColor indexed="64"/>
      </patternFill>
    </fill>
    <fill>
      <patternFill patternType="solid">
        <fgColor theme="5" tint="0.79998168889431442"/>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3" fillId="0" borderId="0" applyNumberFormat="0" applyFill="0" applyBorder="0" applyAlignment="0" applyProtection="0"/>
  </cellStyleXfs>
  <cellXfs count="139">
    <xf numFmtId="0" fontId="0" fillId="0" borderId="0" xfId="0"/>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14" fontId="3" fillId="2" borderId="1" xfId="0" applyNumberFormat="1" applyFont="1" applyFill="1" applyBorder="1"/>
    <xf numFmtId="0" fontId="3" fillId="2" borderId="1" xfId="0" applyFont="1" applyFill="1" applyBorder="1"/>
    <xf numFmtId="0" fontId="8" fillId="0" borderId="0" xfId="0" applyFont="1"/>
    <xf numFmtId="0" fontId="0" fillId="2" borderId="0" xfId="0" applyFill="1" applyAlignment="1">
      <alignment horizontal="left"/>
    </xf>
    <xf numFmtId="0" fontId="0" fillId="0" borderId="0" xfId="0" applyAlignment="1">
      <alignment wrapText="1"/>
    </xf>
    <xf numFmtId="0" fontId="8" fillId="2" borderId="13" xfId="0" applyFont="1" applyFill="1" applyBorder="1" applyAlignment="1">
      <alignment horizontal="center"/>
    </xf>
    <xf numFmtId="1" fontId="8" fillId="2" borderId="5" xfId="0" applyNumberFormat="1" applyFont="1" applyFill="1" applyBorder="1"/>
    <xf numFmtId="1" fontId="8" fillId="2" borderId="6" xfId="0" applyNumberFormat="1" applyFont="1" applyFill="1" applyBorder="1"/>
    <xf numFmtId="1" fontId="8" fillId="2" borderId="8" xfId="0" applyNumberFormat="1" applyFont="1" applyFill="1" applyBorder="1"/>
    <xf numFmtId="1" fontId="8" fillId="2" borderId="0" xfId="0" applyNumberFormat="1" applyFont="1" applyFill="1"/>
    <xf numFmtId="1" fontId="8" fillId="2" borderId="9" xfId="0" applyNumberFormat="1" applyFont="1" applyFill="1" applyBorder="1"/>
    <xf numFmtId="0" fontId="8" fillId="2" borderId="14" xfId="0" applyFont="1" applyFill="1" applyBorder="1" applyAlignment="1">
      <alignment horizontal="center"/>
    </xf>
    <xf numFmtId="0" fontId="8" fillId="10" borderId="0" xfId="0" applyFont="1" applyFill="1" applyAlignment="1">
      <alignment horizontal="left"/>
    </xf>
    <xf numFmtId="0" fontId="8" fillId="9" borderId="0" xfId="0" applyFont="1" applyFill="1" applyAlignment="1">
      <alignment horizontal="left"/>
    </xf>
    <xf numFmtId="0" fontId="9" fillId="2" borderId="13" xfId="0" applyFont="1" applyFill="1" applyBorder="1"/>
    <xf numFmtId="0" fontId="9" fillId="2" borderId="14" xfId="0" applyFont="1" applyFill="1" applyBorder="1"/>
    <xf numFmtId="0" fontId="6" fillId="0" borderId="0" xfId="0" applyFont="1" applyAlignment="1">
      <alignment wrapText="1"/>
    </xf>
    <xf numFmtId="0" fontId="6" fillId="11" borderId="0" xfId="0" applyFont="1" applyFill="1" applyAlignment="1">
      <alignment wrapText="1"/>
    </xf>
    <xf numFmtId="0" fontId="0" fillId="12" borderId="0" xfId="0" applyFill="1"/>
    <xf numFmtId="14" fontId="2" fillId="0" borderId="0" xfId="0" applyNumberFormat="1" applyFont="1"/>
    <xf numFmtId="14" fontId="0" fillId="0" borderId="0" xfId="0" applyNumberFormat="1"/>
    <xf numFmtId="4" fontId="2" fillId="12" borderId="1" xfId="0" applyNumberFormat="1" applyFont="1" applyFill="1" applyBorder="1" applyAlignment="1">
      <alignment wrapText="1"/>
    </xf>
    <xf numFmtId="49" fontId="2" fillId="0" borderId="0" xfId="0" quotePrefix="1" applyNumberFormat="1" applyFont="1"/>
    <xf numFmtId="0" fontId="2" fillId="11" borderId="0" xfId="0" applyFont="1" applyFill="1"/>
    <xf numFmtId="166" fontId="2" fillId="0" borderId="0" xfId="0" applyNumberFormat="1" applyFont="1"/>
    <xf numFmtId="0" fontId="13" fillId="0" borderId="0" xfId="1"/>
    <xf numFmtId="0" fontId="14" fillId="15" borderId="0" xfId="0" applyFont="1" applyFill="1"/>
    <xf numFmtId="49" fontId="0" fillId="16"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7" borderId="0" xfId="0" applyFont="1" applyFill="1"/>
    <xf numFmtId="0" fontId="0" fillId="18" borderId="0" xfId="0" applyFill="1"/>
    <xf numFmtId="0" fontId="2" fillId="12" borderId="0" xfId="0" applyFont="1" applyFill="1"/>
    <xf numFmtId="0" fontId="12" fillId="0" borderId="0" xfId="0" applyFont="1" applyAlignment="1">
      <alignment horizontal="left" vertical="center" readingOrder="1"/>
    </xf>
    <xf numFmtId="0" fontId="15" fillId="19" borderId="21" xfId="0" applyFont="1" applyFill="1" applyBorder="1"/>
    <xf numFmtId="0" fontId="22" fillId="19" borderId="17" xfId="0" applyFont="1" applyFill="1" applyBorder="1"/>
    <xf numFmtId="14" fontId="22" fillId="19" borderId="1" xfId="0" applyNumberFormat="1" applyFont="1" applyFill="1" applyBorder="1"/>
    <xf numFmtId="0" fontId="3" fillId="19" borderId="11" xfId="0" applyFont="1" applyFill="1" applyBorder="1"/>
    <xf numFmtId="0" fontId="0" fillId="19" borderId="0" xfId="0" applyFill="1"/>
    <xf numFmtId="0" fontId="3" fillId="19" borderId="0" xfId="0" applyFont="1" applyFill="1"/>
    <xf numFmtId="0" fontId="15" fillId="19" borderId="0" xfId="0" applyFont="1" applyFill="1" applyAlignment="1">
      <alignment horizontal="center"/>
    </xf>
    <xf numFmtId="0" fontId="15" fillId="19" borderId="0" xfId="0" applyFont="1" applyFill="1"/>
    <xf numFmtId="0" fontId="24" fillId="19" borderId="0" xfId="0" applyFont="1" applyFill="1"/>
    <xf numFmtId="0" fontId="22" fillId="19" borderId="0" xfId="0" applyFont="1" applyFill="1"/>
    <xf numFmtId="0" fontId="16" fillId="6" borderId="0" xfId="0" applyFont="1" applyFill="1" applyAlignment="1">
      <alignment horizontal="center"/>
    </xf>
    <xf numFmtId="165" fontId="2" fillId="0" borderId="0" xfId="0" applyNumberFormat="1" applyFont="1"/>
    <xf numFmtId="0" fontId="26" fillId="12" borderId="0" xfId="0" applyFont="1" applyFill="1"/>
    <xf numFmtId="4" fontId="27" fillId="0" borderId="0" xfId="0" applyNumberFormat="1" applyFont="1"/>
    <xf numFmtId="0" fontId="8" fillId="2" borderId="0" xfId="0" applyFont="1" applyFill="1" applyAlignment="1">
      <alignment horizontal="center"/>
    </xf>
    <xf numFmtId="0" fontId="29" fillId="20" borderId="0" xfId="0" applyFont="1" applyFill="1" applyAlignment="1">
      <alignment horizontal="left"/>
    </xf>
    <xf numFmtId="0" fontId="8" fillId="2" borderId="6" xfId="0" applyFont="1" applyFill="1" applyBorder="1" applyAlignment="1">
      <alignment horizontal="center"/>
    </xf>
    <xf numFmtId="0" fontId="28" fillId="20" borderId="0" xfId="0" applyFont="1" applyFill="1" applyAlignment="1">
      <alignment horizontal="center" vertical="top" wrapText="1"/>
    </xf>
    <xf numFmtId="10" fontId="2" fillId="17" borderId="0" xfId="0" applyNumberFormat="1" applyFont="1" applyFill="1"/>
    <xf numFmtId="0" fontId="0" fillId="0" borderId="0" xfId="0" applyAlignment="1">
      <alignment vertical="top"/>
    </xf>
    <xf numFmtId="49" fontId="0" fillId="0" borderId="0" xfId="0" applyNumberFormat="1" applyAlignment="1">
      <alignment horizontal="center" vertical="top"/>
    </xf>
    <xf numFmtId="14" fontId="0" fillId="0" borderId="0" xfId="0" applyNumberFormat="1" applyAlignment="1">
      <alignment vertical="top"/>
    </xf>
    <xf numFmtId="0" fontId="0" fillId="0" borderId="0" xfId="0" applyAlignment="1">
      <alignment vertical="top" wrapText="1"/>
    </xf>
    <xf numFmtId="49" fontId="0" fillId="11" borderId="0" xfId="0" applyNumberFormat="1" applyFill="1" applyAlignment="1">
      <alignment horizontal="center" vertical="top"/>
    </xf>
    <xf numFmtId="0" fontId="0" fillId="21" borderId="0" xfId="0" applyFill="1"/>
    <xf numFmtId="0" fontId="14" fillId="0" borderId="0" xfId="0" applyFont="1"/>
    <xf numFmtId="0" fontId="31" fillId="0" borderId="0" xfId="0" applyFont="1" applyAlignment="1">
      <alignment vertical="center"/>
    </xf>
    <xf numFmtId="0" fontId="9" fillId="0" borderId="0" xfId="0" applyFont="1"/>
    <xf numFmtId="0" fontId="34" fillId="0" borderId="0" xfId="0" applyFont="1" applyAlignment="1">
      <alignment vertical="center"/>
    </xf>
    <xf numFmtId="0" fontId="35" fillId="0" borderId="0" xfId="0" applyFont="1"/>
    <xf numFmtId="0" fontId="32" fillId="0" borderId="0" xfId="0" applyFont="1"/>
    <xf numFmtId="0" fontId="33" fillId="0" borderId="0" xfId="0" applyFont="1"/>
    <xf numFmtId="0" fontId="0" fillId="0" borderId="0" xfId="0" applyAlignment="1">
      <alignment horizontal="left" vertical="center"/>
    </xf>
    <xf numFmtId="0" fontId="27" fillId="0" borderId="0" xfId="0" applyFont="1"/>
    <xf numFmtId="14" fontId="37" fillId="22" borderId="0" xfId="0" applyNumberFormat="1" applyFont="1" applyFill="1"/>
    <xf numFmtId="167" fontId="0" fillId="0" borderId="0" xfId="0" applyNumberFormat="1"/>
    <xf numFmtId="10" fontId="2" fillId="23" borderId="0" xfId="0" applyNumberFormat="1" applyFont="1" applyFill="1"/>
    <xf numFmtId="0" fontId="0" fillId="0" borderId="0" xfId="0" applyNumberFormat="1"/>
    <xf numFmtId="49" fontId="0" fillId="13" borderId="0" xfId="0" applyNumberFormat="1" applyFill="1" applyAlignment="1">
      <alignment horizontal="center"/>
    </xf>
    <xf numFmtId="0" fontId="38" fillId="0" borderId="0" xfId="0" applyFont="1" applyAlignment="1">
      <alignment horizontal="left" vertical="top" wrapText="1"/>
    </xf>
    <xf numFmtId="0" fontId="14" fillId="0" borderId="0" xfId="0" applyFont="1" applyAlignment="1">
      <alignment horizontal="left" vertical="top" wrapText="1"/>
    </xf>
    <xf numFmtId="0" fontId="39" fillId="0" borderId="0" xfId="0" applyFont="1" applyAlignment="1">
      <alignment horizontal="left" vertical="top" readingOrder="1"/>
    </xf>
    <xf numFmtId="0" fontId="40" fillId="0" borderId="0" xfId="0" applyFont="1" applyAlignment="1">
      <alignment horizontal="left" vertical="center" readingOrder="1"/>
    </xf>
    <xf numFmtId="0" fontId="40" fillId="0" borderId="0" xfId="0" applyFont="1" applyAlignment="1">
      <alignment vertical="center" readingOrder="1"/>
    </xf>
    <xf numFmtId="0" fontId="40" fillId="0" borderId="0" xfId="0" applyFont="1" applyAlignment="1">
      <alignment vertical="center" wrapText="1" readingOrder="1"/>
    </xf>
    <xf numFmtId="0" fontId="0" fillId="0" borderId="0" xfId="0" applyAlignment="1">
      <alignment horizontal="left" vertical="top" wrapText="1"/>
    </xf>
    <xf numFmtId="0" fontId="14" fillId="0" borderId="22" xfId="0" applyFont="1" applyBorder="1" applyAlignment="1">
      <alignment horizontal="center" vertical="top"/>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36" fillId="0" borderId="0" xfId="0" applyFont="1" applyAlignment="1">
      <alignment horizontal="center"/>
    </xf>
    <xf numFmtId="0" fontId="0" fillId="0" borderId="0" xfId="0" applyAlignment="1">
      <alignment horizontal="left" wrapText="1"/>
    </xf>
    <xf numFmtId="0" fontId="14" fillId="15" borderId="0" xfId="0" applyFont="1" applyFill="1" applyAlignment="1">
      <alignment horizontal="center"/>
    </xf>
    <xf numFmtId="0" fontId="14" fillId="15" borderId="0" xfId="0" applyFont="1" applyFill="1" applyAlignment="1">
      <alignment horizontal="center" vertical="center"/>
    </xf>
    <xf numFmtId="0" fontId="14" fillId="14" borderId="0" xfId="0" applyFont="1" applyFill="1" applyAlignment="1">
      <alignment horizontal="center"/>
    </xf>
    <xf numFmtId="0" fontId="13" fillId="0" borderId="0" xfId="1" applyAlignment="1">
      <alignment horizontal="left" wrapText="1"/>
    </xf>
    <xf numFmtId="0" fontId="0" fillId="2" borderId="0" xfId="0" applyFill="1" applyAlignment="1">
      <alignment horizontal="center" wrapText="1"/>
    </xf>
    <xf numFmtId="0" fontId="0" fillId="2" borderId="0" xfId="0" applyFill="1" applyAlignment="1">
      <alignment horizontal="center"/>
    </xf>
    <xf numFmtId="0" fontId="28" fillId="20" borderId="15" xfId="0" applyFont="1" applyFill="1" applyBorder="1" applyAlignment="1">
      <alignment horizontal="center" vertical="top" wrapText="1"/>
    </xf>
    <xf numFmtId="0" fontId="28" fillId="20" borderId="16" xfId="0" applyFont="1" applyFill="1" applyBorder="1" applyAlignment="1">
      <alignment horizontal="center" vertical="top" wrapText="1"/>
    </xf>
    <xf numFmtId="0" fontId="28" fillId="20" borderId="17" xfId="0" applyFont="1" applyFill="1" applyBorder="1" applyAlignment="1">
      <alignment horizontal="center" vertical="top" wrapText="1"/>
    </xf>
    <xf numFmtId="0" fontId="0" fillId="2" borderId="0" xfId="0" applyFill="1" applyAlignment="1">
      <alignment horizontal="center" vertical="center" wrapText="1"/>
    </xf>
    <xf numFmtId="0" fontId="11" fillId="0" borderId="0" xfId="0" applyFont="1" applyAlignment="1">
      <alignment horizontal="center" wrapText="1"/>
    </xf>
    <xf numFmtId="0" fontId="17" fillId="19" borderId="19" xfId="0" applyFont="1" applyFill="1" applyBorder="1" applyAlignment="1">
      <alignment horizontal="center" vertical="top" wrapText="1"/>
    </xf>
    <xf numFmtId="0" fontId="17" fillId="19" borderId="20" xfId="0" applyFont="1" applyFill="1" applyBorder="1" applyAlignment="1">
      <alignment horizontal="center" vertical="top" wrapText="1"/>
    </xf>
    <xf numFmtId="14" fontId="19" fillId="19" borderId="20" xfId="0" applyNumberFormat="1" applyFont="1" applyFill="1" applyBorder="1" applyAlignment="1">
      <alignment horizontal="center" vertical="top"/>
    </xf>
    <xf numFmtId="0" fontId="20" fillId="19" borderId="8" xfId="0" applyFont="1" applyFill="1" applyBorder="1" applyAlignment="1">
      <alignment horizontal="center" vertical="center" wrapText="1"/>
    </xf>
    <xf numFmtId="0" fontId="20" fillId="19" borderId="0" xfId="0" applyFont="1" applyFill="1" applyAlignment="1">
      <alignment horizontal="center" vertical="center" wrapText="1"/>
    </xf>
    <xf numFmtId="0" fontId="6" fillId="8" borderId="0" xfId="0" applyFont="1" applyFill="1" applyAlignment="1">
      <alignment horizontal="center" wrapText="1"/>
    </xf>
    <xf numFmtId="0" fontId="22" fillId="19" borderId="18" xfId="0" applyFont="1" applyFill="1" applyBorder="1" applyAlignment="1">
      <alignment horizontal="center"/>
    </xf>
    <xf numFmtId="0" fontId="22" fillId="19" borderId="13" xfId="0" applyFont="1" applyFill="1" applyBorder="1" applyAlignment="1">
      <alignment horizontal="center"/>
    </xf>
    <xf numFmtId="0" fontId="22" fillId="19" borderId="14" xfId="0" applyFont="1" applyFill="1" applyBorder="1" applyAlignment="1">
      <alignment horizontal="center"/>
    </xf>
    <xf numFmtId="0" fontId="23" fillId="19" borderId="5" xfId="0" applyFont="1" applyFill="1" applyBorder="1" applyAlignment="1">
      <alignment horizontal="center" vertical="center"/>
    </xf>
    <xf numFmtId="0" fontId="23" fillId="19" borderId="6" xfId="0" applyFont="1" applyFill="1" applyBorder="1" applyAlignment="1">
      <alignment horizontal="center" vertical="center"/>
    </xf>
    <xf numFmtId="0" fontId="23" fillId="19" borderId="7" xfId="0" applyFont="1" applyFill="1" applyBorder="1" applyAlignment="1">
      <alignment horizontal="center" vertical="center"/>
    </xf>
    <xf numFmtId="0" fontId="23" fillId="19" borderId="10" xfId="0" applyFont="1" applyFill="1" applyBorder="1" applyAlignment="1">
      <alignment horizontal="center" vertical="center"/>
    </xf>
    <xf numFmtId="0" fontId="23" fillId="19" borderId="11" xfId="0" applyFont="1" applyFill="1" applyBorder="1" applyAlignment="1">
      <alignment horizontal="center" vertical="center"/>
    </xf>
    <xf numFmtId="0" fontId="23" fillId="19" borderId="12" xfId="0" applyFont="1" applyFill="1" applyBorder="1" applyAlignment="1">
      <alignment horizontal="center" vertical="center"/>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2" fillId="2" borderId="0" xfId="0" applyFont="1" applyFill="1" applyAlignment="1">
      <alignment horizontal="center" vertical="center" wrapText="1"/>
    </xf>
    <xf numFmtId="0" fontId="30" fillId="20" borderId="0" xfId="0" applyFont="1" applyFill="1" applyAlignment="1">
      <alignment horizontal="center" vertical="top" wrapText="1"/>
    </xf>
  </cellXfs>
  <cellStyles count="2">
    <cellStyle name="Link" xfId="1" builtinId="8"/>
    <cellStyle name="Standard" xfId="0" builtinId="0"/>
  </cellStyles>
  <dxfs count="61">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167" formatCode="[$-F400]h:mm:ss\ AM/PM"/>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5D3ED"/>
      <color rgb="FF9BC2E6"/>
      <color rgb="FF5CB6D2"/>
      <color rgb="FF8ADE9A"/>
      <color rgb="FF8BA7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1.JPG"/></Relationships>
</file>

<file path=xl/charts/_rels/chart2.xml.rels><?xml version="1.0" encoding="UTF-8" standalone="yes"?>
<Relationships xmlns="http://schemas.openxmlformats.org/package/2006/relationships"><Relationship Id="rId1" Type="http://schemas.openxmlformats.org/officeDocument/2006/relationships/image" Target="../media/image11.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Hedgebedarf+01</c:v>
          </c:tx>
          <c:spPr>
            <a:ln w="19050" cap="rnd">
              <a:solidFill>
                <a:schemeClr val="accent1"/>
              </a:solidFill>
              <a:round/>
            </a:ln>
            <a:effectLst/>
          </c:spPr>
          <c:marker>
            <c:symbol val="none"/>
          </c:marker>
          <c:xVal>
            <c:numRef>
              <c:f>'STOXX_HedgeBedarf+01'!$C$5:$C$205</c:f>
              <c:numCache>
                <c:formatCode>0.0</c:formatCode>
                <c:ptCount val="201"/>
                <c:pt idx="0">
                  <c:v>-250.24286168482755</c:v>
                </c:pt>
                <c:pt idx="1">
                  <c:v>-283.74613094754494</c:v>
                </c:pt>
                <c:pt idx="2">
                  <c:v>-318.97386714989096</c:v>
                </c:pt>
                <c:pt idx="3">
                  <c:v>-355.5995704434805</c:v>
                </c:pt>
                <c:pt idx="4">
                  <c:v>-393.25010638122092</c:v>
                </c:pt>
                <c:pt idx="5">
                  <c:v>-431.51100253497617</c:v>
                </c:pt>
                <c:pt idx="6">
                  <c:v>-469.93131423995021</c:v>
                </c:pt>
                <c:pt idx="7">
                  <c:v>-508.02783943576748</c:v>
                </c:pt>
                <c:pt idx="8">
                  <c:v>-545.28878997771676</c:v>
                </c:pt>
                <c:pt idx="9">
                  <c:v>-581.17736621271138</c:v>
                </c:pt>
                <c:pt idx="10">
                  <c:v>-615.13596429511881</c:v>
                </c:pt>
                <c:pt idx="11">
                  <c:v>-646.591905143742</c:v>
                </c:pt>
                <c:pt idx="12">
                  <c:v>-674.96555937011885</c:v>
                </c:pt>
                <c:pt idx="13">
                  <c:v>-699.68153081680589</c:v>
                </c:pt>
                <c:pt idx="14">
                  <c:v>-720.18316449694873</c:v>
                </c:pt>
                <c:pt idx="15">
                  <c:v>-735.95011089358877</c:v>
                </c:pt>
                <c:pt idx="16">
                  <c:v>-746.51808618498058</c:v>
                </c:pt>
                <c:pt idx="17">
                  <c:v>-751.49941346237915</c:v>
                </c:pt>
                <c:pt idx="18">
                  <c:v>-750.60251155146955</c:v>
                </c:pt>
                <c:pt idx="19">
                  <c:v>-743.64829817950522</c:v>
                </c:pt>
                <c:pt idx="20">
                  <c:v>-730.58154492951371</c:v>
                </c:pt>
                <c:pt idx="21">
                  <c:v>-711.4755743367183</c:v>
                </c:pt>
                <c:pt idx="22">
                  <c:v>-686.5292930156611</c:v>
                </c:pt>
                <c:pt idx="23">
                  <c:v>-656.05633825919404</c:v>
                </c:pt>
                <c:pt idx="24">
                  <c:v>-620.46697982560477</c:v>
                </c:pt>
                <c:pt idx="25">
                  <c:v>-580.24424997756785</c:v>
                </c:pt>
                <c:pt idx="26">
                  <c:v>-535.91646118372989</c:v>
                </c:pt>
                <c:pt idx="27">
                  <c:v>-488.02871693500759</c:v>
                </c:pt>
                <c:pt idx="28">
                  <c:v>-437.11616093283374</c:v>
                </c:pt>
                <c:pt idx="29">
                  <c:v>-383.68151573328174</c:v>
                </c:pt>
                <c:pt idx="30">
                  <c:v>-328.1789485727254</c:v>
                </c:pt>
                <c:pt idx="31">
                  <c:v>-271.00552647517731</c:v>
                </c:pt>
                <c:pt idx="32">
                  <c:v>-212.5005786520577</c:v>
                </c:pt>
                <c:pt idx="33">
                  <c:v>-152.95229241771798</c:v>
                </c:pt>
                <c:pt idx="34">
                  <c:v>-92.609962959632725</c:v>
                </c:pt>
                <c:pt idx="35">
                  <c:v>-31.699626456141253</c:v>
                </c:pt>
                <c:pt idx="36">
                  <c:v>29.55956383939008</c:v>
                </c:pt>
                <c:pt idx="37">
                  <c:v>90.940842817472657</c:v>
                </c:pt>
                <c:pt idx="38">
                  <c:v>152.19943189609774</c:v>
                </c:pt>
                <c:pt idx="39">
                  <c:v>213.06768504593867</c:v>
                </c:pt>
                <c:pt idx="40">
                  <c:v>273.25624526413515</c:v>
                </c:pt>
                <c:pt idx="41">
                  <c:v>332.46060583210783</c:v>
                </c:pt>
                <c:pt idx="42">
                  <c:v>390.37150729454856</c:v>
                </c:pt>
                <c:pt idx="43">
                  <c:v>446.68691919710238</c:v>
                </c:pt>
                <c:pt idx="44">
                  <c:v>501.12309312605811</c:v>
                </c:pt>
                <c:pt idx="45">
                  <c:v>553.42239928895731</c:v>
                </c:pt>
                <c:pt idx="46">
                  <c:v>603.35635077154757</c:v>
                </c:pt>
                <c:pt idx="47">
                  <c:v>650.72325845764385</c:v>
                </c:pt>
                <c:pt idx="48">
                  <c:v>695.34114210595419</c:v>
                </c:pt>
                <c:pt idx="49">
                  <c:v>737.0375960021139</c:v>
                </c:pt>
                <c:pt idx="50">
                  <c:v>775.639019278055</c:v>
                </c:pt>
                <c:pt idx="51">
                  <c:v>810.96178135884225</c:v>
                </c:pt>
                <c:pt idx="52">
                  <c:v>842.80742866013554</c:v>
                </c:pt>
                <c:pt idx="53">
                  <c:v>870.96302727473403</c:v>
                </c:pt>
                <c:pt idx="54">
                  <c:v>895.20640673673233</c:v>
                </c:pt>
                <c:pt idx="55">
                  <c:v>915.31476078447076</c:v>
                </c:pt>
                <c:pt idx="56">
                  <c:v>931.07414255449896</c:v>
                </c:pt>
                <c:pt idx="57">
                  <c:v>942.28716567023343</c:v>
                </c:pt>
                <c:pt idx="58">
                  <c:v>948.77682748915208</c:v>
                </c:pt>
                <c:pt idx="59">
                  <c:v>950.38571957687748</c:v>
                </c:pt>
                <c:pt idx="60">
                  <c:v>946.97166763804864</c:v>
                </c:pt>
                <c:pt idx="61">
                  <c:v>938.4025672383907</c:v>
                </c:pt>
                <c:pt idx="62">
                  <c:v>924.55432537311049</c:v>
                </c:pt>
                <c:pt idx="63">
                  <c:v>905.31595524482987</c:v>
                </c:pt>
                <c:pt idx="64">
                  <c:v>880.60481097169406</c:v>
                </c:pt>
                <c:pt idx="65">
                  <c:v>850.39281124838521</c:v>
                </c:pt>
                <c:pt idx="66">
                  <c:v>814.74171445197135</c:v>
                </c:pt>
                <c:pt idx="67">
                  <c:v>773.84271534144091</c:v>
                </c:pt>
                <c:pt idx="68">
                  <c:v>728.05353509992278</c:v>
                </c:pt>
                <c:pt idx="69">
                  <c:v>677.92534743010822</c:v>
                </c:pt>
                <c:pt idx="70">
                  <c:v>624.2126212893063</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E407-4308-BD3C-1ADFF8D3F681}"/>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653.88983275813632</c:v>
                </c:pt>
              </c:numCache>
            </c:numRef>
          </c:xVal>
          <c:yVal>
            <c:numRef>
              <c:f>Ueberhaenge!$X$4</c:f>
              <c:numCache>
                <c:formatCode>#,##0.00</c:formatCode>
                <c:ptCount val="1"/>
                <c:pt idx="0">
                  <c:v>4241.34</c:v>
                </c:pt>
              </c:numCache>
            </c:numRef>
          </c:yVal>
          <c:smooth val="0"/>
          <c:extLst>
            <c:ext xmlns:c16="http://schemas.microsoft.com/office/drawing/2014/chart" uri="{C3380CC4-5D6E-409C-BE32-E72D297353CC}">
              <c16:uniqueId val="{00000001-E407-4308-BD3C-1ADFF8D3F681}"/>
            </c:ext>
          </c:extLst>
        </c:ser>
        <c:ser>
          <c:idx val="3"/>
          <c:order val="3"/>
          <c:tx>
            <c:v>Summe 2 Monate</c:v>
          </c:tx>
          <c:marker>
            <c:symbol val="none"/>
          </c:marker>
          <c:xVal>
            <c:numRef>
              <c:f>Ueberhaenge!$U$10:$U$210</c:f>
              <c:numCache>
                <c:formatCode>General</c:formatCode>
                <c:ptCount val="201"/>
                <c:pt idx="0">
                  <c:v>-1110.7355906193916</c:v>
                </c:pt>
                <c:pt idx="1">
                  <c:v>-1209.4687850054909</c:v>
                </c:pt>
                <c:pt idx="2">
                  <c:v>-1305.548842471095</c:v>
                </c:pt>
                <c:pt idx="3">
                  <c:v>-1397.6476071225356</c:v>
                </c:pt>
                <c:pt idx="4">
                  <c:v>-1484.5583314424844</c:v>
                </c:pt>
                <c:pt idx="5">
                  <c:v>-1565.2114855799171</c:v>
                </c:pt>
                <c:pt idx="6">
                  <c:v>-1638.6757379901901</c:v>
                </c:pt>
                <c:pt idx="7">
                  <c:v>-1704.1466623846347</c:v>
                </c:pt>
                <c:pt idx="8">
                  <c:v>-1760.927469673712</c:v>
                </c:pt>
                <c:pt idx="9">
                  <c:v>-1808.4071057478541</c:v>
                </c:pt>
                <c:pt idx="10">
                  <c:v>-1846.0412112080703</c:v>
                </c:pt>
                <c:pt idx="11">
                  <c:v>-1873.3406696776483</c:v>
                </c:pt>
                <c:pt idx="12">
                  <c:v>-1889.8708977669241</c:v>
                </c:pt>
                <c:pt idx="13">
                  <c:v>-1895.2629130640087</c:v>
                </c:pt>
                <c:pt idx="14">
                  <c:v>-1889.2349130524804</c:v>
                </c:pt>
                <c:pt idx="15">
                  <c:v>-1871.6209962621072</c:v>
                </c:pt>
                <c:pt idx="16">
                  <c:v>-1842.4021089442506</c:v>
                </c:pt>
                <c:pt idx="17">
                  <c:v>-1801.7335591831593</c:v>
                </c:pt>
                <c:pt idx="18">
                  <c:v>-1749.9636179060658</c:v>
                </c:pt>
                <c:pt idx="19">
                  <c:v>-1687.6387795963772</c:v>
                </c:pt>
                <c:pt idx="20">
                  <c:v>-1615.4930006712661</c:v>
                </c:pt>
                <c:pt idx="21">
                  <c:v>-1534.4203851073962</c:v>
                </c:pt>
                <c:pt idx="22">
                  <c:v>-1445.4330130345884</c:v>
                </c:pt>
                <c:pt idx="23">
                  <c:v>-1349.6075880263509</c:v>
                </c:pt>
                <c:pt idx="24">
                  <c:v>-1248.0260526647835</c:v>
                </c:pt>
                <c:pt idx="25">
                  <c:v>-1141.7161223914509</c:v>
                </c:pt>
                <c:pt idx="26">
                  <c:v>-1031.5977517848073</c:v>
                </c:pt>
                <c:pt idx="27">
                  <c:v>-918.44090954990452</c:v>
                </c:pt>
                <c:pt idx="28">
                  <c:v>-802.83881018743818</c:v>
                </c:pt>
                <c:pt idx="29">
                  <c:v>-685.19909492683428</c:v>
                </c:pt>
                <c:pt idx="30">
                  <c:v>-565.75356333041077</c:v>
                </c:pt>
                <c:pt idx="31">
                  <c:v>-444.58513016796473</c:v>
                </c:pt>
                <c:pt idx="32">
                  <c:v>-321.66891504486159</c:v>
                </c:pt>
                <c:pt idx="33">
                  <c:v>-196.92294427827119</c:v>
                </c:pt>
                <c:pt idx="34">
                  <c:v>-70.263007479656409</c:v>
                </c:pt>
                <c:pt idx="35">
                  <c:v>58.344125067969522</c:v>
                </c:pt>
                <c:pt idx="36">
                  <c:v>188.83460281345555</c:v>
                </c:pt>
                <c:pt idx="37">
                  <c:v>321.01304721148591</c:v>
                </c:pt>
                <c:pt idx="38">
                  <c:v>454.53282021929147</c:v>
                </c:pt>
                <c:pt idx="39">
                  <c:v>588.89225899417488</c:v>
                </c:pt>
                <c:pt idx="40">
                  <c:v>723.44620547352406</c:v>
                </c:pt>
                <c:pt idx="41">
                  <c:v>857.43039287171337</c:v>
                </c:pt>
                <c:pt idx="42">
                  <c:v>989.99488311164293</c:v>
                </c:pt>
                <c:pt idx="43">
                  <c:v>1120.2419646664698</c:v>
                </c:pt>
                <c:pt idx="44">
                  <c:v>1247.2638118728837</c:v>
                </c:pt>
                <c:pt idx="45">
                  <c:v>1370.1757572792526</c:v>
                </c:pt>
                <c:pt idx="46">
                  <c:v>1488.1421123615178</c:v>
                </c:pt>
                <c:pt idx="47">
                  <c:v>1600.3928756255327</c:v>
                </c:pt>
                <c:pt idx="48">
                  <c:v>1706.2311268701405</c:v>
                </c:pt>
                <c:pt idx="49">
                  <c:v>1805.0321564189085</c:v>
                </c:pt>
                <c:pt idx="50">
                  <c:v>1896.2362036395691</c:v>
                </c:pt>
                <c:pt idx="51">
                  <c:v>1979.3369648258235</c:v>
                </c:pt>
                <c:pt idx="52">
                  <c:v>2053.8677946534572</c:v>
                </c:pt>
                <c:pt idx="53">
                  <c:v>2119.3869274944127</c:v>
                </c:pt>
                <c:pt idx="54">
                  <c:v>2175.4623592386624</c:v>
                </c:pt>
                <c:pt idx="55">
                  <c:v>2221.6565821920767</c:v>
                </c:pt>
                <c:pt idx="56">
                  <c:v>2257.5114378195885</c:v>
                </c:pt>
                <c:pt idx="57">
                  <c:v>2282.5340821362715</c:v>
                </c:pt>
                <c:pt idx="58">
                  <c:v>2296.1863572882921</c:v>
                </c:pt>
                <c:pt idx="59">
                  <c:v>2297.8813870345416</c:v>
                </c:pt>
                <c:pt idx="60">
                  <c:v>2286.9924162698139</c:v>
                </c:pt>
                <c:pt idx="61">
                  <c:v>2262.8791752373927</c:v>
                </c:pt>
                <c:pt idx="62">
                  <c:v>2224.9358611695793</c:v>
                </c:pt>
                <c:pt idx="63">
                  <c:v>2172.6619934441355</c:v>
                </c:pt>
                <c:pt idx="64">
                  <c:v>2105.7531543999116</c:v>
                </c:pt>
                <c:pt idx="65">
                  <c:v>2024.2036836890193</c:v>
                </c:pt>
                <c:pt idx="66">
                  <c:v>1928.4088073793162</c:v>
                </c:pt>
                <c:pt idx="67">
                  <c:v>1819.2506255345997</c:v>
                </c:pt>
                <c:pt idx="68">
                  <c:v>1698.1518364126125</c:v>
                </c:pt>
                <c:pt idx="69">
                  <c:v>1567.0835521944209</c:v>
                </c:pt>
                <c:pt idx="70">
                  <c:v>1428.5189193229867</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4-E407-4308-BD3C-1ADFF8D3F681}"/>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2-E407-4308-BD3C-1ADFF8D3F681}"/>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STOXX_HedgeBedarf!$C$5:$C$205</c:f>
              <c:numCache>
                <c:formatCode>#,#00</c:formatCode>
                <c:ptCount val="201"/>
                <c:pt idx="0">
                  <c:v>-860.49272893456407</c:v>
                </c:pt>
                <c:pt idx="1">
                  <c:v>-925.72265405794599</c:v>
                </c:pt>
                <c:pt idx="2">
                  <c:v>-986.57497532120396</c:v>
                </c:pt>
                <c:pt idx="3">
                  <c:v>-1042.048036679055</c:v>
                </c:pt>
                <c:pt idx="4">
                  <c:v>-1091.3082250612636</c:v>
                </c:pt>
                <c:pt idx="5">
                  <c:v>-1133.7004830449409</c:v>
                </c:pt>
                <c:pt idx="6">
                  <c:v>-1168.7444237502398</c:v>
                </c:pt>
                <c:pt idx="7">
                  <c:v>-1196.1188229488673</c:v>
                </c:pt>
                <c:pt idx="8">
                  <c:v>-1215.6386796959953</c:v>
                </c:pt>
                <c:pt idx="9">
                  <c:v>-1227.2297395351427</c:v>
                </c:pt>
                <c:pt idx="10">
                  <c:v>-1230.9052469129515</c:v>
                </c:pt>
                <c:pt idx="11">
                  <c:v>-1226.7487645339063</c:v>
                </c:pt>
                <c:pt idx="12">
                  <c:v>-1214.9053383968053</c:v>
                </c:pt>
                <c:pt idx="13">
                  <c:v>-1195.5813822472028</c:v>
                </c:pt>
                <c:pt idx="14">
                  <c:v>-1169.0517485555315</c:v>
                </c:pt>
                <c:pt idx="15">
                  <c:v>-1135.6708853685184</c:v>
                </c:pt>
                <c:pt idx="16">
                  <c:v>-1095.88402275927</c:v>
                </c:pt>
                <c:pt idx="17">
                  <c:v>-1050.2341457207801</c:v>
                </c:pt>
                <c:pt idx="18">
                  <c:v>-999.36110635459625</c:v>
                </c:pt>
                <c:pt idx="19">
                  <c:v>-943.99048141687194</c:v>
                </c:pt>
                <c:pt idx="20">
                  <c:v>-884.91145574175255</c:v>
                </c:pt>
                <c:pt idx="21">
                  <c:v>-822.94481077067803</c:v>
                </c:pt>
                <c:pt idx="22">
                  <c:v>-758.9037200189274</c:v>
                </c:pt>
                <c:pt idx="23">
                  <c:v>-693.55124976715683</c:v>
                </c:pt>
                <c:pt idx="24">
                  <c:v>-627.55907283917884</c:v>
                </c:pt>
                <c:pt idx="25">
                  <c:v>-561.47187241388303</c:v>
                </c:pt>
                <c:pt idx="26">
                  <c:v>-495.68129060107754</c:v>
                </c:pt>
                <c:pt idx="27">
                  <c:v>-430.41219261489698</c:v>
                </c:pt>
                <c:pt idx="28">
                  <c:v>-365.72264925460451</c:v>
                </c:pt>
                <c:pt idx="29">
                  <c:v>-301.51757919355248</c:v>
                </c:pt>
                <c:pt idx="30">
                  <c:v>-237.5746147576854</c:v>
                </c:pt>
                <c:pt idx="31">
                  <c:v>-173.57960369278743</c:v>
                </c:pt>
                <c:pt idx="32">
                  <c:v>-109.16833639280391</c:v>
                </c:pt>
                <c:pt idx="33">
                  <c:v>-43.970651860553204</c:v>
                </c:pt>
                <c:pt idx="34">
                  <c:v>22.346955479976323</c:v>
                </c:pt>
                <c:pt idx="35">
                  <c:v>90.043751524110775</c:v>
                </c:pt>
                <c:pt idx="36">
                  <c:v>159.27503897406547</c:v>
                </c:pt>
                <c:pt idx="37">
                  <c:v>230.07220439401326</c:v>
                </c:pt>
                <c:pt idx="38">
                  <c:v>302.33338832319373</c:v>
                </c:pt>
                <c:pt idx="39">
                  <c:v>375.82457394823626</c:v>
                </c:pt>
                <c:pt idx="40">
                  <c:v>450.18996020938897</c:v>
                </c:pt>
                <c:pt idx="41">
                  <c:v>524.96978703960554</c:v>
                </c:pt>
                <c:pt idx="42">
                  <c:v>599.62337581709437</c:v>
                </c:pt>
                <c:pt idx="43">
                  <c:v>673.55504546936754</c:v>
                </c:pt>
                <c:pt idx="44">
                  <c:v>746.14071874682566</c:v>
                </c:pt>
                <c:pt idx="45">
                  <c:v>816.75335799029529</c:v>
                </c:pt>
                <c:pt idx="46">
                  <c:v>884.78576158997032</c:v>
                </c:pt>
                <c:pt idx="47">
                  <c:v>949.66961716788876</c:v>
                </c:pt>
                <c:pt idx="48">
                  <c:v>1010.8899847641862</c:v>
                </c:pt>
                <c:pt idx="49">
                  <c:v>1067.9945604167947</c:v>
                </c:pt>
                <c:pt idx="50">
                  <c:v>1120.5971843615141</c:v>
                </c:pt>
                <c:pt idx="51">
                  <c:v>1168.3751834669813</c:v>
                </c:pt>
                <c:pt idx="52">
                  <c:v>1211.0603659933215</c:v>
                </c:pt>
                <c:pt idx="53">
                  <c:v>1248.4239002196787</c:v>
                </c:pt>
                <c:pt idx="54">
                  <c:v>1280.2559525019301</c:v>
                </c:pt>
                <c:pt idx="55">
                  <c:v>1306.3418214076057</c:v>
                </c:pt>
                <c:pt idx="56">
                  <c:v>1326.4372952650895</c:v>
                </c:pt>
                <c:pt idx="57">
                  <c:v>1340.2469164660379</c:v>
                </c:pt>
                <c:pt idx="58">
                  <c:v>1347.4095297991398</c:v>
                </c:pt>
                <c:pt idx="59">
                  <c:v>1347.495667457664</c:v>
                </c:pt>
                <c:pt idx="60">
                  <c:v>1340.0207486317654</c:v>
                </c:pt>
                <c:pt idx="61">
                  <c:v>1324.4766079990022</c:v>
                </c:pt>
                <c:pt idx="62">
                  <c:v>1300.3815357964688</c:v>
                </c:pt>
                <c:pt idx="63">
                  <c:v>1267.3460381993057</c:v>
                </c:pt>
                <c:pt idx="64">
                  <c:v>1225.1483434282175</c:v>
                </c:pt>
                <c:pt idx="65">
                  <c:v>1173.8108724406341</c:v>
                </c:pt>
                <c:pt idx="66">
                  <c:v>1113.6670929273448</c:v>
                </c:pt>
                <c:pt idx="67">
                  <c:v>1045.4079101931588</c:v>
                </c:pt>
                <c:pt idx="68">
                  <c:v>970.09830131268973</c:v>
                </c:pt>
                <c:pt idx="69">
                  <c:v>889.15820476431281</c:v>
                </c:pt>
                <c:pt idx="70">
                  <c:v>804.30629803368026</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653.88983275813632</c:v>
                </c:pt>
              </c:numCache>
            </c:numRef>
          </c:xVal>
          <c:yVal>
            <c:numRef>
              <c:f>Ueberhaenge!$X$4</c:f>
              <c:numCache>
                <c:formatCode>#,##0.00</c:formatCode>
                <c:ptCount val="1"/>
                <c:pt idx="0">
                  <c:v>4241.34</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STOXX_HedgeBedarf!$AR$5:$AR$205</c:f>
              <c:numCache>
                <c:formatCode>0.0</c:formatCode>
                <c:ptCount val="201"/>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'STOXX_HedgeBedarf+01'!$A$5:$A$205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'STOXX_HedgeBedarf+01'!$AR$5:$AR$205</c:f>
              <c:numCache>
                <c:formatCode>0.0</c:formatCode>
                <c:ptCount val="201"/>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746760</xdr:colOff>
          <xdr:row>2</xdr:row>
          <xdr:rowOff>152400</xdr:rowOff>
        </xdr:from>
        <xdr:to>
          <xdr:col>12</xdr:col>
          <xdr:colOff>0</xdr:colOff>
          <xdr:row>4</xdr:row>
          <xdr:rowOff>121920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121920</xdr:rowOff>
        </xdr:from>
        <xdr:to>
          <xdr:col>12</xdr:col>
          <xdr:colOff>632460</xdr:colOff>
          <xdr:row>0</xdr:row>
          <xdr:rowOff>670560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632460</xdr:rowOff>
        </xdr:from>
        <xdr:to>
          <xdr:col>12</xdr:col>
          <xdr:colOff>22860</xdr:colOff>
          <xdr:row>2</xdr:row>
          <xdr:rowOff>68580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0</xdr:row>
          <xdr:rowOff>121920</xdr:rowOff>
        </xdr:from>
        <xdr:to>
          <xdr:col>13</xdr:col>
          <xdr:colOff>160020</xdr:colOff>
          <xdr:row>0</xdr:row>
          <xdr:rowOff>502920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68580</xdr:rowOff>
        </xdr:from>
        <xdr:to>
          <xdr:col>26</xdr:col>
          <xdr:colOff>548640</xdr:colOff>
          <xdr:row>0</xdr:row>
          <xdr:rowOff>441960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525780</xdr:rowOff>
        </xdr:from>
        <xdr:to>
          <xdr:col>26</xdr:col>
          <xdr:colOff>548640</xdr:colOff>
          <xdr:row>1</xdr:row>
          <xdr:rowOff>137160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1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9</xdr:col>
          <xdr:colOff>746760</xdr:colOff>
          <xdr:row>5</xdr:row>
          <xdr:rowOff>45720</xdr:rowOff>
        </xdr:from>
        <xdr:to>
          <xdr:col>11</xdr:col>
          <xdr:colOff>746760</xdr:colOff>
          <xdr:row>6</xdr:row>
          <xdr:rowOff>220980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182880</xdr:colOff>
          <xdr:row>0</xdr:row>
          <xdr:rowOff>121920</xdr:rowOff>
        </xdr:from>
        <xdr:to>
          <xdr:col>16</xdr:col>
          <xdr:colOff>91440</xdr:colOff>
          <xdr:row>0</xdr:row>
          <xdr:rowOff>495300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3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4" name="Gerader Verbinder 3">
          <a:extLst>
            <a:ext uri="{FF2B5EF4-FFF2-40B4-BE49-F238E27FC236}">
              <a16:creationId xmlns:a16="http://schemas.microsoft.com/office/drawing/2014/main" id="{00000000-0008-0000-0300-000004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3" name="Gerade Verbindung mit Pfeil 2">
          <a:extLst>
            <a:ext uri="{FF2B5EF4-FFF2-40B4-BE49-F238E27FC236}">
              <a16:creationId xmlns:a16="http://schemas.microsoft.com/office/drawing/2014/main" id="{00000000-0008-0000-0500-000003000000}"/>
            </a:ext>
          </a:extLst>
        </xdr:cNvPr>
        <xdr:cNvCxnSpPr/>
      </xdr:nvCxnSpPr>
      <xdr:spPr>
        <a:xfrm flipH="1">
          <a:off x="18988768" y="10271124"/>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4" name="Gerade Verbindung mit Pfeil 3">
          <a:extLst>
            <a:ext uri="{FF2B5EF4-FFF2-40B4-BE49-F238E27FC236}">
              <a16:creationId xmlns:a16="http://schemas.microsoft.com/office/drawing/2014/main" id="{00000000-0008-0000-0500-000004000000}"/>
            </a:ext>
          </a:extLst>
        </xdr:cNvPr>
        <xdr:cNvCxnSpPr/>
      </xdr:nvCxnSpPr>
      <xdr:spPr>
        <a:xfrm flipH="1">
          <a:off x="18767729" y="9611632"/>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15876</xdr:colOff>
      <xdr:row>6</xdr:row>
      <xdr:rowOff>15875</xdr:rowOff>
    </xdr:from>
    <xdr:ext cx="4841874" cy="841376"/>
    <xdr:sp macro="" textlink="">
      <xdr:nvSpPr>
        <xdr:cNvPr id="5" name="Textfeld 4">
          <a:extLst>
            <a:ext uri="{FF2B5EF4-FFF2-40B4-BE49-F238E27FC236}">
              <a16:creationId xmlns:a16="http://schemas.microsoft.com/office/drawing/2014/main" id="{00000000-0008-0000-0500-000005000000}"/>
            </a:ext>
          </a:extLst>
        </xdr:cNvPr>
        <xdr:cNvSpPr txBox="1"/>
      </xdr:nvSpPr>
      <xdr:spPr>
        <a:xfrm>
          <a:off x="3768726" y="2606675"/>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500-000006000000}"/>
            </a:ext>
          </a:extLst>
        </xdr:cNvPr>
        <xdr:cNvCxnSpPr/>
      </xdr:nvCxnSpPr>
      <xdr:spPr>
        <a:xfrm flipV="1">
          <a:off x="17319625" y="53657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7" name="Rechteck 6">
          <a:extLst>
            <a:ext uri="{FF2B5EF4-FFF2-40B4-BE49-F238E27FC236}">
              <a16:creationId xmlns:a16="http://schemas.microsoft.com/office/drawing/2014/main" id="{00000000-0008-0000-0500-000007000000}"/>
            </a:ext>
          </a:extLst>
        </xdr:cNvPr>
        <xdr:cNvSpPr/>
      </xdr:nvSpPr>
      <xdr:spPr>
        <a:xfrm>
          <a:off x="23241000" y="2273300"/>
          <a:ext cx="4222750" cy="127095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457200</xdr:colOff>
      <xdr:row>45</xdr:row>
      <xdr:rowOff>114300</xdr:rowOff>
    </xdr:from>
    <xdr:to>
      <xdr:col>5</xdr:col>
      <xdr:colOff>650875</xdr:colOff>
      <xdr:row>45</xdr:row>
      <xdr:rowOff>184150</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4972050" y="143827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469900</xdr:colOff>
      <xdr:row>44</xdr:row>
      <xdr:rowOff>123825</xdr:rowOff>
    </xdr:from>
    <xdr:to>
      <xdr:col>5</xdr:col>
      <xdr:colOff>663575</xdr:colOff>
      <xdr:row>44</xdr:row>
      <xdr:rowOff>193675</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4984750" y="14154150"/>
          <a:ext cx="193675" cy="6985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6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6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6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4</xdr:col>
      <xdr:colOff>15876</xdr:colOff>
      <xdr:row>6</xdr:row>
      <xdr:rowOff>15875</xdr:rowOff>
    </xdr:from>
    <xdr:ext cx="4841874" cy="841376"/>
    <xdr:sp macro="" textlink="">
      <xdr:nvSpPr>
        <xdr:cNvPr id="7" name="Textfeld 6">
          <a:extLst>
            <a:ext uri="{FF2B5EF4-FFF2-40B4-BE49-F238E27FC236}">
              <a16:creationId xmlns:a16="http://schemas.microsoft.com/office/drawing/2014/main" id="{00000000-0008-0000-0600-000007000000}"/>
            </a:ext>
          </a:extLst>
        </xdr:cNvPr>
        <xdr:cNvSpPr txBox="1"/>
      </xdr:nvSpPr>
      <xdr:spPr>
        <a:xfrm>
          <a:off x="3762376" y="2159000"/>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3" connectionId="3" xr16:uid="{3B996B97-E06D-41CC-B7FD-206A2F15D1AE}" autoFormatId="16" applyNumberFormats="0" applyBorderFormats="0" applyFontFormats="0" applyPatternFormats="0" applyAlignmentFormats="0" applyWidthHeightFormats="0">
  <queryTableRefresh nextId="770">
    <queryTableFields count="6">
      <queryTableField id="523" name="USD" tableColumnId="1"/>
      <queryTableField id="762" name="08-09-2023" tableColumnId="7"/>
      <queryTableField id="763" name="07-09-2023" tableColumnId="8"/>
      <queryTableField id="764" name="06-09-2023" tableColumnId="9"/>
      <queryTableField id="765" name="05-09-2023" tableColumnId="10"/>
      <queryTableField id="757" name="04-09-2023"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53855074-DCB6-4CD2-81D7-F51113CF451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4" xr16:uid="{3B03E782-8878-4D07-B969-9A8941D817AF}" autoFormatId="16" applyNumberFormats="0" applyBorderFormats="0" applyFontFormats="0" applyPatternFormats="0" applyAlignmentFormats="0" applyWidthHeightFormats="0">
  <queryTableRefresh nextId="5">
    <queryTableFields count="4">
      <queryTableField id="1" name="Indizes EU / USA / INT" tableColumnId="5"/>
      <queryTableField id="2" name="Kurs" tableColumnId="2"/>
      <queryTableField id="3" name="%" tableColumnId="3"/>
      <queryTableField id="4" name="Zei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0AEA0782-F919-4C0E-ACF1-A3D48152B9B3}" autoFormatId="16" applyNumberFormats="0" applyBorderFormats="0" applyFontFormats="0" applyPatternFormats="0" applyAlignmentFormats="0" applyWidthHeightFormats="0">
  <queryTableRefresh nextId="6">
    <queryTableFields count="5">
      <queryTableField id="1" name="Product" tableColumnId="6"/>
      <queryTableField id="2" name="Diff. to prev. day last" tableColumnId="2"/>
      <queryTableField id="3" name="Last price" tableColumnId="3"/>
      <queryTableField id="4" name="Contracts" tableColumnId="4"/>
      <queryTableField id="5" name="Tim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81C52E81-01D5-4BCE-8194-5CF43C5F1987}"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6" xr16:uid="{6CFEBD47-7593-480A-B23E-CCC6265CA497}" autoFormatId="16" applyNumberFormats="0" applyBorderFormats="0" applyFontFormats="0" applyPatternFormats="0" applyAlignmentFormats="0" applyWidthHeightFormats="0">
  <queryTableRefresh nextId="4" unboundColumnsRight="1">
    <queryTableFields count="3">
      <queryTableField id="1" name="Column1" tableColumnId="3"/>
      <queryTableField id="2" name="Column2" tableColumnId="2"/>
      <queryTableField id="3"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983621-AC03-41CE-853C-1893824BA46C}" name="Libor" displayName="Libor" ref="A13:F16" tableType="queryTable" totalsRowShown="0">
  <autoFilter ref="A13:F16" xr:uid="{DE0D870F-632C-4D0D-90C3-5295F2591B9E}"/>
  <tableColumns count="6">
    <tableColumn id="1" xr3:uid="{02D5A623-4E73-46D7-81FE-0C6FC667715C}" uniqueName="1" name="USD" queryTableFieldId="523" dataDxfId="60"/>
    <tableColumn id="7" xr3:uid="{60E3D402-A944-4A97-A960-4DE1C75C590F}" uniqueName="7" name="08-09-2023" queryTableFieldId="762"/>
    <tableColumn id="8" xr3:uid="{E1373219-04E4-4125-B97C-D75DE4896674}" uniqueName="8" name="07-09-2023" queryTableFieldId="763"/>
    <tableColumn id="9" xr3:uid="{A9825BCE-2835-4891-A7FA-E13FE668789E}" uniqueName="9" name="06-09-2023" queryTableFieldId="764"/>
    <tableColumn id="10" xr3:uid="{1B87F179-7119-41E7-9F03-BC8C35F6B757}" uniqueName="10" name="05-09-2023" queryTableFieldId="765"/>
    <tableColumn id="2" xr3:uid="{8939F5AE-4A0C-438B-8F1F-90C76BD2FD32}" uniqueName="2" name="04-09-2023" queryTableFieldId="757"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0BFE0C-63D3-448D-B265-0D6C0E173DE4}" name="Stoxx_50" displayName="Stoxx_50" ref="A1:F6" totalsRowShown="0">
  <autoFilter ref="A1:F6" xr:uid="{3F296FF5-133E-4B0D-AF46-3C8E344F3391}"/>
  <tableColumns count="6">
    <tableColumn id="7" xr3:uid="{E63EA544-83C5-40AA-853C-15CDD9C5B172}" name="Name" dataDxfId="59"/>
    <tableColumn id="2" xr3:uid="{4836B549-2264-4702-85CB-9CD14219D157}" name="Kurs" dataDxfId="58"/>
    <tableColumn id="3" xr3:uid="{A6B72ED6-3E02-4C39-A28C-C02160AC051D}" name="Vortag" dataDxfId="57"/>
    <tableColumn id="4" xr3:uid="{B259CF6A-A4E8-48E4-AD1D-7E60A0B2D621}" name="+/- %" dataDxfId="56"/>
    <tableColumn id="5" xr3:uid="{99FD36CA-0861-483C-979E-0C568C89F395}" name="+/- abs." dataDxfId="55"/>
    <tableColumn id="6" xr3:uid="{6843929D-3A62-4A7B-807D-38411E4029B8}" name="Zeit" dataDxfId="5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8CBE32-02CE-4B14-88AF-525DF5C6A86B}" name="Euribor3M" displayName="Euribor3M" ref="A1:B11" tableType="queryTable" totalsRowShown="0">
  <autoFilter ref="A1:B11" xr:uid="{1B45263B-9136-466D-B606-B5673B558942}"/>
  <tableColumns count="2">
    <tableColumn id="3" xr3:uid="{4480C294-A250-4644-A250-4CCB84A484FA}" uniqueName="3" name="Column1" queryTableFieldId="1" dataDxfId="53"/>
    <tableColumn id="2" xr3:uid="{195A9FF9-9CB9-4944-A007-0BC6AF504FA5}" uniqueName="2" name="Column2" queryTableFieldId="2" dataDxfId="5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F08406-0517-4B26-A8DD-B8C911029751}" name="Euro_Stoxx_50_tägliche_Kurse" displayName="Euro_Stoxx_50_tägliche_Kurse" ref="A1:F11" totalsRowShown="0">
  <autoFilter ref="A1:F11" xr:uid="{294964D2-0A27-469E-9F5A-543FA616C677}"/>
  <tableColumns count="6">
    <tableColumn id="7" xr3:uid="{1AFCE216-63C1-46C5-AD1E-06E579E4A2FA}" name="Datum" dataDxfId="51"/>
    <tableColumn id="2" xr3:uid="{CD079CA8-D659-4924-A4DF-299B316EAF30}" name="Erster _x000a_                    Schluss" dataDxfId="50"/>
    <tableColumn id="3" xr3:uid="{DE9E822F-084C-4C4C-9D0A-D3C34BD980A3}" name="Hoch _x000a_                    Tief" dataDxfId="49"/>
    <tableColumn id="4" xr3:uid="{F71D31BD-0208-4F54-A5E2-47D12B1916A4}" name="Tief" dataDxfId="48"/>
    <tableColumn id="5" xr3:uid="{5EC24D7A-587A-4906-B26D-0F982C0F5781}" name="Schluss" dataDxfId="47"/>
    <tableColumn id="6" xr3:uid="{CE18D162-1687-4004-9DA6-54FDAB5147AB}" name="%" dataDxfId="4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941D5-89E4-488E-BA32-F8D05C6A01D0}" name="Historische_Kurse" displayName="Historische_Kurse" ref="A1:G21" totalsRowShown="0">
  <autoFilter ref="A1:G21" xr:uid="{19434EE6-9D13-4884-BBEB-2D00C6ED976D}"/>
  <tableColumns count="7">
    <tableColumn id="9" xr3:uid="{B771E8DA-E8A4-48A3-8C55-A286AD9D4569}" name="Column1" dataDxfId="45"/>
    <tableColumn id="2" xr3:uid="{4407E966-BCE3-43E4-91FA-2840D9A306BF}" name="Datum" dataDxfId="44"/>
    <tableColumn id="3" xr3:uid="{0E902EF8-3548-400D-930B-1C46E9244785}" name="Eröffnung" dataDxfId="43"/>
    <tableColumn id="4" xr3:uid="{21E541E3-E868-409F-8F0C-C204C1463CE9}" name="Hoch" dataDxfId="42"/>
    <tableColumn id="5" xr3:uid="{F08A1315-8DCE-4A73-8F7C-1B3CFD61C706}" name="Tief" dataDxfId="41"/>
    <tableColumn id="6" xr3:uid="{A4A2DCDD-747B-4944-98DD-B7547F5CF950}" name="Schlusskurs" dataDxfId="40"/>
    <tableColumn id="7" xr3:uid="{AE0D68A8-27D0-4AE0-92CC-650ED08F3DF2}" name="Volumen" dataDxfId="3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107E6D-EDE1-48EE-A6C1-CD83F8898578}" name="VSTOXX" displayName="VSTOXX" ref="A1:C5" totalsRowShown="0">
  <autoFilter ref="A1:C5" xr:uid="{31207650-D9EC-4760-8F98-23DBD7310279}"/>
  <tableColumns count="3">
    <tableColumn id="4" xr3:uid="{B4098B7F-1F37-46B6-9766-63C78012ABDF}" name="Column1" dataDxfId="38"/>
    <tableColumn id="2" xr3:uid="{CC877C1C-85A7-43DF-A602-7C812A1297C4}" name="Column2" dataDxfId="37"/>
    <tableColumn id="3" xr3:uid="{FB84A096-A148-4823-AA99-61D96C8C9048}" name="Column3" dataDxfId="3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5B9C457-9497-478F-90BD-05FD6C42A0F1}" name="Stuttgart" displayName="Stuttgart" ref="A1:D9" tableType="queryTable" totalsRowShown="0">
  <autoFilter ref="A1:D9" xr:uid="{35B9C457-9497-478F-90BD-05FD6C42A0F1}"/>
  <tableColumns count="4">
    <tableColumn id="5" xr3:uid="{FE655A4C-ABB3-4E64-AAE3-7785577AF8D6}" uniqueName="5" name="Indizes EU / USA / INT" queryTableFieldId="1" dataDxfId="35"/>
    <tableColumn id="2" xr3:uid="{5F796065-2DFE-4864-B4F4-DAA2E697ACA7}" uniqueName="2" name="Kurs" queryTableFieldId="2" dataDxfId="34"/>
    <tableColumn id="3" xr3:uid="{73973967-88D9-47AE-B504-BE826DC9036A}" uniqueName="3" name="%" queryTableFieldId="3" dataDxfId="33"/>
    <tableColumn id="4" xr3:uid="{2B81C345-4191-47AA-B012-6858EE615407}" uniqueName="4" name="Zeit" queryTableFieldId="4"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FC45F5-5219-4A15-B3EF-70E023FFFB73}" name="VSTOXX_EUREX" displayName="VSTOXX_EUREX" ref="A1:E2" tableType="queryTable" totalsRowShown="0">
  <autoFilter ref="A1:E2" xr:uid="{35FC45F5-5219-4A15-B3EF-70E023FFFB73}"/>
  <tableColumns count="5">
    <tableColumn id="6" xr3:uid="{4A81FF87-088C-4911-BB2F-0427749805D2}" uniqueName="6" name="Product" queryTableFieldId="1" dataDxfId="32"/>
    <tableColumn id="2" xr3:uid="{9C3DF750-83B7-43F3-8247-C59CD80C02FF}" uniqueName="2" name="Diff. to prev. day last" queryTableFieldId="2" dataDxfId="31"/>
    <tableColumn id="3" xr3:uid="{228EAF8D-A111-48B7-A564-EF75E4721787}" uniqueName="3" name="Last price" queryTableFieldId="3" dataDxfId="30"/>
    <tableColumn id="4" xr3:uid="{AEDC5A81-74A7-4482-90AD-47A7B4E87D0D}" uniqueName="4" name="Contracts" queryTableFieldId="4" dataDxfId="29"/>
    <tableColumn id="5" xr3:uid="{E6C60813-5E6B-4275-8D15-46017A498FCD}" uniqueName="5" name="Time" queryTableFieldId="5" dataDxfId="2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DACB8BC-9228-4BAC-9B20-A912E73C3F19}" name="Historische_Kurse_VSTOXX" displayName="Historische_Kurse_VSTOXX" ref="A1:C24" tableType="queryTable" totalsRowShown="0">
  <autoFilter ref="A1:C24" xr:uid="{FDACB8BC-9228-4BAC-9B20-A912E73C3F19}"/>
  <tableColumns count="3">
    <tableColumn id="4" xr3:uid="{E0BD8840-8CB5-45F3-9FC6-C9D750591C43}" uniqueName="4" name="Datum" queryTableFieldId="1" dataDxfId="27"/>
    <tableColumn id="2" xr3:uid="{6B2DBCE0-5075-410F-8E89-DCA39DCCA4A6}" uniqueName="2" name="Eröffnung" queryTableFieldId="2" dataDxfId="26"/>
    <tableColumn id="3" xr3:uid="{43507E11-60F9-4D4C-A47C-6FDA02951413}" uniqueName="3" name="Schluss" queryTableFieldId="3" dataDxfId="2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E035955-7D2A-43C1-9AFE-E34DA0C34CFD}" name="VSTOXX_Finanzen" displayName="VSTOXX_Finanzen" ref="A1:C8" tableType="queryTable" totalsRowShown="0">
  <autoFilter ref="A1:C8" xr:uid="{FE035955-7D2A-43C1-9AFE-E34DA0C34CFD}"/>
  <tableColumns count="3">
    <tableColumn id="3" xr3:uid="{CD5B1022-6A98-4F90-B203-08790CA2DAE9}" uniqueName="3" name="Column1" queryTableFieldId="1" dataDxfId="2"/>
    <tableColumn id="2" xr3:uid="{FE768098-C1A6-490F-AE6E-AEDF6C9ACDAE}" uniqueName="2" name="Column2" queryTableFieldId="2" dataDxfId="1"/>
    <tableColumn id="4" xr3:uid="{5B4A9399-9E70-4187-A354-9CED572E9BC6}" uniqueName="4" name="Column3" queryTableFieldId="3" dataDxfId="0">
      <calculatedColumnFormula>1*(LEFT(VSTOXX_Finanzen[[#This Row],[Column2]],5))</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eurexchange.com/exchange-de/marktdaten/statistik/online-marktstatistiken/4302!onlineStats?productGroupId=13370&amp;productId=69660&amp;viewType=3&amp;cp=Put&amp;month=6&amp;year=2019&amp;busDate=20190517"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boerse-frankfurt.de/index/VDAX-NEW-12M" TargetMode="External"/><Relationship Id="rId4"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F19"/>
  <sheetViews>
    <sheetView workbookViewId="0">
      <selection activeCell="C5" sqref="C5"/>
    </sheetView>
  </sheetViews>
  <sheetFormatPr baseColWidth="10" defaultColWidth="11.44140625" defaultRowHeight="14.4" x14ac:dyDescent="0.3"/>
  <cols>
    <col min="1" max="2" width="11.44140625" style="74"/>
    <col min="3" max="3" width="11.44140625" style="75"/>
    <col min="4" max="4" width="11.44140625" style="74"/>
    <col min="5" max="5" width="104.44140625" style="74" customWidth="1"/>
    <col min="6" max="16384" width="11.44140625" style="74"/>
  </cols>
  <sheetData>
    <row r="2" spans="1:6" x14ac:dyDescent="0.3">
      <c r="B2" s="74" t="s">
        <v>44</v>
      </c>
      <c r="C2" s="75" t="s">
        <v>45</v>
      </c>
      <c r="D2" s="74" t="s">
        <v>46</v>
      </c>
      <c r="E2" s="74" t="s">
        <v>26</v>
      </c>
    </row>
    <row r="3" spans="1:6" customFormat="1" x14ac:dyDescent="0.3">
      <c r="A3" t="s">
        <v>53</v>
      </c>
      <c r="B3" s="41">
        <v>45151</v>
      </c>
      <c r="C3" s="93" t="s">
        <v>253</v>
      </c>
      <c r="D3" t="s">
        <v>47</v>
      </c>
      <c r="E3" t="s">
        <v>254</v>
      </c>
      <c r="F3" s="41"/>
    </row>
    <row r="4" spans="1:6" x14ac:dyDescent="0.3">
      <c r="B4" s="76">
        <v>44604</v>
      </c>
      <c r="C4" s="75" t="s">
        <v>200</v>
      </c>
      <c r="D4" s="74" t="s">
        <v>47</v>
      </c>
    </row>
    <row r="5" spans="1:6" x14ac:dyDescent="0.3">
      <c r="B5" s="76">
        <v>44342</v>
      </c>
      <c r="C5" s="75" t="s">
        <v>137</v>
      </c>
      <c r="D5" s="74" t="s">
        <v>47</v>
      </c>
      <c r="E5" s="77" t="s">
        <v>138</v>
      </c>
    </row>
    <row r="6" spans="1:6" ht="57.6" x14ac:dyDescent="0.3">
      <c r="B6" s="76">
        <v>44342</v>
      </c>
      <c r="C6" s="75" t="s">
        <v>122</v>
      </c>
      <c r="D6" s="74" t="s">
        <v>47</v>
      </c>
      <c r="E6" s="77" t="s">
        <v>139</v>
      </c>
    </row>
    <row r="7" spans="1:6" x14ac:dyDescent="0.3">
      <c r="B7" s="76">
        <v>44208</v>
      </c>
      <c r="C7" s="75" t="s">
        <v>114</v>
      </c>
      <c r="D7" s="74" t="s">
        <v>47</v>
      </c>
      <c r="E7" s="74" t="s">
        <v>115</v>
      </c>
    </row>
    <row r="8" spans="1:6" x14ac:dyDescent="0.3">
      <c r="B8" s="76">
        <v>43605</v>
      </c>
      <c r="C8" s="75" t="s">
        <v>111</v>
      </c>
      <c r="D8" s="74" t="s">
        <v>47</v>
      </c>
      <c r="E8" s="74" t="s">
        <v>112</v>
      </c>
    </row>
    <row r="9" spans="1:6" x14ac:dyDescent="0.3">
      <c r="B9" s="76">
        <v>43605</v>
      </c>
      <c r="C9" s="75" t="s">
        <v>102</v>
      </c>
      <c r="D9" s="74" t="s">
        <v>47</v>
      </c>
      <c r="E9" s="74" t="s">
        <v>110</v>
      </c>
    </row>
    <row r="10" spans="1:6" x14ac:dyDescent="0.3">
      <c r="B10" s="76">
        <v>43603</v>
      </c>
      <c r="C10" s="75" t="s">
        <v>102</v>
      </c>
      <c r="D10" s="74" t="s">
        <v>47</v>
      </c>
      <c r="E10" s="74" t="s">
        <v>107</v>
      </c>
    </row>
    <row r="11" spans="1:6" x14ac:dyDescent="0.3">
      <c r="B11" s="76">
        <v>43508</v>
      </c>
      <c r="C11" s="78" t="s">
        <v>83</v>
      </c>
      <c r="D11" s="74" t="s">
        <v>47</v>
      </c>
      <c r="E11" s="74" t="s">
        <v>84</v>
      </c>
    </row>
    <row r="12" spans="1:6" x14ac:dyDescent="0.3">
      <c r="B12" s="76">
        <v>43499</v>
      </c>
      <c r="C12" s="75" t="s">
        <v>80</v>
      </c>
      <c r="D12" s="74" t="s">
        <v>47</v>
      </c>
      <c r="E12" s="74" t="s">
        <v>82</v>
      </c>
    </row>
    <row r="13" spans="1:6" x14ac:dyDescent="0.3">
      <c r="B13" s="76">
        <v>43483</v>
      </c>
      <c r="C13" s="75" t="s">
        <v>77</v>
      </c>
      <c r="D13" s="74" t="s">
        <v>47</v>
      </c>
      <c r="E13" s="74" t="s">
        <v>76</v>
      </c>
    </row>
    <row r="14" spans="1:6" x14ac:dyDescent="0.3">
      <c r="B14" s="76">
        <v>43479</v>
      </c>
      <c r="C14" s="75" t="s">
        <v>72</v>
      </c>
      <c r="D14" s="74" t="s">
        <v>47</v>
      </c>
      <c r="E14" s="74" t="s">
        <v>78</v>
      </c>
    </row>
    <row r="15" spans="1:6" x14ac:dyDescent="0.3">
      <c r="B15" s="76">
        <v>43477</v>
      </c>
      <c r="C15" s="75" t="s">
        <v>70</v>
      </c>
      <c r="D15" s="74" t="s">
        <v>47</v>
      </c>
      <c r="E15" s="74" t="s">
        <v>79</v>
      </c>
    </row>
    <row r="16" spans="1:6" x14ac:dyDescent="0.3">
      <c r="B16" s="76">
        <v>43476</v>
      </c>
      <c r="C16" s="75" t="s">
        <v>56</v>
      </c>
      <c r="D16" s="74" t="s">
        <v>47</v>
      </c>
      <c r="E16" s="74" t="s">
        <v>57</v>
      </c>
    </row>
    <row r="17" spans="2:5" x14ac:dyDescent="0.3">
      <c r="B17" s="76">
        <v>43474</v>
      </c>
      <c r="C17" s="78" t="s">
        <v>51</v>
      </c>
      <c r="D17" s="74" t="s">
        <v>47</v>
      </c>
      <c r="E17" s="74" t="s">
        <v>52</v>
      </c>
    </row>
    <row r="18" spans="2:5" x14ac:dyDescent="0.3">
      <c r="B18" s="76">
        <v>43446</v>
      </c>
      <c r="C18" s="75" t="s">
        <v>50</v>
      </c>
      <c r="D18" s="74" t="s">
        <v>47</v>
      </c>
      <c r="E18" s="74" t="s">
        <v>49</v>
      </c>
    </row>
    <row r="19" spans="2:5" x14ac:dyDescent="0.3">
      <c r="B19" s="76">
        <v>43443</v>
      </c>
      <c r="C19" s="75" t="s">
        <v>43</v>
      </c>
      <c r="D19" s="74" t="s">
        <v>47</v>
      </c>
      <c r="E19" s="74" t="s">
        <v>48</v>
      </c>
    </row>
  </sheetData>
  <sortState xmlns:xlrd2="http://schemas.microsoft.com/office/spreadsheetml/2017/richdata2" ref="B5:E7">
    <sortCondition descending="1" ref="C5:C7"/>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dimension ref="A1:AE210"/>
  <sheetViews>
    <sheetView zoomScale="60" zoomScaleNormal="60" workbookViewId="0">
      <pane ySplit="9" topLeftCell="A10" activePane="bottomLeft" state="frozen"/>
      <selection pane="bottomLeft" activeCell="G6" sqref="G6"/>
    </sheetView>
  </sheetViews>
  <sheetFormatPr baseColWidth="10" defaultRowHeight="14.4" x14ac:dyDescent="0.3"/>
  <cols>
    <col min="1" max="1" width="14.6640625" customWidth="1"/>
    <col min="2" max="2" width="12.6640625" customWidth="1"/>
    <col min="3" max="3" width="12.5546875" customWidth="1"/>
    <col min="7" max="7" width="11.6640625" customWidth="1"/>
    <col min="13" max="13" width="21.5546875" customWidth="1"/>
    <col min="14" max="14" width="12.6640625" customWidth="1"/>
    <col min="15" max="15" width="12" customWidth="1"/>
    <col min="18" max="18" width="14.33203125" customWidth="1"/>
    <col min="21" max="21" width="16.6640625" customWidth="1"/>
    <col min="23" max="23" width="15" customWidth="1"/>
    <col min="24" max="24" width="14.33203125" customWidth="1"/>
    <col min="25" max="25" width="13.88671875" customWidth="1"/>
    <col min="30" max="30" width="15.33203125" customWidth="1"/>
  </cols>
  <sheetData>
    <row r="1" spans="1:31" ht="60.75" customHeight="1" thickBot="1" x14ac:dyDescent="0.35">
      <c r="A1" s="102" t="s">
        <v>21</v>
      </c>
      <c r="B1" s="102"/>
      <c r="C1" s="102"/>
      <c r="D1" s="102"/>
      <c r="E1" s="102"/>
      <c r="F1" s="102"/>
      <c r="G1" s="103">
        <f>G5</f>
        <v>45180</v>
      </c>
      <c r="H1" s="104"/>
      <c r="R1" s="105" t="s">
        <v>285</v>
      </c>
      <c r="S1" s="105"/>
    </row>
    <row r="2" spans="1:31" s="9" customFormat="1" ht="16.2" thickBot="1" x14ac:dyDescent="0.35">
      <c r="B2" s="9" t="s">
        <v>15</v>
      </c>
      <c r="C2" s="10">
        <v>20230908</v>
      </c>
      <c r="D2" s="9" t="s">
        <v>16</v>
      </c>
      <c r="G2" s="15">
        <f>G3-G5</f>
        <v>4</v>
      </c>
      <c r="H2" s="9" t="s">
        <v>17</v>
      </c>
      <c r="M2" s="44"/>
      <c r="N2" s="50"/>
      <c r="W2" s="9" t="s">
        <v>45</v>
      </c>
      <c r="X2" s="43" t="str">
        <f>Version!C4</f>
        <v>8.15</v>
      </c>
      <c r="AD2" s="9" t="s">
        <v>123</v>
      </c>
      <c r="AE2" s="9">
        <f>MAX(STOXX_HedgeBedarf!C5:C205)</f>
        <v>1347.495667457664</v>
      </c>
    </row>
    <row r="3" spans="1:31" s="9" customFormat="1" ht="16.2" thickBot="1" x14ac:dyDescent="0.35">
      <c r="B3" s="9" t="s">
        <v>4</v>
      </c>
      <c r="C3" s="11">
        <v>4300</v>
      </c>
      <c r="G3" s="16">
        <f>STOXX_Infos!S34</f>
        <v>45184</v>
      </c>
      <c r="H3" s="9" t="s">
        <v>22</v>
      </c>
      <c r="N3" s="12">
        <f>Euribor3M!B2</f>
        <v>3.7999999999999999E-2</v>
      </c>
      <c r="O3" s="9" t="s">
        <v>18</v>
      </c>
      <c r="AD3" s="9" t="s">
        <v>124</v>
      </c>
      <c r="AE3" s="9">
        <f>MIN(STOXX_HedgeBedarf!C5:C205)</f>
        <v>-1230.9052469129515</v>
      </c>
    </row>
    <row r="4" spans="1:31" s="9" customFormat="1" ht="16.2" thickBot="1" x14ac:dyDescent="0.35">
      <c r="B4" s="9" t="s">
        <v>5</v>
      </c>
      <c r="C4" s="11">
        <v>700</v>
      </c>
      <c r="D4" s="9" t="s">
        <v>7</v>
      </c>
      <c r="G4" s="89">
        <f>WORKDAY(G5,1)</f>
        <v>45181</v>
      </c>
      <c r="H4" s="9" t="s">
        <v>178</v>
      </c>
      <c r="N4" s="73">
        <f>O8</f>
        <v>0.16190000000000002</v>
      </c>
      <c r="O4" s="51" t="s">
        <v>19</v>
      </c>
      <c r="P4" s="51" t="s">
        <v>63</v>
      </c>
      <c r="Q4" s="51"/>
      <c r="R4" s="19" t="str">
        <f>TEXT(G5,"TTTT")</f>
        <v>Montag</v>
      </c>
      <c r="S4" s="9" t="s">
        <v>25</v>
      </c>
      <c r="W4" s="9" t="s">
        <v>100</v>
      </c>
      <c r="X4" s="42">
        <f>Y8*1</f>
        <v>4241.34</v>
      </c>
      <c r="Y4" s="9">
        <v>524.96978703960554</v>
      </c>
      <c r="Z4" s="9">
        <f>0.05*AE4+Y4</f>
        <v>653.88983275813632</v>
      </c>
      <c r="AD4" s="9" t="s">
        <v>5</v>
      </c>
      <c r="AE4" s="9">
        <f>ABS(AE2)+ABS(AE3)</f>
        <v>2578.4009143706153</v>
      </c>
    </row>
    <row r="5" spans="1:31" s="9" customFormat="1" ht="16.2" thickBot="1" x14ac:dyDescent="0.35">
      <c r="B5" s="9" t="s">
        <v>6</v>
      </c>
      <c r="C5" s="10">
        <v>25</v>
      </c>
      <c r="D5" s="9" t="s">
        <v>7</v>
      </c>
      <c r="G5" s="17">
        <v>45180</v>
      </c>
      <c r="H5" s="9" t="s">
        <v>23</v>
      </c>
      <c r="N5" s="19">
        <v>20230907</v>
      </c>
      <c r="O5" s="9" t="s">
        <v>24</v>
      </c>
      <c r="R5" s="15">
        <f>R6-G5</f>
        <v>39</v>
      </c>
      <c r="S5" s="9" t="s">
        <v>34</v>
      </c>
      <c r="X5" s="9">
        <f>ROUND((C3+(0.5*C4)-X4)/10,0)</f>
        <v>41</v>
      </c>
      <c r="Y5" s="9">
        <v>857.43039287171337</v>
      </c>
      <c r="Z5" s="9">
        <f>Y5*1.1</f>
        <v>943.17343215888479</v>
      </c>
    </row>
    <row r="6" spans="1:31" s="9" customFormat="1" ht="16.2" thickBot="1" x14ac:dyDescent="0.35">
      <c r="A6" s="9" t="s">
        <v>105</v>
      </c>
      <c r="B6" s="9" t="s">
        <v>106</v>
      </c>
      <c r="C6" s="10">
        <v>1</v>
      </c>
      <c r="G6" s="40"/>
      <c r="N6" s="9">
        <v>365</v>
      </c>
      <c r="O6" s="9" t="s">
        <v>39</v>
      </c>
      <c r="R6" s="16">
        <f>STOXX_Infos!S36</f>
        <v>45219</v>
      </c>
      <c r="S6" s="9" t="s">
        <v>35</v>
      </c>
      <c r="X6" s="9" t="s">
        <v>59</v>
      </c>
      <c r="Y6" s="9" t="s">
        <v>60</v>
      </c>
      <c r="Z6" s="9" t="s">
        <v>61</v>
      </c>
      <c r="AA6" s="9" t="s">
        <v>62</v>
      </c>
    </row>
    <row r="7" spans="1:31" s="9" customFormat="1" ht="26.25" customHeight="1" x14ac:dyDescent="0.3">
      <c r="B7" s="9" t="s">
        <v>2</v>
      </c>
      <c r="N7" s="50"/>
      <c r="X7" s="9" t="str">
        <f>SUBSTITUTE(X8,".",",")</f>
        <v>4268,28</v>
      </c>
      <c r="Y7" s="45"/>
    </row>
    <row r="8" spans="1:31" s="9" customFormat="1" ht="15.6" x14ac:dyDescent="0.3">
      <c r="C8" s="13"/>
      <c r="D8" s="13" t="str">
        <f>STOXX_Infos!B31</f>
        <v>2023-09</v>
      </c>
      <c r="E8" s="13" t="str">
        <f>STOXX_Infos!B32</f>
        <v>2023-10</v>
      </c>
      <c r="F8" s="13" t="str">
        <f>STOXX_Infos!O38&amp;"-"&amp;STOXX_Infos!P38</f>
        <v>2023-09</v>
      </c>
      <c r="G8" s="13" t="str">
        <f>STOXX_Infos!O40&amp;"-"&amp;STOXX_Infos!P40</f>
        <v>-</v>
      </c>
      <c r="H8" s="13" t="str">
        <f>STOXX_Infos!O42&amp;"-"&amp;STOXX_Infos!P42</f>
        <v>-</v>
      </c>
      <c r="I8" s="13" t="str">
        <f>STOXX_Infos!O44&amp;"-"&amp;STOXX_Infos!P44</f>
        <v>-</v>
      </c>
      <c r="N8" s="50" t="s">
        <v>213</v>
      </c>
      <c r="O8" s="91">
        <f>VSTOXX_Finanzen!C2/100</f>
        <v>0.16190000000000002</v>
      </c>
      <c r="V8" s="9" t="s">
        <v>199</v>
      </c>
      <c r="X8" s="9" t="str">
        <f>SUBSTITUTE(X9,",","")</f>
        <v>4268.28</v>
      </c>
      <c r="Y8" s="53">
        <f>STOXX_CITI!B2</f>
        <v>4241.34</v>
      </c>
    </row>
    <row r="9" spans="1:31" s="9" customFormat="1" ht="16.2" thickBot="1" x14ac:dyDescent="0.35">
      <c r="A9" s="9" t="s">
        <v>1</v>
      </c>
      <c r="C9" s="13" t="s">
        <v>20</v>
      </c>
      <c r="D9" s="13" t="s">
        <v>3</v>
      </c>
      <c r="E9" s="14" t="s">
        <v>8</v>
      </c>
      <c r="F9" s="14" t="s">
        <v>9</v>
      </c>
      <c r="G9" s="13" t="s">
        <v>10</v>
      </c>
      <c r="H9" s="13" t="s">
        <v>11</v>
      </c>
      <c r="I9" s="13" t="s">
        <v>37</v>
      </c>
      <c r="N9" s="66"/>
      <c r="U9" s="9" t="s">
        <v>36</v>
      </c>
      <c r="V9" s="9" t="s">
        <v>64</v>
      </c>
      <c r="W9" s="9" t="s">
        <v>99</v>
      </c>
      <c r="X9" s="9" t="str">
        <f>LEFT(Stoxx50!B6,8)</f>
        <v>4,268.28</v>
      </c>
      <c r="Y9" s="9">
        <f>Stoxx50!F6</f>
        <v>0</v>
      </c>
      <c r="Z9" s="68"/>
    </row>
    <row r="10" spans="1:31" x14ac:dyDescent="0.3">
      <c r="A10" s="1">
        <v>4650</v>
      </c>
      <c r="B10" s="1"/>
      <c r="C10" s="6">
        <v>-157695</v>
      </c>
      <c r="D10" s="1">
        <v>-133591</v>
      </c>
      <c r="E10" s="1">
        <v>-24104</v>
      </c>
      <c r="F10" s="1"/>
      <c r="G10" s="1"/>
      <c r="H10" s="1"/>
      <c r="I10" s="1"/>
      <c r="J10" s="1"/>
      <c r="K10" s="1"/>
      <c r="L10" s="1"/>
      <c r="M10" s="1"/>
      <c r="N10" s="1"/>
      <c r="O10" s="1"/>
      <c r="P10" s="1"/>
      <c r="Q10" s="1"/>
      <c r="R10" s="1"/>
      <c r="S10" s="1"/>
      <c r="U10">
        <f>STOXX_HedgeBedarf!C5+'STOXX_HedgeBedarf+01'!C5</f>
        <v>-1110.7355906193916</v>
      </c>
    </row>
    <row r="11" spans="1:31" x14ac:dyDescent="0.3">
      <c r="A11" s="1">
        <v>4625</v>
      </c>
      <c r="B11" s="1"/>
      <c r="C11" s="7">
        <v>-36885</v>
      </c>
      <c r="D11" s="1">
        <v>-34590</v>
      </c>
      <c r="E11" s="1">
        <v>-2295</v>
      </c>
      <c r="F11" s="1"/>
      <c r="G11" s="1"/>
      <c r="H11" s="1"/>
      <c r="I11" s="1"/>
      <c r="J11" s="1"/>
      <c r="K11" s="1"/>
      <c r="L11" s="1"/>
      <c r="M11" s="1"/>
      <c r="N11" s="1"/>
      <c r="O11" s="1"/>
      <c r="P11" s="1"/>
      <c r="Q11" s="1"/>
      <c r="R11" s="1"/>
      <c r="S11" s="1"/>
      <c r="U11">
        <f>STOXX_HedgeBedarf!C6+'STOXX_HedgeBedarf+01'!C6</f>
        <v>-1209.4687850054909</v>
      </c>
    </row>
    <row r="12" spans="1:31" x14ac:dyDescent="0.3">
      <c r="A12" s="1">
        <v>4600</v>
      </c>
      <c r="B12" s="1"/>
      <c r="C12" s="7">
        <v>-172885</v>
      </c>
      <c r="D12" s="1">
        <v>-115872</v>
      </c>
      <c r="E12" s="1">
        <v>-57013</v>
      </c>
      <c r="F12" s="1"/>
      <c r="G12" s="1"/>
      <c r="H12" s="1"/>
      <c r="I12" s="1"/>
      <c r="J12" s="1"/>
      <c r="K12" s="1"/>
      <c r="L12" s="1"/>
      <c r="M12" s="1"/>
      <c r="N12" s="1"/>
      <c r="O12" s="1"/>
      <c r="P12" s="1"/>
      <c r="Q12" s="1"/>
      <c r="R12" s="1"/>
      <c r="S12" s="1"/>
      <c r="U12">
        <f>STOXX_HedgeBedarf!C7+'STOXX_HedgeBedarf+01'!C7</f>
        <v>-1305.548842471095</v>
      </c>
    </row>
    <row r="13" spans="1:31" x14ac:dyDescent="0.3">
      <c r="A13" s="1">
        <v>4575</v>
      </c>
      <c r="B13" s="1"/>
      <c r="C13" s="7">
        <v>-24771</v>
      </c>
      <c r="D13" s="1">
        <v>-9551</v>
      </c>
      <c r="E13" s="1">
        <v>-15220</v>
      </c>
      <c r="F13" s="1"/>
      <c r="G13" s="1"/>
      <c r="H13" s="1"/>
      <c r="I13" s="1"/>
      <c r="J13" s="1"/>
      <c r="K13" s="1"/>
      <c r="L13" s="1"/>
      <c r="M13" s="1"/>
      <c r="N13" s="1"/>
      <c r="O13" s="1"/>
      <c r="P13" s="1"/>
      <c r="Q13" s="1"/>
      <c r="R13" s="1"/>
      <c r="S13" s="1"/>
      <c r="U13">
        <f>STOXX_HedgeBedarf!C8+'STOXX_HedgeBedarf+01'!C8</f>
        <v>-1397.6476071225356</v>
      </c>
    </row>
    <row r="14" spans="1:31" x14ac:dyDescent="0.3">
      <c r="A14" s="1">
        <v>4550</v>
      </c>
      <c r="B14" s="1"/>
      <c r="C14" s="7">
        <v>-141549</v>
      </c>
      <c r="D14" s="1">
        <v>-108401</v>
      </c>
      <c r="E14" s="1">
        <v>-33148</v>
      </c>
      <c r="F14" s="1"/>
      <c r="G14" s="1"/>
      <c r="H14" s="1"/>
      <c r="I14" s="1"/>
      <c r="J14" s="2"/>
      <c r="K14" s="1"/>
      <c r="L14" s="1"/>
      <c r="M14" s="1"/>
      <c r="N14" s="1"/>
      <c r="O14" s="1"/>
      <c r="P14" s="1"/>
      <c r="Q14" s="1"/>
      <c r="R14" s="1"/>
      <c r="S14" s="1"/>
      <c r="U14">
        <f>STOXX_HedgeBedarf!C9+'STOXX_HedgeBedarf+01'!C9</f>
        <v>-1484.5583314424844</v>
      </c>
    </row>
    <row r="15" spans="1:31" x14ac:dyDescent="0.3">
      <c r="A15" s="1">
        <v>4525</v>
      </c>
      <c r="B15" s="1"/>
      <c r="C15" s="7">
        <v>-61836</v>
      </c>
      <c r="D15" s="1">
        <v>-22366</v>
      </c>
      <c r="E15" s="1">
        <v>-39470</v>
      </c>
      <c r="F15" s="1"/>
      <c r="G15" s="1"/>
      <c r="H15" s="1"/>
      <c r="I15" s="1"/>
      <c r="J15" s="2"/>
      <c r="K15" s="1"/>
      <c r="L15" s="1"/>
      <c r="M15" s="1"/>
      <c r="N15" s="1"/>
      <c r="O15" s="1"/>
      <c r="P15" s="1"/>
      <c r="Q15" s="1"/>
      <c r="R15" s="1"/>
      <c r="S15" s="1"/>
      <c r="U15">
        <f>STOXX_HedgeBedarf!C10+'STOXX_HedgeBedarf+01'!C10</f>
        <v>-1565.2114855799171</v>
      </c>
    </row>
    <row r="16" spans="1:31" x14ac:dyDescent="0.3">
      <c r="A16" s="1">
        <v>4500</v>
      </c>
      <c r="B16" s="1"/>
      <c r="C16" s="7">
        <v>-210887</v>
      </c>
      <c r="D16" s="1">
        <v>-137441</v>
      </c>
      <c r="E16" s="1">
        <v>-73446</v>
      </c>
      <c r="F16" s="1"/>
      <c r="G16" s="1"/>
      <c r="H16" s="1"/>
      <c r="I16" s="1"/>
      <c r="J16" s="2"/>
      <c r="K16" s="1"/>
      <c r="L16" s="1"/>
      <c r="M16" s="1"/>
      <c r="N16" s="1"/>
      <c r="O16" s="1"/>
      <c r="P16" s="1"/>
      <c r="Q16" s="1"/>
      <c r="R16" s="1"/>
      <c r="S16" s="1"/>
      <c r="U16">
        <f>STOXX_HedgeBedarf!C11+'STOXX_HedgeBedarf+01'!C11</f>
        <v>-1638.6757379901901</v>
      </c>
    </row>
    <row r="17" spans="1:21" x14ac:dyDescent="0.3">
      <c r="A17" s="1">
        <v>4475</v>
      </c>
      <c r="B17" s="1"/>
      <c r="C17" s="7">
        <v>-63197</v>
      </c>
      <c r="D17" s="1">
        <v>-33272</v>
      </c>
      <c r="E17" s="1">
        <v>-29925</v>
      </c>
      <c r="F17" s="1"/>
      <c r="G17" s="1"/>
      <c r="H17" s="1"/>
      <c r="I17" s="1"/>
      <c r="J17" s="2"/>
      <c r="K17" s="1"/>
      <c r="L17" s="1"/>
      <c r="M17" s="1"/>
      <c r="N17" s="1"/>
      <c r="O17" s="1"/>
      <c r="P17" s="1"/>
      <c r="Q17" s="1"/>
      <c r="R17" s="1"/>
      <c r="S17" s="1"/>
      <c r="U17">
        <f>STOXX_HedgeBedarf!C12+'STOXX_HedgeBedarf+01'!C12</f>
        <v>-1704.1466623846347</v>
      </c>
    </row>
    <row r="18" spans="1:21" x14ac:dyDescent="0.3">
      <c r="A18" s="1">
        <v>4450</v>
      </c>
      <c r="B18" s="1"/>
      <c r="C18" s="7">
        <v>-120943</v>
      </c>
      <c r="D18" s="1">
        <v>-50701</v>
      </c>
      <c r="E18" s="1">
        <v>-70242</v>
      </c>
      <c r="F18" s="1"/>
      <c r="G18" s="1"/>
      <c r="H18" s="1"/>
      <c r="I18" s="1"/>
      <c r="J18" s="2"/>
      <c r="K18" s="1"/>
      <c r="L18" s="1"/>
      <c r="M18" s="1"/>
      <c r="N18" s="1"/>
      <c r="O18" s="1"/>
      <c r="P18" s="1"/>
      <c r="Q18" s="1"/>
      <c r="R18" s="1"/>
      <c r="S18" s="1"/>
      <c r="U18">
        <f>STOXX_HedgeBedarf!C13+'STOXX_HedgeBedarf+01'!C13</f>
        <v>-1760.927469673712</v>
      </c>
    </row>
    <row r="19" spans="1:21" x14ac:dyDescent="0.3">
      <c r="A19" s="1">
        <v>4425</v>
      </c>
      <c r="B19" s="1"/>
      <c r="C19" s="7">
        <v>-20002</v>
      </c>
      <c r="D19" s="1">
        <v>-11800</v>
      </c>
      <c r="E19" s="1">
        <v>-8202</v>
      </c>
      <c r="F19" s="1"/>
      <c r="G19" s="1"/>
      <c r="H19" s="1"/>
      <c r="I19" s="1"/>
      <c r="J19" s="2"/>
      <c r="K19" s="1"/>
      <c r="L19" s="1"/>
      <c r="M19" s="1"/>
      <c r="N19" s="1"/>
      <c r="O19" s="1"/>
      <c r="P19" s="1"/>
      <c r="Q19" s="1"/>
      <c r="R19" s="1"/>
      <c r="S19" s="1"/>
      <c r="U19">
        <f>STOXX_HedgeBedarf!C14+'STOXX_HedgeBedarf+01'!C14</f>
        <v>-1808.4071057478541</v>
      </c>
    </row>
    <row r="20" spans="1:21" x14ac:dyDescent="0.3">
      <c r="A20" s="1">
        <v>4400</v>
      </c>
      <c r="B20" s="1"/>
      <c r="C20" s="7">
        <v>-91177</v>
      </c>
      <c r="D20" s="1">
        <v>-36340</v>
      </c>
      <c r="E20" s="1">
        <v>-54837</v>
      </c>
      <c r="F20" s="1"/>
      <c r="G20" s="1"/>
      <c r="H20" s="1"/>
      <c r="I20" s="1"/>
      <c r="J20" s="2"/>
      <c r="K20" s="1"/>
      <c r="L20" s="1"/>
      <c r="M20" s="1"/>
      <c r="N20" s="1"/>
      <c r="O20" s="1"/>
      <c r="P20" s="1"/>
      <c r="Q20" s="1"/>
      <c r="R20" s="1"/>
      <c r="S20" s="1"/>
      <c r="U20">
        <f>STOXX_HedgeBedarf!C15+'STOXX_HedgeBedarf+01'!C15</f>
        <v>-1846.0412112080703</v>
      </c>
    </row>
    <row r="21" spans="1:21" x14ac:dyDescent="0.3">
      <c r="A21" s="1">
        <v>4375</v>
      </c>
      <c r="B21" s="1"/>
      <c r="C21" s="7">
        <v>2131</v>
      </c>
      <c r="D21" s="1">
        <v>-10358</v>
      </c>
      <c r="E21" s="1">
        <v>12489</v>
      </c>
      <c r="F21" s="1"/>
      <c r="G21" s="1"/>
      <c r="H21" s="1"/>
      <c r="I21" s="1"/>
      <c r="J21" s="2"/>
      <c r="K21" s="1"/>
      <c r="L21" s="1"/>
      <c r="M21" s="1"/>
      <c r="N21" s="1"/>
      <c r="O21" s="1"/>
      <c r="P21" s="1"/>
      <c r="Q21" s="1"/>
      <c r="R21" s="1"/>
      <c r="S21" s="1"/>
      <c r="U21">
        <f>STOXX_HedgeBedarf!C16+'STOXX_HedgeBedarf+01'!C16</f>
        <v>-1873.3406696776483</v>
      </c>
    </row>
    <row r="22" spans="1:21" x14ac:dyDescent="0.3">
      <c r="A22" s="1">
        <v>4350</v>
      </c>
      <c r="B22" s="1"/>
      <c r="C22" s="7">
        <v>-28080</v>
      </c>
      <c r="D22" s="1">
        <v>-3079</v>
      </c>
      <c r="E22" s="1">
        <v>-25001</v>
      </c>
      <c r="F22" s="1"/>
      <c r="G22" s="1"/>
      <c r="H22" s="1"/>
      <c r="I22" s="1"/>
      <c r="J22" s="2"/>
      <c r="K22" s="1"/>
      <c r="L22" s="1"/>
      <c r="M22" s="1"/>
      <c r="N22" s="1"/>
      <c r="O22" s="1"/>
      <c r="P22" s="1"/>
      <c r="Q22" s="1"/>
      <c r="R22" s="1"/>
      <c r="S22" s="1"/>
      <c r="U22">
        <f>STOXX_HedgeBedarf!C17+'STOXX_HedgeBedarf+01'!C17</f>
        <v>-1889.8708977669241</v>
      </c>
    </row>
    <row r="23" spans="1:21" x14ac:dyDescent="0.3">
      <c r="A23" s="1">
        <v>4325</v>
      </c>
      <c r="B23" s="1"/>
      <c r="C23" s="7">
        <v>-7805</v>
      </c>
      <c r="D23" s="1">
        <v>-8982</v>
      </c>
      <c r="E23" s="1">
        <v>1177</v>
      </c>
      <c r="F23" s="1"/>
      <c r="G23" s="1"/>
      <c r="H23" s="1"/>
      <c r="I23" s="1"/>
      <c r="J23" s="2"/>
      <c r="K23" s="1"/>
      <c r="L23" s="1"/>
      <c r="M23" s="1"/>
      <c r="N23" s="1"/>
      <c r="O23" s="1"/>
      <c r="P23" s="1"/>
      <c r="Q23" s="1"/>
      <c r="R23" s="1"/>
      <c r="S23" s="1"/>
      <c r="U23">
        <f>STOXX_HedgeBedarf!C18+'STOXX_HedgeBedarf+01'!C18</f>
        <v>-1895.2629130640087</v>
      </c>
    </row>
    <row r="24" spans="1:21" x14ac:dyDescent="0.3">
      <c r="A24" s="1">
        <v>4300</v>
      </c>
      <c r="B24" s="1"/>
      <c r="C24" s="7">
        <v>-12237</v>
      </c>
      <c r="D24" s="1">
        <v>-8826</v>
      </c>
      <c r="E24" s="1">
        <v>-3411</v>
      </c>
      <c r="F24" s="1"/>
      <c r="G24" s="1"/>
      <c r="H24" s="1"/>
      <c r="I24" s="1"/>
      <c r="J24" s="2"/>
      <c r="K24" s="1"/>
      <c r="L24" s="1"/>
      <c r="M24" s="1"/>
      <c r="N24" s="1"/>
      <c r="O24" s="1"/>
      <c r="P24" s="1"/>
      <c r="Q24" s="1"/>
      <c r="R24" s="1"/>
      <c r="S24" s="1"/>
      <c r="U24">
        <f>STOXX_HedgeBedarf!C19+'STOXX_HedgeBedarf+01'!C19</f>
        <v>-1889.2349130524804</v>
      </c>
    </row>
    <row r="25" spans="1:21" x14ac:dyDescent="0.3">
      <c r="A25" s="1">
        <v>4275</v>
      </c>
      <c r="B25" s="1"/>
      <c r="C25" s="7">
        <v>3887</v>
      </c>
      <c r="D25" s="1">
        <v>1521</v>
      </c>
      <c r="E25" s="1">
        <v>2366</v>
      </c>
      <c r="F25" s="1"/>
      <c r="G25" s="1"/>
      <c r="H25" s="1"/>
      <c r="I25" s="1"/>
      <c r="J25" s="2"/>
      <c r="K25" s="1"/>
      <c r="L25" s="1"/>
      <c r="M25" s="1"/>
      <c r="N25" s="1"/>
      <c r="O25" s="1"/>
      <c r="P25" s="1"/>
      <c r="Q25" s="1"/>
      <c r="R25" s="1"/>
      <c r="S25" s="1"/>
      <c r="U25">
        <f>STOXX_HedgeBedarf!C20+'STOXX_HedgeBedarf+01'!C20</f>
        <v>-1871.6209962621072</v>
      </c>
    </row>
    <row r="26" spans="1:21" x14ac:dyDescent="0.3">
      <c r="A26" s="1">
        <v>4250</v>
      </c>
      <c r="B26" s="1"/>
      <c r="C26" s="7">
        <v>99086</v>
      </c>
      <c r="D26" s="1">
        <v>52405</v>
      </c>
      <c r="E26" s="1">
        <v>46681</v>
      </c>
      <c r="F26" s="1"/>
      <c r="G26" s="1"/>
      <c r="H26" s="1"/>
      <c r="I26" s="1"/>
      <c r="J26" s="2"/>
      <c r="K26" s="1"/>
      <c r="L26" s="1"/>
      <c r="M26" s="1"/>
      <c r="N26" s="1"/>
      <c r="O26" s="1"/>
      <c r="P26" s="1"/>
      <c r="Q26" s="1"/>
      <c r="R26" s="1"/>
      <c r="S26" s="1"/>
      <c r="U26">
        <f>STOXX_HedgeBedarf!C21+'STOXX_HedgeBedarf+01'!C21</f>
        <v>-1842.4021089442506</v>
      </c>
    </row>
    <row r="27" spans="1:21" x14ac:dyDescent="0.3">
      <c r="A27" s="1">
        <v>4225</v>
      </c>
      <c r="B27" s="1"/>
      <c r="C27" s="7">
        <v>11030</v>
      </c>
      <c r="D27" s="1">
        <v>4937</v>
      </c>
      <c r="E27" s="1">
        <v>6093</v>
      </c>
      <c r="F27" s="1"/>
      <c r="G27" s="1"/>
      <c r="H27" s="1"/>
      <c r="I27" s="1"/>
      <c r="J27" s="2"/>
      <c r="K27" s="1"/>
      <c r="L27" s="1"/>
      <c r="M27" s="1"/>
      <c r="N27" s="1"/>
      <c r="O27" s="1"/>
      <c r="P27" s="1"/>
      <c r="Q27" s="1"/>
      <c r="R27" s="1"/>
      <c r="S27" s="1"/>
      <c r="U27">
        <f>STOXX_HedgeBedarf!C22+'STOXX_HedgeBedarf+01'!C22</f>
        <v>-1801.7335591831593</v>
      </c>
    </row>
    <row r="28" spans="1:21" x14ac:dyDescent="0.3">
      <c r="A28" s="1">
        <v>4200</v>
      </c>
      <c r="B28" s="1"/>
      <c r="C28" s="7">
        <v>137737</v>
      </c>
      <c r="D28" s="1">
        <v>76216</v>
      </c>
      <c r="E28" s="1">
        <v>61521</v>
      </c>
      <c r="F28" s="1"/>
      <c r="G28" s="1"/>
      <c r="H28" s="1"/>
      <c r="I28" s="1"/>
      <c r="J28" s="2"/>
      <c r="K28" s="1"/>
      <c r="L28" s="1"/>
      <c r="M28" s="1"/>
      <c r="N28" s="1"/>
      <c r="O28" s="1"/>
      <c r="P28" s="1"/>
      <c r="Q28" s="1"/>
      <c r="R28" s="1"/>
      <c r="S28" s="1"/>
      <c r="U28">
        <f>STOXX_HedgeBedarf!C23+'STOXX_HedgeBedarf+01'!C23</f>
        <v>-1749.9636179060658</v>
      </c>
    </row>
    <row r="29" spans="1:21" x14ac:dyDescent="0.3">
      <c r="A29" s="1">
        <v>4175</v>
      </c>
      <c r="B29" s="1"/>
      <c r="C29" s="7">
        <v>49537</v>
      </c>
      <c r="D29" s="1">
        <v>18853</v>
      </c>
      <c r="E29" s="1">
        <v>30684</v>
      </c>
      <c r="F29" s="1"/>
      <c r="G29" s="1"/>
      <c r="H29" s="1"/>
      <c r="I29" s="1"/>
      <c r="J29" s="2"/>
      <c r="K29" s="1"/>
      <c r="L29" s="1"/>
      <c r="M29" s="1"/>
      <c r="N29" s="1"/>
      <c r="O29" s="1"/>
      <c r="P29" s="1"/>
      <c r="Q29" s="1"/>
      <c r="R29" s="1"/>
      <c r="S29" s="1"/>
      <c r="U29">
        <f>STOXX_HedgeBedarf!C24+'STOXX_HedgeBedarf+01'!C24</f>
        <v>-1687.6387795963772</v>
      </c>
    </row>
    <row r="30" spans="1:21" x14ac:dyDescent="0.3">
      <c r="A30" s="1">
        <v>4150</v>
      </c>
      <c r="B30" s="1"/>
      <c r="C30" s="7">
        <v>155096</v>
      </c>
      <c r="D30" s="1">
        <v>111530</v>
      </c>
      <c r="E30" s="1">
        <v>43566</v>
      </c>
      <c r="F30" s="1"/>
      <c r="G30" s="1"/>
      <c r="H30" s="1"/>
      <c r="I30" s="1"/>
      <c r="J30" s="2"/>
      <c r="K30" s="1"/>
      <c r="L30" s="1"/>
      <c r="M30" s="1"/>
      <c r="N30" s="1"/>
      <c r="O30" s="1"/>
      <c r="P30" s="1"/>
      <c r="Q30" s="1"/>
      <c r="R30" s="1"/>
      <c r="S30" s="1"/>
      <c r="U30">
        <f>STOXX_HedgeBedarf!C25+'STOXX_HedgeBedarf+01'!C25</f>
        <v>-1615.4930006712661</v>
      </c>
    </row>
    <row r="31" spans="1:21" x14ac:dyDescent="0.3">
      <c r="A31" s="1">
        <v>4125</v>
      </c>
      <c r="B31" s="1"/>
      <c r="C31" s="7">
        <v>47316</v>
      </c>
      <c r="D31" s="1">
        <v>33852</v>
      </c>
      <c r="E31" s="1">
        <v>13464</v>
      </c>
      <c r="F31" s="1"/>
      <c r="G31" s="1"/>
      <c r="H31" s="1"/>
      <c r="I31" s="1"/>
      <c r="J31" s="2"/>
      <c r="K31" s="1"/>
      <c r="L31" s="1"/>
      <c r="M31" s="1"/>
      <c r="N31" s="1"/>
      <c r="O31" s="1"/>
      <c r="P31" s="1"/>
      <c r="Q31" s="1"/>
      <c r="R31" s="1"/>
      <c r="S31" s="1"/>
      <c r="U31">
        <f>STOXX_HedgeBedarf!C26+'STOXX_HedgeBedarf+01'!C26</f>
        <v>-1534.4203851073962</v>
      </c>
    </row>
    <row r="32" spans="1:21" x14ac:dyDescent="0.3">
      <c r="A32" s="1">
        <v>4100</v>
      </c>
      <c r="B32" s="1"/>
      <c r="C32" s="7">
        <v>213995</v>
      </c>
      <c r="D32" s="1">
        <v>82274</v>
      </c>
      <c r="E32" s="1">
        <v>131721</v>
      </c>
      <c r="F32" s="1"/>
      <c r="G32" s="1"/>
      <c r="H32" s="1"/>
      <c r="I32" s="1"/>
      <c r="J32" s="2"/>
      <c r="K32" s="1"/>
      <c r="L32" s="1"/>
      <c r="M32" s="1"/>
      <c r="N32" s="1"/>
      <c r="O32" s="1"/>
      <c r="P32" s="1"/>
      <c r="Q32" s="1"/>
      <c r="R32" s="1"/>
      <c r="S32" s="1"/>
      <c r="U32">
        <f>STOXX_HedgeBedarf!C27+'STOXX_HedgeBedarf+01'!C27</f>
        <v>-1445.4330130345884</v>
      </c>
    </row>
    <row r="33" spans="1:21" x14ac:dyDescent="0.3">
      <c r="A33" s="1">
        <v>4075</v>
      </c>
      <c r="B33" s="1"/>
      <c r="C33" s="7">
        <v>86453</v>
      </c>
      <c r="D33" s="1">
        <v>81081</v>
      </c>
      <c r="E33" s="1">
        <v>5372</v>
      </c>
      <c r="F33" s="1"/>
      <c r="G33" s="1"/>
      <c r="H33" s="1"/>
      <c r="I33" s="1"/>
      <c r="J33" s="2"/>
      <c r="K33" s="1"/>
      <c r="L33" s="1"/>
      <c r="M33" s="1"/>
      <c r="N33" s="1"/>
      <c r="O33" s="1"/>
      <c r="P33" s="1"/>
      <c r="Q33" s="1"/>
      <c r="R33" s="1"/>
      <c r="S33" s="1"/>
      <c r="U33">
        <f>STOXX_HedgeBedarf!C28+'STOXX_HedgeBedarf+01'!C28</f>
        <v>-1349.6075880263509</v>
      </c>
    </row>
    <row r="34" spans="1:21" x14ac:dyDescent="0.3">
      <c r="A34" s="1">
        <v>4050</v>
      </c>
      <c r="B34" s="1"/>
      <c r="C34" s="7">
        <v>142623</v>
      </c>
      <c r="D34" s="1">
        <v>78144</v>
      </c>
      <c r="E34" s="1">
        <v>64479</v>
      </c>
      <c r="F34" s="1"/>
      <c r="G34" s="1"/>
      <c r="H34" s="1"/>
      <c r="I34" s="1"/>
      <c r="J34" s="2"/>
      <c r="K34" s="1"/>
      <c r="L34" s="1"/>
      <c r="M34" s="1"/>
      <c r="N34" s="1"/>
      <c r="O34" s="1"/>
      <c r="P34" s="1"/>
      <c r="Q34" s="1"/>
      <c r="R34" s="1"/>
      <c r="S34" s="1"/>
      <c r="U34">
        <f>STOXX_HedgeBedarf!C29+'STOXX_HedgeBedarf+01'!C29</f>
        <v>-1248.0260526647835</v>
      </c>
    </row>
    <row r="35" spans="1:21" x14ac:dyDescent="0.3">
      <c r="A35" s="1">
        <v>4025</v>
      </c>
      <c r="B35" s="1"/>
      <c r="C35" s="7">
        <v>32046</v>
      </c>
      <c r="D35" s="1">
        <v>22081</v>
      </c>
      <c r="E35" s="1">
        <v>9965</v>
      </c>
      <c r="F35" s="1"/>
      <c r="G35" s="1"/>
      <c r="H35" s="1"/>
      <c r="I35" s="1"/>
      <c r="J35" s="2"/>
      <c r="K35" s="1"/>
      <c r="L35" s="1"/>
      <c r="M35" s="1"/>
      <c r="N35" s="1"/>
      <c r="O35" s="1"/>
      <c r="P35" s="1"/>
      <c r="Q35" s="1"/>
      <c r="R35" s="1"/>
      <c r="S35" s="1"/>
      <c r="U35">
        <f>STOXX_HedgeBedarf!C30+'STOXX_HedgeBedarf+01'!C30</f>
        <v>-1141.7161223914509</v>
      </c>
    </row>
    <row r="36" spans="1:21" x14ac:dyDescent="0.3">
      <c r="A36" s="1">
        <v>4000</v>
      </c>
      <c r="B36" s="1"/>
      <c r="C36" s="7">
        <v>263181</v>
      </c>
      <c r="D36" s="1">
        <v>155955</v>
      </c>
      <c r="E36" s="1">
        <v>107226</v>
      </c>
      <c r="F36" s="1"/>
      <c r="G36" s="1"/>
      <c r="H36" s="1"/>
      <c r="I36" s="1"/>
      <c r="J36" s="2"/>
      <c r="K36" s="1"/>
      <c r="L36" s="1"/>
      <c r="M36" s="1"/>
      <c r="N36" s="1"/>
      <c r="O36" s="1"/>
      <c r="P36" s="1"/>
      <c r="Q36" s="1"/>
      <c r="R36" s="1"/>
      <c r="S36" s="1"/>
      <c r="U36">
        <f>STOXX_HedgeBedarf!C31+'STOXX_HedgeBedarf+01'!C31</f>
        <v>-1031.5977517848073</v>
      </c>
    </row>
    <row r="37" spans="1:21" x14ac:dyDescent="0.3">
      <c r="A37" s="1">
        <v>3975</v>
      </c>
      <c r="B37" s="1"/>
      <c r="C37" s="7">
        <v>33121</v>
      </c>
      <c r="D37" s="1">
        <v>18746</v>
      </c>
      <c r="E37" s="1">
        <v>14375</v>
      </c>
      <c r="F37" s="1"/>
      <c r="G37" s="1"/>
      <c r="H37" s="1"/>
      <c r="I37" s="1"/>
      <c r="J37" s="2"/>
      <c r="K37" s="1"/>
      <c r="L37" s="1"/>
      <c r="M37" s="1"/>
      <c r="N37" s="1"/>
      <c r="O37" s="1"/>
      <c r="P37" s="1"/>
      <c r="Q37" s="1"/>
      <c r="R37" s="1"/>
      <c r="S37" s="1"/>
      <c r="U37">
        <f>STOXX_HedgeBedarf!C32+'STOXX_HedgeBedarf+01'!C32</f>
        <v>-918.44090954990452</v>
      </c>
    </row>
    <row r="38" spans="1:21" x14ac:dyDescent="0.3">
      <c r="A38" s="1">
        <v>3950</v>
      </c>
      <c r="B38" s="1"/>
      <c r="C38" s="7">
        <v>104969</v>
      </c>
      <c r="D38" s="1">
        <v>63842</v>
      </c>
      <c r="E38" s="1">
        <v>41127</v>
      </c>
      <c r="F38" s="1"/>
      <c r="G38" s="1"/>
      <c r="H38" s="1"/>
      <c r="I38" s="1"/>
      <c r="J38" s="2"/>
      <c r="K38" s="1"/>
      <c r="L38" s="1"/>
      <c r="M38" s="1"/>
      <c r="N38" s="1"/>
      <c r="O38" s="1"/>
      <c r="P38" s="1"/>
      <c r="Q38" s="1"/>
      <c r="R38" s="1"/>
      <c r="S38" s="1"/>
      <c r="U38">
        <f>STOXX_HedgeBedarf!C33+'STOXX_HedgeBedarf+01'!C33</f>
        <v>-802.83881018743818</v>
      </c>
    </row>
    <row r="39" spans="1:21" x14ac:dyDescent="0.3">
      <c r="A39" s="1"/>
      <c r="B39" s="1"/>
      <c r="C39" s="7"/>
      <c r="D39" s="1"/>
      <c r="E39" s="1"/>
      <c r="F39" s="1"/>
      <c r="G39" s="1"/>
      <c r="H39" s="1"/>
      <c r="I39" s="1"/>
      <c r="J39" s="2"/>
      <c r="K39" s="1"/>
      <c r="L39" s="1"/>
      <c r="M39" s="1"/>
      <c r="N39" s="1"/>
      <c r="O39" s="1"/>
      <c r="P39" s="1"/>
      <c r="Q39" s="1"/>
      <c r="R39" s="1"/>
      <c r="S39" s="1"/>
      <c r="U39">
        <f>STOXX_HedgeBedarf!C34+'STOXX_HedgeBedarf+01'!C34</f>
        <v>-685.19909492683428</v>
      </c>
    </row>
    <row r="40" spans="1:21" x14ac:dyDescent="0.3">
      <c r="A40" s="1"/>
      <c r="B40" s="1"/>
      <c r="C40" s="7"/>
      <c r="D40" s="1"/>
      <c r="E40" s="1"/>
      <c r="F40" s="1"/>
      <c r="G40" s="1"/>
      <c r="H40" s="1"/>
      <c r="I40" s="1"/>
      <c r="J40" s="2"/>
      <c r="K40" s="1"/>
      <c r="L40" s="1"/>
      <c r="M40" s="1"/>
      <c r="N40" s="1"/>
      <c r="O40" s="1"/>
      <c r="P40" s="1"/>
      <c r="Q40" s="1"/>
      <c r="R40" s="1"/>
      <c r="S40" s="1"/>
      <c r="U40">
        <f>STOXX_HedgeBedarf!C35+'STOXX_HedgeBedarf+01'!C35</f>
        <v>-565.75356333041077</v>
      </c>
    </row>
    <row r="41" spans="1:21" x14ac:dyDescent="0.3">
      <c r="A41" s="1"/>
      <c r="B41" s="1"/>
      <c r="C41" s="7"/>
      <c r="D41" s="1"/>
      <c r="E41" s="1"/>
      <c r="F41" s="1"/>
      <c r="G41" s="1"/>
      <c r="H41" s="1"/>
      <c r="I41" s="1"/>
      <c r="J41" s="2"/>
      <c r="K41" s="1"/>
      <c r="L41" s="1"/>
      <c r="M41" s="1"/>
      <c r="N41" s="1"/>
      <c r="O41" s="1"/>
      <c r="P41" s="1"/>
      <c r="Q41" s="1"/>
      <c r="R41" s="1"/>
      <c r="S41" s="1"/>
      <c r="U41">
        <f>STOXX_HedgeBedarf!C36+'STOXX_HedgeBedarf+01'!C36</f>
        <v>-444.58513016796473</v>
      </c>
    </row>
    <row r="42" spans="1:21" x14ac:dyDescent="0.3">
      <c r="A42" s="1"/>
      <c r="B42" s="1"/>
      <c r="C42" s="7"/>
      <c r="D42" s="1"/>
      <c r="E42" s="1"/>
      <c r="F42" s="1"/>
      <c r="G42" s="1"/>
      <c r="H42" s="1"/>
      <c r="I42" s="1"/>
      <c r="J42" s="2"/>
      <c r="K42" s="1"/>
      <c r="L42" s="1"/>
      <c r="M42" s="1"/>
      <c r="N42" s="1"/>
      <c r="O42" s="1"/>
      <c r="P42" s="1"/>
      <c r="Q42" s="1"/>
      <c r="R42" s="1"/>
      <c r="S42" s="1"/>
      <c r="U42">
        <f>STOXX_HedgeBedarf!C37+'STOXX_HedgeBedarf+01'!C37</f>
        <v>-321.66891504486159</v>
      </c>
    </row>
    <row r="43" spans="1:21" x14ac:dyDescent="0.3">
      <c r="A43" s="1"/>
      <c r="B43" s="1"/>
      <c r="C43" s="7"/>
      <c r="D43" s="1"/>
      <c r="E43" s="1"/>
      <c r="F43" s="1"/>
      <c r="G43" s="1"/>
      <c r="H43" s="1"/>
      <c r="I43" s="1"/>
      <c r="J43" s="2"/>
      <c r="K43" s="1"/>
      <c r="L43" s="1"/>
      <c r="M43" s="1"/>
      <c r="N43" s="1"/>
      <c r="O43" s="1"/>
      <c r="P43" s="1"/>
      <c r="Q43" s="1"/>
      <c r="R43" s="1"/>
      <c r="S43" s="1"/>
      <c r="U43">
        <f>STOXX_HedgeBedarf!C38+'STOXX_HedgeBedarf+01'!C38</f>
        <v>-196.92294427827119</v>
      </c>
    </row>
    <row r="44" spans="1:21" x14ac:dyDescent="0.3">
      <c r="A44" s="1"/>
      <c r="B44" s="1"/>
      <c r="C44" s="7"/>
      <c r="D44" s="1"/>
      <c r="E44" s="1"/>
      <c r="F44" s="1"/>
      <c r="G44" s="1"/>
      <c r="H44" s="1"/>
      <c r="I44" s="1"/>
      <c r="J44" s="2"/>
      <c r="K44" s="1"/>
      <c r="L44" s="1"/>
      <c r="M44" s="1"/>
      <c r="N44" s="1"/>
      <c r="O44" s="1"/>
      <c r="P44" s="1"/>
      <c r="Q44" s="1"/>
      <c r="R44" s="1"/>
      <c r="S44" s="1"/>
      <c r="U44">
        <f>STOXX_HedgeBedarf!C39+'STOXX_HedgeBedarf+01'!C39</f>
        <v>-70.263007479656409</v>
      </c>
    </row>
    <row r="45" spans="1:21" x14ac:dyDescent="0.3">
      <c r="A45" s="1"/>
      <c r="B45" s="1"/>
      <c r="C45" s="7"/>
      <c r="D45" s="1"/>
      <c r="E45" s="1"/>
      <c r="F45" s="1"/>
      <c r="G45" s="1"/>
      <c r="H45" s="1"/>
      <c r="I45" s="1"/>
      <c r="J45" s="2"/>
      <c r="K45" s="1"/>
      <c r="L45" s="1"/>
      <c r="M45" s="1"/>
      <c r="N45" s="1"/>
      <c r="O45" s="1"/>
      <c r="P45" s="1"/>
      <c r="Q45" s="1"/>
      <c r="R45" s="1"/>
      <c r="S45" s="1"/>
      <c r="U45">
        <f>STOXX_HedgeBedarf!C40+'STOXX_HedgeBedarf+01'!C40</f>
        <v>58.344125067969522</v>
      </c>
    </row>
    <row r="46" spans="1:21" x14ac:dyDescent="0.3">
      <c r="A46" s="1"/>
      <c r="B46" s="1"/>
      <c r="C46" s="7"/>
      <c r="D46" s="1"/>
      <c r="E46" s="1"/>
      <c r="F46" s="1"/>
      <c r="G46" s="1"/>
      <c r="H46" s="1"/>
      <c r="I46" s="1"/>
      <c r="J46" s="2"/>
      <c r="K46" s="1"/>
      <c r="L46" s="1"/>
      <c r="M46" s="1"/>
      <c r="N46" s="1"/>
      <c r="O46" s="1"/>
      <c r="P46" s="1"/>
      <c r="Q46" s="1"/>
      <c r="R46" s="1"/>
      <c r="S46" s="1"/>
      <c r="U46">
        <f>STOXX_HedgeBedarf!C41+'STOXX_HedgeBedarf+01'!C41</f>
        <v>188.83460281345555</v>
      </c>
    </row>
    <row r="47" spans="1:21" x14ac:dyDescent="0.3">
      <c r="A47" s="1"/>
      <c r="B47" s="1"/>
      <c r="C47" s="7"/>
      <c r="D47" s="1"/>
      <c r="E47" s="1"/>
      <c r="F47" s="1"/>
      <c r="G47" s="1"/>
      <c r="H47" s="1"/>
      <c r="I47" s="1"/>
      <c r="J47" s="2"/>
      <c r="K47" s="1"/>
      <c r="L47" s="1"/>
      <c r="M47" s="1"/>
      <c r="N47" s="1"/>
      <c r="O47" s="1"/>
      <c r="P47" s="1"/>
      <c r="Q47" s="1"/>
      <c r="R47" s="1"/>
      <c r="S47" s="1"/>
      <c r="U47">
        <f>STOXX_HedgeBedarf!C42+'STOXX_HedgeBedarf+01'!C42</f>
        <v>321.01304721148591</v>
      </c>
    </row>
    <row r="48" spans="1:21" x14ac:dyDescent="0.3">
      <c r="A48" s="1"/>
      <c r="B48" s="1"/>
      <c r="C48" s="7"/>
      <c r="D48" s="1"/>
      <c r="E48" s="1"/>
      <c r="F48" s="1"/>
      <c r="G48" s="1"/>
      <c r="H48" s="1"/>
      <c r="I48" s="1"/>
      <c r="J48" s="2"/>
      <c r="K48" s="1"/>
      <c r="L48" s="1"/>
      <c r="M48" s="1"/>
      <c r="N48" s="1"/>
      <c r="O48" s="1"/>
      <c r="P48" s="1"/>
      <c r="Q48" s="1"/>
      <c r="R48" s="1"/>
      <c r="S48" s="1"/>
      <c r="U48">
        <f>STOXX_HedgeBedarf!C43+'STOXX_HedgeBedarf+01'!C43</f>
        <v>454.53282021929147</v>
      </c>
    </row>
    <row r="49" spans="1:21" x14ac:dyDescent="0.3">
      <c r="A49" s="1"/>
      <c r="B49" s="1"/>
      <c r="C49" s="7"/>
      <c r="D49" s="1"/>
      <c r="E49" s="1"/>
      <c r="F49" s="1"/>
      <c r="G49" s="1"/>
      <c r="H49" s="1"/>
      <c r="I49" s="1"/>
      <c r="J49" s="2"/>
      <c r="K49" s="1"/>
      <c r="L49" s="1"/>
      <c r="M49" s="1"/>
      <c r="N49" s="1"/>
      <c r="O49" s="1"/>
      <c r="P49" s="1"/>
      <c r="Q49" s="1"/>
      <c r="R49" s="1"/>
      <c r="S49" s="1"/>
      <c r="U49">
        <f>STOXX_HedgeBedarf!C44+'STOXX_HedgeBedarf+01'!C44</f>
        <v>588.89225899417488</v>
      </c>
    </row>
    <row r="50" spans="1:21" ht="15" thickBot="1" x14ac:dyDescent="0.35">
      <c r="A50" s="1"/>
      <c r="B50" s="1"/>
      <c r="C50" s="8"/>
      <c r="D50" s="1"/>
      <c r="E50" s="1"/>
      <c r="F50" s="1"/>
      <c r="G50" s="1"/>
      <c r="H50" s="1"/>
      <c r="I50" s="1"/>
      <c r="J50" s="2"/>
      <c r="K50" s="1"/>
      <c r="L50" s="1"/>
      <c r="M50" s="1"/>
      <c r="N50" s="1"/>
      <c r="O50" s="1"/>
      <c r="P50" s="1"/>
      <c r="Q50" s="1"/>
      <c r="R50" s="1"/>
      <c r="S50" s="1"/>
      <c r="U50">
        <f>STOXX_HedgeBedarf!C45+'STOXX_HedgeBedarf+01'!C45</f>
        <v>723.44620547352406</v>
      </c>
    </row>
    <row r="51" spans="1:21" x14ac:dyDescent="0.3">
      <c r="A51" s="1"/>
      <c r="B51" s="1"/>
      <c r="C51" s="1"/>
      <c r="D51" s="1"/>
      <c r="E51" s="1"/>
      <c r="F51" s="1"/>
      <c r="G51" s="1"/>
      <c r="H51" s="1"/>
      <c r="I51" s="1"/>
      <c r="J51" s="2"/>
      <c r="K51" s="1"/>
      <c r="L51" s="1"/>
      <c r="M51" s="1"/>
      <c r="N51" s="1"/>
      <c r="O51" s="1"/>
      <c r="P51" s="1"/>
      <c r="Q51" s="1"/>
      <c r="R51" s="1"/>
      <c r="S51" s="1"/>
      <c r="U51">
        <f>STOXX_HedgeBedarf!C46+'STOXX_HedgeBedarf+01'!C46</f>
        <v>857.43039287171337</v>
      </c>
    </row>
    <row r="52" spans="1:21" x14ac:dyDescent="0.3">
      <c r="A52" s="1"/>
      <c r="B52" s="1"/>
      <c r="C52" s="1"/>
      <c r="D52" s="1"/>
      <c r="E52" s="1"/>
      <c r="F52" s="1"/>
      <c r="G52" s="1"/>
      <c r="H52" s="1"/>
      <c r="I52" s="1"/>
      <c r="J52" s="2"/>
      <c r="K52" s="1"/>
      <c r="L52" s="1"/>
      <c r="M52" s="1"/>
      <c r="N52" s="1"/>
      <c r="O52" s="1"/>
      <c r="P52" s="1"/>
      <c r="Q52" s="1"/>
      <c r="R52" s="1"/>
      <c r="S52" s="1"/>
      <c r="U52">
        <f>STOXX_HedgeBedarf!C47+'STOXX_HedgeBedarf+01'!C47</f>
        <v>989.99488311164293</v>
      </c>
    </row>
    <row r="53" spans="1:21" x14ac:dyDescent="0.3">
      <c r="A53" s="1"/>
      <c r="B53" s="1"/>
      <c r="C53" s="1"/>
      <c r="D53" s="1"/>
      <c r="E53" s="1"/>
      <c r="F53" s="1"/>
      <c r="G53" s="1"/>
      <c r="H53" s="1"/>
      <c r="I53" s="1"/>
      <c r="J53" s="2"/>
      <c r="K53" s="1"/>
      <c r="L53" s="1"/>
      <c r="M53" s="1"/>
      <c r="N53" s="1"/>
      <c r="O53" s="1"/>
      <c r="P53" s="1"/>
      <c r="Q53" s="1"/>
      <c r="R53" s="1"/>
      <c r="S53" s="1"/>
      <c r="U53">
        <f>STOXX_HedgeBedarf!C48+'STOXX_HedgeBedarf+01'!C48</f>
        <v>1120.2419646664698</v>
      </c>
    </row>
    <row r="54" spans="1:21" x14ac:dyDescent="0.3">
      <c r="A54" s="1"/>
      <c r="B54" s="1"/>
      <c r="C54" s="1"/>
      <c r="D54" s="1"/>
      <c r="E54" s="1"/>
      <c r="F54" s="1"/>
      <c r="G54" s="1"/>
      <c r="H54" s="1"/>
      <c r="I54" s="1"/>
      <c r="J54" s="2"/>
      <c r="K54" s="1"/>
      <c r="L54" s="1"/>
      <c r="M54" s="1"/>
      <c r="N54" s="1"/>
      <c r="O54" s="1"/>
      <c r="P54" s="1"/>
      <c r="Q54" s="1"/>
      <c r="R54" s="1"/>
      <c r="S54" s="1"/>
      <c r="U54">
        <f>STOXX_HedgeBedarf!C49+'STOXX_HedgeBedarf+01'!C49</f>
        <v>1247.2638118728837</v>
      </c>
    </row>
    <row r="55" spans="1:21" x14ac:dyDescent="0.3">
      <c r="A55" s="1"/>
      <c r="B55" s="1"/>
      <c r="C55" s="1"/>
      <c r="D55" s="1"/>
      <c r="E55" s="1"/>
      <c r="F55" s="1"/>
      <c r="G55" s="1"/>
      <c r="H55" s="1"/>
      <c r="I55" s="1"/>
      <c r="J55" s="2"/>
      <c r="K55" s="1"/>
      <c r="L55" s="1"/>
      <c r="M55" s="1"/>
      <c r="N55" s="1"/>
      <c r="O55" s="1"/>
      <c r="P55" s="1"/>
      <c r="Q55" s="1"/>
      <c r="R55" s="1"/>
      <c r="S55" s="1"/>
      <c r="U55">
        <f>STOXX_HedgeBedarf!C50+'STOXX_HedgeBedarf+01'!C50</f>
        <v>1370.1757572792526</v>
      </c>
    </row>
    <row r="56" spans="1:21" x14ac:dyDescent="0.3">
      <c r="A56" s="1"/>
      <c r="B56" s="1"/>
      <c r="C56" s="1"/>
      <c r="D56" s="1"/>
      <c r="E56" s="1"/>
      <c r="F56" s="1"/>
      <c r="G56" s="1"/>
      <c r="H56" s="1"/>
      <c r="I56" s="1"/>
      <c r="J56" s="2"/>
      <c r="K56" s="1"/>
      <c r="L56" s="1"/>
      <c r="M56" s="1"/>
      <c r="N56" s="1"/>
      <c r="O56" s="1"/>
      <c r="P56" s="1"/>
      <c r="Q56" s="1"/>
      <c r="R56" s="1"/>
      <c r="S56" s="1"/>
      <c r="U56">
        <f>STOXX_HedgeBedarf!C51+'STOXX_HedgeBedarf+01'!C51</f>
        <v>1488.1421123615178</v>
      </c>
    </row>
    <row r="57" spans="1:21" x14ac:dyDescent="0.3">
      <c r="A57" s="1"/>
      <c r="B57" s="1"/>
      <c r="C57" s="1"/>
      <c r="D57" s="1"/>
      <c r="E57" s="1"/>
      <c r="F57" s="1"/>
      <c r="G57" s="1"/>
      <c r="H57" s="1"/>
      <c r="I57" s="1"/>
      <c r="J57" s="2"/>
      <c r="K57" s="1"/>
      <c r="L57" s="1"/>
      <c r="M57" s="1"/>
      <c r="N57" s="1"/>
      <c r="O57" s="1"/>
      <c r="P57" s="1"/>
      <c r="Q57" s="1"/>
      <c r="R57" s="1"/>
      <c r="S57" s="1"/>
      <c r="U57">
        <f>STOXX_HedgeBedarf!C52+'STOXX_HedgeBedarf+01'!C52</f>
        <v>1600.3928756255327</v>
      </c>
    </row>
    <row r="58" spans="1:21" x14ac:dyDescent="0.3">
      <c r="A58" s="1"/>
      <c r="B58" s="1"/>
      <c r="C58" s="1"/>
      <c r="D58" s="1"/>
      <c r="E58" s="1"/>
      <c r="F58" s="1"/>
      <c r="G58" s="1"/>
      <c r="H58" s="1"/>
      <c r="I58" s="1"/>
      <c r="J58" s="2"/>
      <c r="K58" s="1"/>
      <c r="L58" s="1"/>
      <c r="M58" s="1"/>
      <c r="N58" s="1"/>
      <c r="O58" s="1"/>
      <c r="P58" s="1"/>
      <c r="Q58" s="1"/>
      <c r="R58" s="1"/>
      <c r="S58" s="1"/>
      <c r="U58">
        <f>STOXX_HedgeBedarf!C53+'STOXX_HedgeBedarf+01'!C53</f>
        <v>1706.2311268701405</v>
      </c>
    </row>
    <row r="59" spans="1:21" x14ac:dyDescent="0.3">
      <c r="A59" s="1"/>
      <c r="B59" s="1"/>
      <c r="C59" s="1"/>
      <c r="D59" s="1"/>
      <c r="E59" s="1"/>
      <c r="F59" s="1"/>
      <c r="G59" s="1"/>
      <c r="H59" s="1"/>
      <c r="I59" s="1"/>
      <c r="J59" s="2"/>
      <c r="K59" s="1"/>
      <c r="L59" s="1"/>
      <c r="M59" s="1"/>
      <c r="N59" s="1"/>
      <c r="O59" s="1"/>
      <c r="P59" s="1"/>
      <c r="Q59" s="1"/>
      <c r="R59" s="1"/>
      <c r="S59" s="1"/>
      <c r="U59">
        <f>STOXX_HedgeBedarf!C54+'STOXX_HedgeBedarf+01'!C54</f>
        <v>1805.0321564189085</v>
      </c>
    </row>
    <row r="60" spans="1:21" x14ac:dyDescent="0.3">
      <c r="A60" s="1"/>
      <c r="B60" s="1"/>
      <c r="C60" s="1"/>
      <c r="D60" s="1"/>
      <c r="E60" s="1"/>
      <c r="F60" s="1"/>
      <c r="G60" s="1"/>
      <c r="H60" s="1"/>
      <c r="I60" s="1"/>
      <c r="J60" s="1"/>
      <c r="K60" s="1"/>
      <c r="L60" s="1"/>
      <c r="M60" s="1"/>
      <c r="N60" s="1"/>
      <c r="O60" s="1"/>
      <c r="P60" s="1"/>
      <c r="Q60" s="1"/>
      <c r="R60" s="1"/>
      <c r="S60" s="1"/>
      <c r="U60">
        <f>STOXX_HedgeBedarf!C55+'STOXX_HedgeBedarf+01'!C55</f>
        <v>1896.2362036395691</v>
      </c>
    </row>
    <row r="61" spans="1:21" x14ac:dyDescent="0.3">
      <c r="A61" s="1"/>
      <c r="B61" s="1"/>
      <c r="C61" s="1"/>
      <c r="D61" s="1"/>
      <c r="E61" s="1"/>
      <c r="F61" s="1"/>
      <c r="G61" s="1"/>
      <c r="H61" s="1"/>
      <c r="I61" s="1"/>
      <c r="J61" s="3"/>
      <c r="K61" s="1"/>
      <c r="L61" s="1"/>
      <c r="M61" s="1"/>
      <c r="N61" s="1"/>
      <c r="O61" s="1"/>
      <c r="P61" s="1"/>
      <c r="Q61" s="1"/>
      <c r="R61" s="1"/>
      <c r="S61" s="1"/>
      <c r="U61">
        <f>STOXX_HedgeBedarf!C56+'STOXX_HedgeBedarf+01'!C56</f>
        <v>1979.3369648258235</v>
      </c>
    </row>
    <row r="62" spans="1:21" x14ac:dyDescent="0.3">
      <c r="A62" s="1"/>
      <c r="B62" s="1"/>
      <c r="C62" s="1"/>
      <c r="D62" s="1"/>
      <c r="E62" s="1"/>
      <c r="F62" s="1"/>
      <c r="G62" s="1"/>
      <c r="H62" s="1"/>
      <c r="I62" s="1"/>
      <c r="J62" s="2"/>
      <c r="K62" s="1"/>
      <c r="L62" s="1"/>
      <c r="M62" s="1"/>
      <c r="N62" s="1"/>
      <c r="O62" s="1"/>
      <c r="P62" s="1"/>
      <c r="Q62" s="1"/>
      <c r="R62" s="1"/>
      <c r="S62" s="1"/>
      <c r="U62">
        <f>STOXX_HedgeBedarf!C57+'STOXX_HedgeBedarf+01'!C57</f>
        <v>2053.8677946534572</v>
      </c>
    </row>
    <row r="63" spans="1:21" x14ac:dyDescent="0.3">
      <c r="A63" s="1"/>
      <c r="B63" s="1"/>
      <c r="C63" s="1"/>
      <c r="D63" s="1"/>
      <c r="E63" s="1"/>
      <c r="F63" s="1"/>
      <c r="G63" s="1"/>
      <c r="H63" s="1"/>
      <c r="I63" s="1"/>
      <c r="J63" s="3"/>
      <c r="K63" s="1"/>
      <c r="L63" s="1"/>
      <c r="M63" s="1"/>
      <c r="N63" s="1"/>
      <c r="O63" s="1"/>
      <c r="P63" s="1"/>
      <c r="Q63" s="1"/>
      <c r="R63" s="1"/>
      <c r="S63" s="1"/>
      <c r="U63">
        <f>STOXX_HedgeBedarf!C58+'STOXX_HedgeBedarf+01'!C58</f>
        <v>2119.3869274944127</v>
      </c>
    </row>
    <row r="64" spans="1:21" x14ac:dyDescent="0.3">
      <c r="A64" s="1"/>
      <c r="B64" s="1"/>
      <c r="C64" s="1"/>
      <c r="D64" s="1"/>
      <c r="E64" s="1"/>
      <c r="F64" s="1"/>
      <c r="G64" s="1"/>
      <c r="H64" s="1"/>
      <c r="I64" s="1"/>
      <c r="J64" s="3"/>
      <c r="K64" s="1"/>
      <c r="L64" s="1"/>
      <c r="M64" s="1"/>
      <c r="N64" s="1"/>
      <c r="O64" s="1"/>
      <c r="P64" s="1"/>
      <c r="Q64" s="1"/>
      <c r="R64" s="1"/>
      <c r="S64" s="1"/>
      <c r="U64">
        <f>STOXX_HedgeBedarf!C59+'STOXX_HedgeBedarf+01'!C59</f>
        <v>2175.4623592386624</v>
      </c>
    </row>
    <row r="65" spans="1:21" x14ac:dyDescent="0.3">
      <c r="A65" s="1"/>
      <c r="B65" s="1"/>
      <c r="C65" s="1"/>
      <c r="D65" s="1"/>
      <c r="E65" s="1"/>
      <c r="F65" s="1"/>
      <c r="G65" s="1"/>
      <c r="H65" s="1"/>
      <c r="I65" s="1"/>
      <c r="J65" s="3"/>
      <c r="K65" s="1"/>
      <c r="L65" s="1"/>
      <c r="M65" s="1"/>
      <c r="N65" s="1"/>
      <c r="O65" s="1"/>
      <c r="P65" s="1"/>
      <c r="Q65" s="1"/>
      <c r="R65" s="1"/>
      <c r="S65" s="1"/>
      <c r="U65">
        <f>STOXX_HedgeBedarf!C60+'STOXX_HedgeBedarf+01'!C60</f>
        <v>2221.6565821920767</v>
      </c>
    </row>
    <row r="66" spans="1:21" x14ac:dyDescent="0.3">
      <c r="A66" s="1"/>
      <c r="B66" s="1"/>
      <c r="C66" s="1"/>
      <c r="D66" s="1"/>
      <c r="E66" s="1"/>
      <c r="F66" s="1"/>
      <c r="G66" s="1"/>
      <c r="H66" s="1"/>
      <c r="I66" s="1"/>
      <c r="J66" s="3"/>
      <c r="K66" s="1"/>
      <c r="L66" s="1"/>
      <c r="M66" s="1"/>
      <c r="N66" s="1"/>
      <c r="O66" s="1"/>
      <c r="P66" s="1"/>
      <c r="Q66" s="1"/>
      <c r="R66" s="1"/>
      <c r="S66" s="1"/>
      <c r="U66">
        <f>STOXX_HedgeBedarf!C61+'STOXX_HedgeBedarf+01'!C61</f>
        <v>2257.5114378195885</v>
      </c>
    </row>
    <row r="67" spans="1:21" x14ac:dyDescent="0.3">
      <c r="A67" s="1"/>
      <c r="B67" s="1"/>
      <c r="C67" s="1"/>
      <c r="D67" s="1"/>
      <c r="E67" s="1"/>
      <c r="F67" s="1"/>
      <c r="G67" s="1"/>
      <c r="H67" s="1"/>
      <c r="I67" s="1"/>
      <c r="J67" s="3"/>
      <c r="K67" s="1"/>
      <c r="L67" s="1"/>
      <c r="M67" s="1"/>
      <c r="N67" s="1"/>
      <c r="O67" s="1"/>
      <c r="P67" s="1"/>
      <c r="Q67" s="1"/>
      <c r="R67" s="1"/>
      <c r="S67" s="1"/>
      <c r="U67">
        <f>STOXX_HedgeBedarf!C62+'STOXX_HedgeBedarf+01'!C62</f>
        <v>2282.5340821362715</v>
      </c>
    </row>
    <row r="68" spans="1:21" x14ac:dyDescent="0.3">
      <c r="A68" s="1"/>
      <c r="B68" s="1"/>
      <c r="C68" s="1"/>
      <c r="D68" s="1"/>
      <c r="E68" s="1"/>
      <c r="F68" s="1"/>
      <c r="G68" s="1"/>
      <c r="H68" s="1"/>
      <c r="I68" s="1"/>
      <c r="J68" s="3"/>
      <c r="K68" s="1"/>
      <c r="L68" s="1"/>
      <c r="M68" s="1"/>
      <c r="N68" s="1"/>
      <c r="O68" s="1"/>
      <c r="P68" s="1"/>
      <c r="Q68" s="1"/>
      <c r="R68" s="1"/>
      <c r="S68" s="1"/>
      <c r="U68">
        <f>STOXX_HedgeBedarf!C63+'STOXX_HedgeBedarf+01'!C63</f>
        <v>2296.1863572882921</v>
      </c>
    </row>
    <row r="69" spans="1:21" x14ac:dyDescent="0.3">
      <c r="A69" s="1"/>
      <c r="B69" s="1"/>
      <c r="C69" s="1"/>
      <c r="D69" s="1"/>
      <c r="E69" s="1"/>
      <c r="F69" s="1"/>
      <c r="G69" s="1"/>
      <c r="H69" s="1"/>
      <c r="I69" s="1"/>
      <c r="J69" s="3"/>
      <c r="K69" s="1"/>
      <c r="L69" s="1"/>
      <c r="M69" s="1"/>
      <c r="N69" s="1"/>
      <c r="O69" s="1"/>
      <c r="P69" s="1"/>
      <c r="Q69" s="1"/>
      <c r="R69" s="1"/>
      <c r="S69" s="1"/>
      <c r="U69">
        <f>STOXX_HedgeBedarf!C64+'STOXX_HedgeBedarf+01'!C64</f>
        <v>2297.8813870345416</v>
      </c>
    </row>
    <row r="70" spans="1:21" x14ac:dyDescent="0.3">
      <c r="A70" s="1"/>
      <c r="B70" s="1"/>
      <c r="C70" s="1"/>
      <c r="D70" s="1"/>
      <c r="E70" s="1"/>
      <c r="F70" s="1"/>
      <c r="G70" s="1"/>
      <c r="H70" s="1"/>
      <c r="I70" s="1"/>
      <c r="J70" s="3"/>
      <c r="K70" s="1"/>
      <c r="L70" s="1"/>
      <c r="M70" s="1"/>
      <c r="N70" s="1"/>
      <c r="O70" s="1"/>
      <c r="P70" s="1"/>
      <c r="Q70" s="1"/>
      <c r="R70" s="1"/>
      <c r="S70" s="1"/>
      <c r="U70">
        <f>STOXX_HedgeBedarf!C65+'STOXX_HedgeBedarf+01'!C65</f>
        <v>2286.9924162698139</v>
      </c>
    </row>
    <row r="71" spans="1:21" x14ac:dyDescent="0.3">
      <c r="A71" s="1"/>
      <c r="B71" s="1"/>
      <c r="C71" s="1"/>
      <c r="D71" s="1"/>
      <c r="E71" s="1"/>
      <c r="F71" s="1"/>
      <c r="G71" s="1"/>
      <c r="H71" s="1"/>
      <c r="I71" s="1"/>
      <c r="J71" s="3"/>
      <c r="K71" s="1"/>
      <c r="L71" s="1"/>
      <c r="M71" s="1"/>
      <c r="N71" s="1"/>
      <c r="O71" s="1"/>
      <c r="P71" s="1"/>
      <c r="Q71" s="1"/>
      <c r="R71" s="1"/>
      <c r="S71" s="1"/>
      <c r="U71">
        <f>STOXX_HedgeBedarf!C66+'STOXX_HedgeBedarf+01'!C66</f>
        <v>2262.8791752373927</v>
      </c>
    </row>
    <row r="72" spans="1:21" x14ac:dyDescent="0.3">
      <c r="A72" s="1"/>
      <c r="B72" s="1"/>
      <c r="C72" s="1"/>
      <c r="D72" s="1"/>
      <c r="E72" s="1"/>
      <c r="F72" s="1"/>
      <c r="G72" s="1"/>
      <c r="H72" s="1"/>
      <c r="I72" s="1"/>
      <c r="J72" s="3"/>
      <c r="K72" s="1"/>
      <c r="L72" s="1"/>
      <c r="M72" s="1"/>
      <c r="N72" s="1"/>
      <c r="O72" s="1"/>
      <c r="P72" s="1"/>
      <c r="Q72" s="1"/>
      <c r="R72" s="1"/>
      <c r="S72" s="1"/>
      <c r="U72">
        <f>STOXX_HedgeBedarf!C67+'STOXX_HedgeBedarf+01'!C67</f>
        <v>2224.9358611695793</v>
      </c>
    </row>
    <row r="73" spans="1:21" x14ac:dyDescent="0.3">
      <c r="A73" s="1"/>
      <c r="B73" s="1"/>
      <c r="C73" s="1"/>
      <c r="D73" s="1"/>
      <c r="E73" s="1"/>
      <c r="F73" s="1"/>
      <c r="G73" s="1"/>
      <c r="H73" s="1"/>
      <c r="I73" s="1"/>
      <c r="J73" s="3"/>
      <c r="K73" s="1"/>
      <c r="L73" s="1"/>
      <c r="M73" s="1"/>
      <c r="N73" s="1"/>
      <c r="O73" s="1"/>
      <c r="P73" s="1"/>
      <c r="Q73" s="1"/>
      <c r="R73" s="1"/>
      <c r="S73" s="1"/>
      <c r="U73">
        <f>STOXX_HedgeBedarf!C68+'STOXX_HedgeBedarf+01'!C68</f>
        <v>2172.6619934441355</v>
      </c>
    </row>
    <row r="74" spans="1:21" x14ac:dyDescent="0.3">
      <c r="A74" s="1"/>
      <c r="B74" s="1"/>
      <c r="C74" s="1"/>
      <c r="D74" s="1"/>
      <c r="E74" s="1"/>
      <c r="F74" s="1"/>
      <c r="G74" s="1"/>
      <c r="H74" s="1"/>
      <c r="I74" s="1"/>
      <c r="J74" s="3"/>
      <c r="K74" s="1"/>
      <c r="L74" s="1"/>
      <c r="M74" s="1"/>
      <c r="N74" s="1"/>
      <c r="O74" s="1"/>
      <c r="P74" s="1"/>
      <c r="Q74" s="1"/>
      <c r="R74" s="1"/>
      <c r="S74" s="1"/>
      <c r="U74">
        <f>STOXX_HedgeBedarf!C69+'STOXX_HedgeBedarf+01'!C69</f>
        <v>2105.7531543999116</v>
      </c>
    </row>
    <row r="75" spans="1:21" x14ac:dyDescent="0.3">
      <c r="A75" s="1"/>
      <c r="B75" s="1"/>
      <c r="C75" s="1"/>
      <c r="D75" s="1"/>
      <c r="E75" s="1"/>
      <c r="F75" s="1"/>
      <c r="G75" s="1"/>
      <c r="H75" s="1"/>
      <c r="I75" s="1"/>
      <c r="J75" s="3"/>
      <c r="K75" s="1"/>
      <c r="L75" s="1"/>
      <c r="M75" s="1"/>
      <c r="N75" s="1"/>
      <c r="O75" s="1"/>
      <c r="P75" s="1"/>
      <c r="Q75" s="1"/>
      <c r="R75" s="1"/>
      <c r="S75" s="1"/>
      <c r="U75">
        <f>STOXX_HedgeBedarf!C70+'STOXX_HedgeBedarf+01'!C70</f>
        <v>2024.2036836890193</v>
      </c>
    </row>
    <row r="76" spans="1:21" x14ac:dyDescent="0.3">
      <c r="A76" s="1"/>
      <c r="B76" s="1"/>
      <c r="C76" s="1"/>
      <c r="D76" s="1"/>
      <c r="E76" s="1"/>
      <c r="F76" s="1"/>
      <c r="G76" s="1"/>
      <c r="H76" s="1"/>
      <c r="I76" s="1"/>
      <c r="J76" s="2"/>
      <c r="K76" s="1"/>
      <c r="L76" s="1"/>
      <c r="M76" s="1"/>
      <c r="N76" s="1"/>
      <c r="O76" s="1"/>
      <c r="P76" s="1"/>
      <c r="Q76" s="1"/>
      <c r="R76" s="1"/>
      <c r="S76" s="1"/>
      <c r="U76">
        <f>STOXX_HedgeBedarf!C71+'STOXX_HedgeBedarf+01'!C71</f>
        <v>1928.4088073793162</v>
      </c>
    </row>
    <row r="77" spans="1:21" x14ac:dyDescent="0.3">
      <c r="A77" s="1"/>
      <c r="B77" s="1"/>
      <c r="C77" s="1"/>
      <c r="D77" s="1"/>
      <c r="E77" s="1"/>
      <c r="F77" s="1"/>
      <c r="G77" s="1"/>
      <c r="H77" s="1"/>
      <c r="I77" s="1"/>
      <c r="J77" s="3"/>
      <c r="K77" s="1"/>
      <c r="L77" s="1"/>
      <c r="M77" s="1"/>
      <c r="N77" s="1"/>
      <c r="O77" s="1"/>
      <c r="P77" s="1"/>
      <c r="Q77" s="1"/>
      <c r="R77" s="1"/>
      <c r="S77" s="1"/>
      <c r="U77">
        <f>STOXX_HedgeBedarf!C72+'STOXX_HedgeBedarf+01'!C72</f>
        <v>1819.2506255345997</v>
      </c>
    </row>
    <row r="78" spans="1:21" x14ac:dyDescent="0.3">
      <c r="A78" s="1"/>
      <c r="B78" s="1"/>
      <c r="C78" s="1"/>
      <c r="D78" s="1"/>
      <c r="E78" s="1"/>
      <c r="F78" s="1"/>
      <c r="G78" s="1"/>
      <c r="H78" s="1"/>
      <c r="I78" s="1"/>
      <c r="J78" s="2"/>
      <c r="K78" s="1"/>
      <c r="L78" s="1"/>
      <c r="M78" s="1"/>
      <c r="N78" s="1"/>
      <c r="O78" s="1"/>
      <c r="P78" s="1"/>
      <c r="Q78" s="1"/>
      <c r="R78" s="1"/>
      <c r="S78" s="1"/>
      <c r="U78">
        <f>STOXX_HedgeBedarf!C73+'STOXX_HedgeBedarf+01'!C73</f>
        <v>1698.1518364126125</v>
      </c>
    </row>
    <row r="79" spans="1:21" x14ac:dyDescent="0.3">
      <c r="A79" s="1"/>
      <c r="B79" s="1"/>
      <c r="C79" s="1"/>
      <c r="D79" s="1"/>
      <c r="E79" s="1"/>
      <c r="F79" s="1"/>
      <c r="G79" s="1"/>
      <c r="H79" s="1"/>
      <c r="I79" s="1"/>
      <c r="J79" s="3"/>
      <c r="K79" s="1"/>
      <c r="L79" s="1"/>
      <c r="M79" s="1"/>
      <c r="N79" s="1"/>
      <c r="O79" s="1"/>
      <c r="P79" s="1"/>
      <c r="Q79" s="1"/>
      <c r="R79" s="1"/>
      <c r="S79" s="1"/>
      <c r="U79">
        <f>STOXX_HedgeBedarf!C74+'STOXX_HedgeBedarf+01'!C74</f>
        <v>1567.0835521944209</v>
      </c>
    </row>
    <row r="80" spans="1:21" x14ac:dyDescent="0.3">
      <c r="A80" s="1"/>
      <c r="B80" s="1"/>
      <c r="C80" s="1"/>
      <c r="D80" s="1"/>
      <c r="E80" s="1"/>
      <c r="F80" s="1"/>
      <c r="G80" s="1"/>
      <c r="H80" s="1"/>
      <c r="I80" s="1"/>
      <c r="J80" s="3"/>
      <c r="K80" s="1"/>
      <c r="L80" s="1"/>
      <c r="M80" s="1"/>
      <c r="N80" s="1"/>
      <c r="O80" s="1"/>
      <c r="P80" s="1"/>
      <c r="Q80" s="1"/>
      <c r="R80" s="1"/>
      <c r="S80" s="1"/>
      <c r="U80">
        <f>STOXX_HedgeBedarf!C75+'STOXX_HedgeBedarf+01'!C75</f>
        <v>1428.5189193229867</v>
      </c>
    </row>
    <row r="81" spans="1:21" x14ac:dyDescent="0.3">
      <c r="A81" s="1"/>
      <c r="B81" s="1"/>
      <c r="C81" s="1"/>
      <c r="D81" s="1"/>
      <c r="E81" s="1"/>
      <c r="F81" s="1"/>
      <c r="G81" s="1"/>
      <c r="H81" s="1"/>
      <c r="I81" s="1"/>
      <c r="J81" s="3"/>
      <c r="K81" s="1"/>
      <c r="L81" s="1"/>
      <c r="M81" s="1"/>
      <c r="N81" s="1"/>
      <c r="O81" s="1"/>
      <c r="P81" s="1"/>
      <c r="Q81" s="1"/>
      <c r="R81" s="1"/>
      <c r="S81" s="1"/>
      <c r="U81">
        <f>STOXX_HedgeBedarf!C76+'STOXX_HedgeBedarf+01'!C76</f>
        <v>0</v>
      </c>
    </row>
    <row r="82" spans="1:21" x14ac:dyDescent="0.3">
      <c r="A82" s="1"/>
      <c r="B82" s="1"/>
      <c r="C82" s="1"/>
      <c r="D82" s="1"/>
      <c r="E82" s="1"/>
      <c r="F82" s="1"/>
      <c r="G82" s="1"/>
      <c r="H82" s="1"/>
      <c r="I82" s="1"/>
      <c r="J82" s="3"/>
      <c r="K82" s="1"/>
      <c r="L82" s="1"/>
      <c r="M82" s="1"/>
      <c r="N82" s="1"/>
      <c r="O82" s="1"/>
      <c r="P82" s="1"/>
      <c r="Q82" s="1"/>
      <c r="R82" s="1"/>
      <c r="S82" s="1"/>
      <c r="U82">
        <f>STOXX_HedgeBedarf!C77+'STOXX_HedgeBedarf+01'!C77</f>
        <v>0</v>
      </c>
    </row>
    <row r="83" spans="1:21" x14ac:dyDescent="0.3">
      <c r="A83" s="1"/>
      <c r="B83" s="1"/>
      <c r="C83" s="1"/>
      <c r="D83" s="1"/>
      <c r="E83" s="1"/>
      <c r="F83" s="1"/>
      <c r="G83" s="1"/>
      <c r="H83" s="1"/>
      <c r="I83" s="1"/>
      <c r="J83" s="3"/>
      <c r="K83" s="1"/>
      <c r="L83" s="1"/>
      <c r="M83" s="1"/>
      <c r="N83" s="1"/>
      <c r="O83" s="1"/>
      <c r="P83" s="1"/>
      <c r="Q83" s="1"/>
      <c r="R83" s="1"/>
      <c r="S83" s="1"/>
      <c r="U83">
        <f>STOXX_HedgeBedarf!C78+'STOXX_HedgeBedarf+01'!C78</f>
        <v>0</v>
      </c>
    </row>
    <row r="84" spans="1:21" x14ac:dyDescent="0.3">
      <c r="A84" s="1"/>
      <c r="B84" s="1"/>
      <c r="C84" s="1"/>
      <c r="D84" s="1"/>
      <c r="E84" s="1"/>
      <c r="F84" s="1"/>
      <c r="G84" s="1"/>
      <c r="H84" s="1"/>
      <c r="I84" s="1"/>
      <c r="J84" s="3"/>
      <c r="K84" s="1"/>
      <c r="L84" s="1"/>
      <c r="M84" s="1"/>
      <c r="N84" s="1"/>
      <c r="O84" s="1"/>
      <c r="P84" s="1"/>
      <c r="Q84" s="1"/>
      <c r="R84" s="1"/>
      <c r="S84" s="1"/>
      <c r="U84">
        <f>STOXX_HedgeBedarf!C79+'STOXX_HedgeBedarf+01'!C79</f>
        <v>0</v>
      </c>
    </row>
    <row r="85" spans="1:21" x14ac:dyDescent="0.3">
      <c r="A85" s="1"/>
      <c r="B85" s="1"/>
      <c r="C85" s="1"/>
      <c r="D85" s="1"/>
      <c r="E85" s="1"/>
      <c r="F85" s="1"/>
      <c r="G85" s="1"/>
      <c r="H85" s="1"/>
      <c r="I85" s="1"/>
      <c r="J85" s="3"/>
      <c r="K85" s="1"/>
      <c r="L85" s="1"/>
      <c r="M85" s="1"/>
      <c r="N85" s="1"/>
      <c r="O85" s="1"/>
      <c r="P85" s="1"/>
      <c r="Q85" s="1"/>
      <c r="R85" s="1"/>
      <c r="S85" s="1"/>
      <c r="U85">
        <f>STOXX_HedgeBedarf!C80+'STOXX_HedgeBedarf+01'!C80</f>
        <v>0</v>
      </c>
    </row>
    <row r="86" spans="1:21" x14ac:dyDescent="0.3">
      <c r="A86" s="1"/>
      <c r="B86" s="1"/>
      <c r="C86" s="1"/>
      <c r="D86" s="1"/>
      <c r="E86" s="1"/>
      <c r="F86" s="1"/>
      <c r="G86" s="1"/>
      <c r="H86" s="1"/>
      <c r="I86" s="1"/>
      <c r="J86" s="3"/>
      <c r="K86" s="1"/>
      <c r="L86" s="1"/>
      <c r="M86" s="1"/>
      <c r="N86" s="1"/>
      <c r="O86" s="1"/>
      <c r="P86" s="1"/>
      <c r="Q86" s="1"/>
      <c r="R86" s="1"/>
      <c r="S86" s="1"/>
      <c r="U86">
        <f>STOXX_HedgeBedarf!C81+'STOXX_HedgeBedarf+01'!C81</f>
        <v>0</v>
      </c>
    </row>
    <row r="87" spans="1:21" x14ac:dyDescent="0.3">
      <c r="A87" s="1"/>
      <c r="B87" s="1"/>
      <c r="C87" s="1"/>
      <c r="D87" s="1"/>
      <c r="E87" s="1"/>
      <c r="F87" s="1"/>
      <c r="G87" s="1"/>
      <c r="H87" s="1"/>
      <c r="I87" s="1"/>
      <c r="J87" s="3"/>
      <c r="K87" s="1"/>
      <c r="L87" s="1"/>
      <c r="M87" s="1"/>
      <c r="N87" s="1"/>
      <c r="O87" s="1"/>
      <c r="P87" s="1"/>
      <c r="Q87" s="1"/>
      <c r="R87" s="1"/>
      <c r="S87" s="1"/>
      <c r="U87">
        <f>STOXX_HedgeBedarf!C82+'STOXX_HedgeBedarf+01'!C82</f>
        <v>0</v>
      </c>
    </row>
    <row r="88" spans="1:21" x14ac:dyDescent="0.3">
      <c r="A88" s="1"/>
      <c r="B88" s="1"/>
      <c r="C88" s="1"/>
      <c r="D88" s="1"/>
      <c r="E88" s="1"/>
      <c r="F88" s="1"/>
      <c r="G88" s="1"/>
      <c r="H88" s="1"/>
      <c r="I88" s="1"/>
      <c r="J88" s="3"/>
      <c r="K88" s="1"/>
      <c r="L88" s="1"/>
      <c r="M88" s="1"/>
      <c r="N88" s="1"/>
      <c r="O88" s="1"/>
      <c r="P88" s="1"/>
      <c r="Q88" s="1"/>
      <c r="R88" s="1"/>
      <c r="S88" s="1"/>
      <c r="U88">
        <f>STOXX_HedgeBedarf!C83+'STOXX_HedgeBedarf+01'!C83</f>
        <v>0</v>
      </c>
    </row>
    <row r="89" spans="1:21" x14ac:dyDescent="0.3">
      <c r="A89" s="1"/>
      <c r="B89" s="1"/>
      <c r="C89" s="1"/>
      <c r="D89" s="1"/>
      <c r="E89" s="1"/>
      <c r="F89" s="1"/>
      <c r="G89" s="1"/>
      <c r="H89" s="1"/>
      <c r="I89" s="1"/>
      <c r="J89" s="3"/>
      <c r="K89" s="1"/>
      <c r="L89" s="1"/>
      <c r="M89" s="1"/>
      <c r="N89" s="1"/>
      <c r="O89" s="1"/>
      <c r="P89" s="1"/>
      <c r="Q89" s="1"/>
      <c r="R89" s="1"/>
      <c r="S89" s="1"/>
      <c r="U89">
        <f>STOXX_HedgeBedarf!C84+'STOXX_HedgeBedarf+01'!C84</f>
        <v>0</v>
      </c>
    </row>
    <row r="90" spans="1:21" x14ac:dyDescent="0.3">
      <c r="A90" s="1"/>
      <c r="B90" s="1"/>
      <c r="C90" s="1"/>
      <c r="D90" s="1"/>
      <c r="E90" s="1"/>
      <c r="F90" s="1"/>
      <c r="G90" s="1"/>
      <c r="H90" s="1"/>
      <c r="I90" s="1"/>
      <c r="J90" s="2"/>
      <c r="K90" s="1"/>
      <c r="L90" s="1"/>
      <c r="M90" s="1"/>
      <c r="N90" s="1"/>
      <c r="O90" s="1"/>
      <c r="P90" s="1"/>
      <c r="Q90" s="1"/>
      <c r="R90" s="1"/>
      <c r="S90" s="1"/>
      <c r="U90">
        <f>STOXX_HedgeBedarf!C85+'STOXX_HedgeBedarf+01'!C85</f>
        <v>0</v>
      </c>
    </row>
    <row r="91" spans="1:21" x14ac:dyDescent="0.3">
      <c r="A91" s="1"/>
      <c r="B91" s="1"/>
      <c r="C91" s="1"/>
      <c r="D91" s="1"/>
      <c r="E91" s="1"/>
      <c r="F91" s="1"/>
      <c r="G91" s="1"/>
      <c r="H91" s="1"/>
      <c r="I91" s="1"/>
      <c r="J91" s="3"/>
      <c r="K91" s="1"/>
      <c r="L91" s="1"/>
      <c r="M91" s="1"/>
      <c r="N91" s="1"/>
      <c r="O91" s="1"/>
      <c r="P91" s="1"/>
      <c r="Q91" s="1"/>
      <c r="R91" s="1"/>
      <c r="S91" s="1"/>
      <c r="U91">
        <f>STOXX_HedgeBedarf!C86+'STOXX_HedgeBedarf+01'!C86</f>
        <v>0</v>
      </c>
    </row>
    <row r="92" spans="1:21" x14ac:dyDescent="0.3">
      <c r="A92" s="1"/>
      <c r="B92" s="1"/>
      <c r="C92" s="1"/>
      <c r="D92" s="1"/>
      <c r="E92" s="1"/>
      <c r="F92" s="1"/>
      <c r="G92" s="1"/>
      <c r="H92" s="1"/>
      <c r="I92" s="1"/>
      <c r="J92" s="2"/>
      <c r="K92" s="1"/>
      <c r="L92" s="1"/>
      <c r="M92" s="1"/>
      <c r="N92" s="1"/>
      <c r="O92" s="1"/>
      <c r="P92" s="1"/>
      <c r="Q92" s="1"/>
      <c r="R92" s="1"/>
      <c r="S92" s="1"/>
      <c r="U92">
        <f>STOXX_HedgeBedarf!C87+'STOXX_HedgeBedarf+01'!C87</f>
        <v>0</v>
      </c>
    </row>
    <row r="93" spans="1:21" x14ac:dyDescent="0.3">
      <c r="A93" s="1"/>
      <c r="B93" s="1"/>
      <c r="C93" s="1"/>
      <c r="D93" s="1"/>
      <c r="E93" s="1"/>
      <c r="F93" s="1"/>
      <c r="G93" s="1"/>
      <c r="H93" s="1"/>
      <c r="I93" s="1"/>
      <c r="J93" s="3"/>
      <c r="K93" s="1"/>
      <c r="L93" s="1"/>
      <c r="M93" s="1"/>
      <c r="N93" s="1"/>
      <c r="O93" s="1"/>
      <c r="P93" s="1"/>
      <c r="Q93" s="1"/>
      <c r="R93" s="1"/>
      <c r="S93" s="1"/>
      <c r="U93">
        <f>STOXX_HedgeBedarf!C88+'STOXX_HedgeBedarf+01'!C88</f>
        <v>0</v>
      </c>
    </row>
    <row r="94" spans="1:21" x14ac:dyDescent="0.3">
      <c r="A94" s="1"/>
      <c r="B94" s="1"/>
      <c r="C94" s="1"/>
      <c r="D94" s="1"/>
      <c r="E94" s="1"/>
      <c r="F94" s="1"/>
      <c r="G94" s="1"/>
      <c r="H94" s="1"/>
      <c r="I94" s="1"/>
      <c r="J94" s="3"/>
      <c r="K94" s="1"/>
      <c r="L94" s="1"/>
      <c r="M94" s="1"/>
      <c r="N94" s="1"/>
      <c r="O94" s="1"/>
      <c r="P94" s="1"/>
      <c r="Q94" s="1"/>
      <c r="R94" s="1"/>
      <c r="S94" s="1"/>
      <c r="U94">
        <f>STOXX_HedgeBedarf!C89+'STOXX_HedgeBedarf+01'!C89</f>
        <v>0</v>
      </c>
    </row>
    <row r="95" spans="1:21" x14ac:dyDescent="0.3">
      <c r="A95" s="1"/>
      <c r="B95" s="1"/>
      <c r="C95" s="1"/>
      <c r="D95" s="1"/>
      <c r="E95" s="1"/>
      <c r="F95" s="1"/>
      <c r="G95" s="1"/>
      <c r="H95" s="1"/>
      <c r="I95" s="1"/>
      <c r="J95" s="3"/>
      <c r="K95" s="1"/>
      <c r="L95" s="1"/>
      <c r="M95" s="1"/>
      <c r="N95" s="1"/>
      <c r="O95" s="1"/>
      <c r="P95" s="1"/>
      <c r="Q95" s="1"/>
      <c r="R95" s="1"/>
      <c r="S95" s="1"/>
      <c r="U95">
        <f>STOXX_HedgeBedarf!C90+'STOXX_HedgeBedarf+01'!C90</f>
        <v>0</v>
      </c>
    </row>
    <row r="96" spans="1:21" x14ac:dyDescent="0.3">
      <c r="A96" s="1"/>
      <c r="B96" s="1"/>
      <c r="C96" s="1"/>
      <c r="D96" s="1"/>
      <c r="E96" s="1"/>
      <c r="F96" s="1"/>
      <c r="G96" s="1"/>
      <c r="H96" s="1"/>
      <c r="I96" s="1"/>
      <c r="J96" s="2"/>
      <c r="K96" s="1"/>
      <c r="L96" s="1"/>
      <c r="M96" s="1"/>
      <c r="N96" s="1"/>
      <c r="O96" s="1"/>
      <c r="P96" s="1"/>
      <c r="Q96" s="1"/>
      <c r="R96" s="1"/>
      <c r="S96" s="1"/>
      <c r="U96">
        <f>STOXX_HedgeBedarf!C91+'STOXX_HedgeBedarf+01'!C91</f>
        <v>0</v>
      </c>
    </row>
    <row r="97" spans="1:21" x14ac:dyDescent="0.3">
      <c r="A97" s="1"/>
      <c r="B97" s="1"/>
      <c r="C97" s="1"/>
      <c r="D97" s="1"/>
      <c r="E97" s="1"/>
      <c r="F97" s="1"/>
      <c r="G97" s="1"/>
      <c r="H97" s="1"/>
      <c r="I97" s="1"/>
      <c r="J97" s="2"/>
      <c r="K97" s="1"/>
      <c r="L97" s="1"/>
      <c r="M97" s="1"/>
      <c r="N97" s="1"/>
      <c r="O97" s="1"/>
      <c r="P97" s="1"/>
      <c r="Q97" s="1"/>
      <c r="R97" s="1"/>
      <c r="S97" s="1"/>
      <c r="U97">
        <f>STOXX_HedgeBedarf!C92+'STOXX_HedgeBedarf+01'!C92</f>
        <v>0</v>
      </c>
    </row>
    <row r="98" spans="1:21" x14ac:dyDescent="0.3">
      <c r="A98" s="1"/>
      <c r="B98" s="1"/>
      <c r="C98" s="1"/>
      <c r="D98" s="1"/>
      <c r="E98" s="1"/>
      <c r="F98" s="1"/>
      <c r="G98" s="1"/>
      <c r="H98" s="1"/>
      <c r="I98" s="1"/>
      <c r="J98" s="3"/>
      <c r="K98" s="1"/>
      <c r="L98" s="1"/>
      <c r="M98" s="1"/>
      <c r="N98" s="1"/>
      <c r="O98" s="1"/>
      <c r="P98" s="1"/>
      <c r="Q98" s="1"/>
      <c r="R98" s="1"/>
      <c r="S98" s="1"/>
      <c r="U98">
        <f>STOXX_HedgeBedarf!C93+'STOXX_HedgeBedarf+01'!C93</f>
        <v>0</v>
      </c>
    </row>
    <row r="99" spans="1:21" x14ac:dyDescent="0.3">
      <c r="A99" s="1"/>
      <c r="B99" s="1"/>
      <c r="C99" s="1"/>
      <c r="D99" s="1"/>
      <c r="E99" s="1"/>
      <c r="F99" s="1"/>
      <c r="G99" s="1"/>
      <c r="H99" s="1"/>
      <c r="I99" s="1"/>
      <c r="J99" s="1"/>
      <c r="K99" s="1"/>
      <c r="L99" s="1"/>
      <c r="M99" s="1"/>
      <c r="N99" s="1"/>
      <c r="O99" s="1"/>
      <c r="P99" s="1"/>
      <c r="Q99" s="1"/>
      <c r="R99" s="1"/>
      <c r="S99" s="1"/>
      <c r="U99">
        <f>STOXX_HedgeBedarf!C94+'STOXX_HedgeBedarf+01'!C94</f>
        <v>0</v>
      </c>
    </row>
    <row r="100" spans="1:21" x14ac:dyDescent="0.3">
      <c r="A100" s="1"/>
      <c r="B100" s="1"/>
      <c r="C100" s="1"/>
      <c r="D100" s="1"/>
      <c r="E100" s="1"/>
      <c r="F100" s="1"/>
      <c r="G100" s="1"/>
      <c r="H100" s="1"/>
      <c r="I100" s="1"/>
      <c r="J100" s="1"/>
      <c r="K100" s="1"/>
      <c r="L100" s="1"/>
      <c r="M100" s="1"/>
      <c r="N100" s="1"/>
      <c r="O100" s="1"/>
      <c r="P100" s="1"/>
      <c r="Q100" s="1"/>
      <c r="R100" s="1"/>
      <c r="S100" s="1"/>
      <c r="U100">
        <f>STOXX_HedgeBedarf!C95+'STOXX_HedgeBedarf+01'!C95</f>
        <v>0</v>
      </c>
    </row>
    <row r="101" spans="1:21" x14ac:dyDescent="0.3">
      <c r="U101">
        <f>STOXX_HedgeBedarf!C96+'STOXX_HedgeBedarf+01'!C96</f>
        <v>0</v>
      </c>
    </row>
    <row r="102" spans="1:21" x14ac:dyDescent="0.3">
      <c r="U102">
        <f>STOXX_HedgeBedarf!C97+'STOXX_HedgeBedarf+01'!C97</f>
        <v>0</v>
      </c>
    </row>
    <row r="103" spans="1:21" x14ac:dyDescent="0.3">
      <c r="U103">
        <f>STOXX_HedgeBedarf!C98+'STOXX_HedgeBedarf+01'!C98</f>
        <v>0</v>
      </c>
    </row>
    <row r="104" spans="1:21" x14ac:dyDescent="0.3">
      <c r="U104">
        <f>STOXX_HedgeBedarf!C99+'STOXX_HedgeBedarf+01'!C99</f>
        <v>0</v>
      </c>
    </row>
    <row r="105" spans="1:21" x14ac:dyDescent="0.3">
      <c r="U105">
        <f>STOXX_HedgeBedarf!C100+'STOXX_HedgeBedarf+01'!C100</f>
        <v>0</v>
      </c>
    </row>
    <row r="106" spans="1:21" x14ac:dyDescent="0.3">
      <c r="U106">
        <f>STOXX_HedgeBedarf!C101+'STOXX_HedgeBedarf+01'!C101</f>
        <v>0</v>
      </c>
    </row>
    <row r="107" spans="1:21" x14ac:dyDescent="0.3">
      <c r="U107">
        <f>STOXX_HedgeBedarf!C102+'STOXX_HedgeBedarf+01'!C102</f>
        <v>0</v>
      </c>
    </row>
    <row r="108" spans="1:21" x14ac:dyDescent="0.3">
      <c r="U108">
        <f>STOXX_HedgeBedarf!C103+'STOXX_HedgeBedarf+01'!C103</f>
        <v>0</v>
      </c>
    </row>
    <row r="109" spans="1:21" x14ac:dyDescent="0.3">
      <c r="U109">
        <f>STOXX_HedgeBedarf!C104+'STOXX_HedgeBedarf+01'!C104</f>
        <v>0</v>
      </c>
    </row>
    <row r="110" spans="1:21" x14ac:dyDescent="0.3">
      <c r="U110">
        <f>STOXX_HedgeBedarf!C105+'STOXX_HedgeBedarf+01'!C105</f>
        <v>0</v>
      </c>
    </row>
    <row r="111" spans="1:21" x14ac:dyDescent="0.3">
      <c r="U111">
        <f>STOXX_HedgeBedarf!C106+'STOXX_HedgeBedarf+01'!C106</f>
        <v>0</v>
      </c>
    </row>
    <row r="112" spans="1:21" x14ac:dyDescent="0.3">
      <c r="U112">
        <f>STOXX_HedgeBedarf!C107+'STOXX_HedgeBedarf+01'!C107</f>
        <v>0</v>
      </c>
    </row>
    <row r="113" spans="21:21" x14ac:dyDescent="0.3">
      <c r="U113">
        <f>STOXX_HedgeBedarf!C108+'STOXX_HedgeBedarf+01'!C108</f>
        <v>0</v>
      </c>
    </row>
    <row r="114" spans="21:21" x14ac:dyDescent="0.3">
      <c r="U114">
        <f>STOXX_HedgeBedarf!C109+'STOXX_HedgeBedarf+01'!C109</f>
        <v>0</v>
      </c>
    </row>
    <row r="115" spans="21:21" x14ac:dyDescent="0.3">
      <c r="U115">
        <f>STOXX_HedgeBedarf!C110+'STOXX_HedgeBedarf+01'!C110</f>
        <v>0</v>
      </c>
    </row>
    <row r="116" spans="21:21" x14ac:dyDescent="0.3">
      <c r="U116">
        <f>STOXX_HedgeBedarf!C111+'STOXX_HedgeBedarf+01'!C111</f>
        <v>0</v>
      </c>
    </row>
    <row r="117" spans="21:21" x14ac:dyDescent="0.3">
      <c r="U117">
        <f>STOXX_HedgeBedarf!C112+'STOXX_HedgeBedarf+01'!C112</f>
        <v>0</v>
      </c>
    </row>
    <row r="118" spans="21:21" x14ac:dyDescent="0.3">
      <c r="U118">
        <f>STOXX_HedgeBedarf!C113+'STOXX_HedgeBedarf+01'!C113</f>
        <v>0</v>
      </c>
    </row>
    <row r="119" spans="21:21" x14ac:dyDescent="0.3">
      <c r="U119">
        <f>STOXX_HedgeBedarf!C114+'STOXX_HedgeBedarf+01'!C114</f>
        <v>0</v>
      </c>
    </row>
    <row r="120" spans="21:21" x14ac:dyDescent="0.3">
      <c r="U120">
        <f>STOXX_HedgeBedarf!C115+'STOXX_HedgeBedarf+01'!C115</f>
        <v>0</v>
      </c>
    </row>
    <row r="121" spans="21:21" x14ac:dyDescent="0.3">
      <c r="U121">
        <f>STOXX_HedgeBedarf!C116+'STOXX_HedgeBedarf+01'!C116</f>
        <v>0</v>
      </c>
    </row>
    <row r="122" spans="21:21" x14ac:dyDescent="0.3">
      <c r="U122">
        <f>STOXX_HedgeBedarf!C117+'STOXX_HedgeBedarf+01'!C117</f>
        <v>0</v>
      </c>
    </row>
    <row r="123" spans="21:21" x14ac:dyDescent="0.3">
      <c r="U123">
        <f>STOXX_HedgeBedarf!C118+'STOXX_HedgeBedarf+01'!C118</f>
        <v>0</v>
      </c>
    </row>
    <row r="124" spans="21:21" x14ac:dyDescent="0.3">
      <c r="U124">
        <f>STOXX_HedgeBedarf!C119+'STOXX_HedgeBedarf+01'!C119</f>
        <v>0</v>
      </c>
    </row>
    <row r="125" spans="21:21" x14ac:dyDescent="0.3">
      <c r="U125">
        <f>STOXX_HedgeBedarf!C120+'STOXX_HedgeBedarf+01'!C120</f>
        <v>0</v>
      </c>
    </row>
    <row r="126" spans="21:21" x14ac:dyDescent="0.3">
      <c r="U126">
        <f>STOXX_HedgeBedarf!C121+'STOXX_HedgeBedarf+01'!C121</f>
        <v>0</v>
      </c>
    </row>
    <row r="127" spans="21:21" x14ac:dyDescent="0.3">
      <c r="U127">
        <f>STOXX_HedgeBedarf!C122+'STOXX_HedgeBedarf+01'!C122</f>
        <v>0</v>
      </c>
    </row>
    <row r="128" spans="21:21" x14ac:dyDescent="0.3">
      <c r="U128">
        <f>STOXX_HedgeBedarf!C123+'STOXX_HedgeBedarf+01'!C123</f>
        <v>0</v>
      </c>
    </row>
    <row r="129" spans="21:21" x14ac:dyDescent="0.3">
      <c r="U129">
        <f>STOXX_HedgeBedarf!C124+'STOXX_HedgeBedarf+01'!C124</f>
        <v>0</v>
      </c>
    </row>
    <row r="130" spans="21:21" x14ac:dyDescent="0.3">
      <c r="U130">
        <f>STOXX_HedgeBedarf!C125+'STOXX_HedgeBedarf+01'!C125</f>
        <v>0</v>
      </c>
    </row>
    <row r="131" spans="21:21" x14ac:dyDescent="0.3">
      <c r="U131">
        <f>STOXX_HedgeBedarf!C126+'STOXX_HedgeBedarf+01'!C126</f>
        <v>0</v>
      </c>
    </row>
    <row r="132" spans="21:21" x14ac:dyDescent="0.3">
      <c r="U132">
        <f>STOXX_HedgeBedarf!C127+'STOXX_HedgeBedarf+01'!C127</f>
        <v>0</v>
      </c>
    </row>
    <row r="133" spans="21:21" x14ac:dyDescent="0.3">
      <c r="U133">
        <f>STOXX_HedgeBedarf!C128+'STOXX_HedgeBedarf+01'!C128</f>
        <v>0</v>
      </c>
    </row>
    <row r="134" spans="21:21" x14ac:dyDescent="0.3">
      <c r="U134">
        <f>STOXX_HedgeBedarf!C129+'STOXX_HedgeBedarf+01'!C129</f>
        <v>0</v>
      </c>
    </row>
    <row r="135" spans="21:21" x14ac:dyDescent="0.3">
      <c r="U135">
        <f>STOXX_HedgeBedarf!C130+'STOXX_HedgeBedarf+01'!C130</f>
        <v>0</v>
      </c>
    </row>
    <row r="136" spans="21:21" x14ac:dyDescent="0.3">
      <c r="U136">
        <f>STOXX_HedgeBedarf!C131+'STOXX_HedgeBedarf+01'!C131</f>
        <v>0</v>
      </c>
    </row>
    <row r="137" spans="21:21" x14ac:dyDescent="0.3">
      <c r="U137">
        <f>STOXX_HedgeBedarf!C132+'STOXX_HedgeBedarf+01'!C132</f>
        <v>0</v>
      </c>
    </row>
    <row r="138" spans="21:21" x14ac:dyDescent="0.3">
      <c r="U138">
        <f>STOXX_HedgeBedarf!C133+'STOXX_HedgeBedarf+01'!C133</f>
        <v>0</v>
      </c>
    </row>
    <row r="139" spans="21:21" x14ac:dyDescent="0.3">
      <c r="U139">
        <f>STOXX_HedgeBedarf!C134+'STOXX_HedgeBedarf+01'!C134</f>
        <v>0</v>
      </c>
    </row>
    <row r="140" spans="21:21" x14ac:dyDescent="0.3">
      <c r="U140">
        <f>STOXX_HedgeBedarf!C135+'STOXX_HedgeBedarf+01'!C135</f>
        <v>0</v>
      </c>
    </row>
    <row r="141" spans="21:21" x14ac:dyDescent="0.3">
      <c r="U141">
        <f>STOXX_HedgeBedarf!C136+'STOXX_HedgeBedarf+01'!C136</f>
        <v>0</v>
      </c>
    </row>
    <row r="142" spans="21:21" x14ac:dyDescent="0.3">
      <c r="U142">
        <f>STOXX_HedgeBedarf!C137+'STOXX_HedgeBedarf+01'!C137</f>
        <v>0</v>
      </c>
    </row>
    <row r="143" spans="21:21" x14ac:dyDescent="0.3">
      <c r="U143">
        <f>STOXX_HedgeBedarf!C138+'STOXX_HedgeBedarf+01'!C138</f>
        <v>0</v>
      </c>
    </row>
    <row r="144" spans="21:21" x14ac:dyDescent="0.3">
      <c r="U144">
        <f>STOXX_HedgeBedarf!C139+'STOXX_HedgeBedarf+01'!C139</f>
        <v>0</v>
      </c>
    </row>
    <row r="145" spans="21:21" x14ac:dyDescent="0.3">
      <c r="U145">
        <f>STOXX_HedgeBedarf!C140+'STOXX_HedgeBedarf+01'!C140</f>
        <v>0</v>
      </c>
    </row>
    <row r="146" spans="21:21" x14ac:dyDescent="0.3">
      <c r="U146">
        <f>STOXX_HedgeBedarf!C141+'STOXX_HedgeBedarf+01'!C141</f>
        <v>0</v>
      </c>
    </row>
    <row r="147" spans="21:21" x14ac:dyDescent="0.3">
      <c r="U147">
        <f>STOXX_HedgeBedarf!C142+'STOXX_HedgeBedarf+01'!C142</f>
        <v>0</v>
      </c>
    </row>
    <row r="148" spans="21:21" x14ac:dyDescent="0.3">
      <c r="U148">
        <f>STOXX_HedgeBedarf!C143+'STOXX_HedgeBedarf+01'!C143</f>
        <v>0</v>
      </c>
    </row>
    <row r="149" spans="21:21" x14ac:dyDescent="0.3">
      <c r="U149">
        <f>STOXX_HedgeBedarf!C144+'STOXX_HedgeBedarf+01'!C144</f>
        <v>0</v>
      </c>
    </row>
    <row r="150" spans="21:21" x14ac:dyDescent="0.3">
      <c r="U150">
        <f>STOXX_HedgeBedarf!C145+'STOXX_HedgeBedarf+01'!C145</f>
        <v>0</v>
      </c>
    </row>
    <row r="151" spans="21:21" x14ac:dyDescent="0.3">
      <c r="U151">
        <f>STOXX_HedgeBedarf!C146+'STOXX_HedgeBedarf+01'!C146</f>
        <v>0</v>
      </c>
    </row>
    <row r="152" spans="21:21" x14ac:dyDescent="0.3">
      <c r="U152">
        <f>STOXX_HedgeBedarf!C147+'STOXX_HedgeBedarf+01'!C147</f>
        <v>0</v>
      </c>
    </row>
    <row r="153" spans="21:21" x14ac:dyDescent="0.3">
      <c r="U153">
        <f>STOXX_HedgeBedarf!C148+'STOXX_HedgeBedarf+01'!C148</f>
        <v>0</v>
      </c>
    </row>
    <row r="154" spans="21:21" x14ac:dyDescent="0.3">
      <c r="U154">
        <f>STOXX_HedgeBedarf!C149+'STOXX_HedgeBedarf+01'!C149</f>
        <v>0</v>
      </c>
    </row>
    <row r="155" spans="21:21" x14ac:dyDescent="0.3">
      <c r="U155">
        <f>STOXX_HedgeBedarf!C150+'STOXX_HedgeBedarf+01'!C150</f>
        <v>0</v>
      </c>
    </row>
    <row r="156" spans="21:21" x14ac:dyDescent="0.3">
      <c r="U156">
        <f>STOXX_HedgeBedarf!C151+'STOXX_HedgeBedarf+01'!C151</f>
        <v>0</v>
      </c>
    </row>
    <row r="157" spans="21:21" x14ac:dyDescent="0.3">
      <c r="U157">
        <f>STOXX_HedgeBedarf!C152+'STOXX_HedgeBedarf+01'!C152</f>
        <v>0</v>
      </c>
    </row>
    <row r="158" spans="21:21" x14ac:dyDescent="0.3">
      <c r="U158">
        <f>STOXX_HedgeBedarf!C153+'STOXX_HedgeBedarf+01'!C153</f>
        <v>0</v>
      </c>
    </row>
    <row r="159" spans="21:21" x14ac:dyDescent="0.3">
      <c r="U159">
        <f>STOXX_HedgeBedarf!C154+'STOXX_HedgeBedarf+01'!C154</f>
        <v>0</v>
      </c>
    </row>
    <row r="160" spans="21:21" x14ac:dyDescent="0.3">
      <c r="U160">
        <f>STOXX_HedgeBedarf!C155+'STOXX_HedgeBedarf+01'!C155</f>
        <v>0</v>
      </c>
    </row>
    <row r="161" spans="21:21" x14ac:dyDescent="0.3">
      <c r="U161">
        <f>STOXX_HedgeBedarf!C156+'STOXX_HedgeBedarf+01'!C156</f>
        <v>0</v>
      </c>
    </row>
    <row r="162" spans="21:21" x14ac:dyDescent="0.3">
      <c r="U162">
        <f>STOXX_HedgeBedarf!C157+'STOXX_HedgeBedarf+01'!C157</f>
        <v>0</v>
      </c>
    </row>
    <row r="163" spans="21:21" x14ac:dyDescent="0.3">
      <c r="U163">
        <f>STOXX_HedgeBedarf!C158+'STOXX_HedgeBedarf+01'!C158</f>
        <v>0</v>
      </c>
    </row>
    <row r="164" spans="21:21" x14ac:dyDescent="0.3">
      <c r="U164">
        <f>STOXX_HedgeBedarf!C159+'STOXX_HedgeBedarf+01'!C159</f>
        <v>0</v>
      </c>
    </row>
    <row r="165" spans="21:21" x14ac:dyDescent="0.3">
      <c r="U165">
        <f>STOXX_HedgeBedarf!C160+'STOXX_HedgeBedarf+01'!C160</f>
        <v>0</v>
      </c>
    </row>
    <row r="166" spans="21:21" x14ac:dyDescent="0.3">
      <c r="U166">
        <f>STOXX_HedgeBedarf!C161+'STOXX_HedgeBedarf+01'!C161</f>
        <v>0</v>
      </c>
    </row>
    <row r="167" spans="21:21" x14ac:dyDescent="0.3">
      <c r="U167">
        <f>STOXX_HedgeBedarf!C162+'STOXX_HedgeBedarf+01'!C162</f>
        <v>0</v>
      </c>
    </row>
    <row r="168" spans="21:21" x14ac:dyDescent="0.3">
      <c r="U168">
        <f>STOXX_HedgeBedarf!C163+'STOXX_HedgeBedarf+01'!C163</f>
        <v>0</v>
      </c>
    </row>
    <row r="169" spans="21:21" x14ac:dyDescent="0.3">
      <c r="U169">
        <f>STOXX_HedgeBedarf!C164+'STOXX_HedgeBedarf+01'!C164</f>
        <v>0</v>
      </c>
    </row>
    <row r="170" spans="21:21" x14ac:dyDescent="0.3">
      <c r="U170">
        <f>STOXX_HedgeBedarf!C165+'STOXX_HedgeBedarf+01'!C165</f>
        <v>0</v>
      </c>
    </row>
    <row r="171" spans="21:21" x14ac:dyDescent="0.3">
      <c r="U171">
        <f>STOXX_HedgeBedarf!C166+'STOXX_HedgeBedarf+01'!C166</f>
        <v>0</v>
      </c>
    </row>
    <row r="172" spans="21:21" x14ac:dyDescent="0.3">
      <c r="U172">
        <f>STOXX_HedgeBedarf!C167+'STOXX_HedgeBedarf+01'!C167</f>
        <v>0</v>
      </c>
    </row>
    <row r="173" spans="21:21" x14ac:dyDescent="0.3">
      <c r="U173">
        <f>STOXX_HedgeBedarf!C168+'STOXX_HedgeBedarf+01'!C168</f>
        <v>0</v>
      </c>
    </row>
    <row r="174" spans="21:21" x14ac:dyDescent="0.3">
      <c r="U174">
        <f>STOXX_HedgeBedarf!C169+'STOXX_HedgeBedarf+01'!C169</f>
        <v>0</v>
      </c>
    </row>
    <row r="175" spans="21:21" x14ac:dyDescent="0.3">
      <c r="U175">
        <f>STOXX_HedgeBedarf!C170+'STOXX_HedgeBedarf+01'!C170</f>
        <v>0</v>
      </c>
    </row>
    <row r="176" spans="21:21" x14ac:dyDescent="0.3">
      <c r="U176">
        <f>STOXX_HedgeBedarf!C171+'STOXX_HedgeBedarf+01'!C171</f>
        <v>0</v>
      </c>
    </row>
    <row r="177" spans="21:21" x14ac:dyDescent="0.3">
      <c r="U177">
        <f>STOXX_HedgeBedarf!C172+'STOXX_HedgeBedarf+01'!C172</f>
        <v>0</v>
      </c>
    </row>
    <row r="178" spans="21:21" x14ac:dyDescent="0.3">
      <c r="U178">
        <f>STOXX_HedgeBedarf!C173+'STOXX_HedgeBedarf+01'!C173</f>
        <v>0</v>
      </c>
    </row>
    <row r="179" spans="21:21" x14ac:dyDescent="0.3">
      <c r="U179">
        <f>STOXX_HedgeBedarf!C174+'STOXX_HedgeBedarf+01'!C174</f>
        <v>0</v>
      </c>
    </row>
    <row r="180" spans="21:21" x14ac:dyDescent="0.3">
      <c r="U180">
        <f>STOXX_HedgeBedarf!C175+'STOXX_HedgeBedarf+01'!C175</f>
        <v>0</v>
      </c>
    </row>
    <row r="181" spans="21:21" x14ac:dyDescent="0.3">
      <c r="U181">
        <f>STOXX_HedgeBedarf!C176+'STOXX_HedgeBedarf+01'!C176</f>
        <v>0</v>
      </c>
    </row>
    <row r="182" spans="21:21" x14ac:dyDescent="0.3">
      <c r="U182">
        <f>STOXX_HedgeBedarf!C177+'STOXX_HedgeBedarf+01'!C177</f>
        <v>0</v>
      </c>
    </row>
    <row r="183" spans="21:21" x14ac:dyDescent="0.3">
      <c r="U183">
        <f>STOXX_HedgeBedarf!C178+'STOXX_HedgeBedarf+01'!C178</f>
        <v>0</v>
      </c>
    </row>
    <row r="184" spans="21:21" x14ac:dyDescent="0.3">
      <c r="U184">
        <f>STOXX_HedgeBedarf!C179+'STOXX_HedgeBedarf+01'!C179</f>
        <v>0</v>
      </c>
    </row>
    <row r="185" spans="21:21" x14ac:dyDescent="0.3">
      <c r="U185">
        <f>STOXX_HedgeBedarf!C180+'STOXX_HedgeBedarf+01'!C180</f>
        <v>0</v>
      </c>
    </row>
    <row r="186" spans="21:21" x14ac:dyDescent="0.3">
      <c r="U186">
        <f>STOXX_HedgeBedarf!C181+'STOXX_HedgeBedarf+01'!C181</f>
        <v>0</v>
      </c>
    </row>
    <row r="187" spans="21:21" x14ac:dyDescent="0.3">
      <c r="U187">
        <f>STOXX_HedgeBedarf!C182+'STOXX_HedgeBedarf+01'!C182</f>
        <v>0</v>
      </c>
    </row>
    <row r="188" spans="21:21" x14ac:dyDescent="0.3">
      <c r="U188">
        <f>STOXX_HedgeBedarf!C183+'STOXX_HedgeBedarf+01'!C183</f>
        <v>0</v>
      </c>
    </row>
    <row r="189" spans="21:21" x14ac:dyDescent="0.3">
      <c r="U189">
        <f>STOXX_HedgeBedarf!C184+'STOXX_HedgeBedarf+01'!C184</f>
        <v>0</v>
      </c>
    </row>
    <row r="190" spans="21:21" x14ac:dyDescent="0.3">
      <c r="U190">
        <f>STOXX_HedgeBedarf!C185+'STOXX_HedgeBedarf+01'!C185</f>
        <v>0</v>
      </c>
    </row>
    <row r="191" spans="21:21" x14ac:dyDescent="0.3">
      <c r="U191">
        <f>STOXX_HedgeBedarf!C186+'STOXX_HedgeBedarf+01'!C186</f>
        <v>0</v>
      </c>
    </row>
    <row r="192" spans="21:21" x14ac:dyDescent="0.3">
      <c r="U192">
        <f>STOXX_HedgeBedarf!C187+'STOXX_HedgeBedarf+01'!C187</f>
        <v>0</v>
      </c>
    </row>
    <row r="193" spans="21:21" x14ac:dyDescent="0.3">
      <c r="U193">
        <f>STOXX_HedgeBedarf!C188+'STOXX_HedgeBedarf+01'!C188</f>
        <v>0</v>
      </c>
    </row>
    <row r="194" spans="21:21" x14ac:dyDescent="0.3">
      <c r="U194">
        <f>STOXX_HedgeBedarf!C189+'STOXX_HedgeBedarf+01'!C189</f>
        <v>0</v>
      </c>
    </row>
    <row r="195" spans="21:21" x14ac:dyDescent="0.3">
      <c r="U195">
        <f>STOXX_HedgeBedarf!C190+'STOXX_HedgeBedarf+01'!C190</f>
        <v>0</v>
      </c>
    </row>
    <row r="196" spans="21:21" x14ac:dyDescent="0.3">
      <c r="U196">
        <f>STOXX_HedgeBedarf!C191+'STOXX_HedgeBedarf+01'!C191</f>
        <v>0</v>
      </c>
    </row>
    <row r="197" spans="21:21" x14ac:dyDescent="0.3">
      <c r="U197">
        <f>STOXX_HedgeBedarf!C192+'STOXX_HedgeBedarf+01'!C192</f>
        <v>0</v>
      </c>
    </row>
    <row r="198" spans="21:21" x14ac:dyDescent="0.3">
      <c r="U198">
        <f>STOXX_HedgeBedarf!C193+'STOXX_HedgeBedarf+01'!C193</f>
        <v>0</v>
      </c>
    </row>
    <row r="199" spans="21:21" x14ac:dyDescent="0.3">
      <c r="U199">
        <f>STOXX_HedgeBedarf!C194+'STOXX_HedgeBedarf+01'!C194</f>
        <v>0</v>
      </c>
    </row>
    <row r="200" spans="21:21" x14ac:dyDescent="0.3">
      <c r="U200">
        <f>STOXX_HedgeBedarf!C195+'STOXX_HedgeBedarf+01'!C195</f>
        <v>0</v>
      </c>
    </row>
    <row r="201" spans="21:21" x14ac:dyDescent="0.3">
      <c r="U201">
        <f>STOXX_HedgeBedarf!C196+'STOXX_HedgeBedarf+01'!C196</f>
        <v>0</v>
      </c>
    </row>
    <row r="202" spans="21:21" x14ac:dyDescent="0.3">
      <c r="U202">
        <f>STOXX_HedgeBedarf!C197+'STOXX_HedgeBedarf+01'!C197</f>
        <v>0</v>
      </c>
    </row>
    <row r="203" spans="21:21" x14ac:dyDescent="0.3">
      <c r="U203">
        <f>STOXX_HedgeBedarf!C198+'STOXX_HedgeBedarf+01'!C198</f>
        <v>0</v>
      </c>
    </row>
    <row r="204" spans="21:21" x14ac:dyDescent="0.3">
      <c r="U204">
        <f>STOXX_HedgeBedarf!C199+'STOXX_HedgeBedarf+01'!C199</f>
        <v>0</v>
      </c>
    </row>
    <row r="205" spans="21:21" x14ac:dyDescent="0.3">
      <c r="U205">
        <f>STOXX_HedgeBedarf!C200+'STOXX_HedgeBedarf+01'!C200</f>
        <v>0</v>
      </c>
    </row>
    <row r="206" spans="21:21" x14ac:dyDescent="0.3">
      <c r="U206">
        <f>STOXX_HedgeBedarf!C201+'STOXX_HedgeBedarf+01'!C201</f>
        <v>0</v>
      </c>
    </row>
    <row r="207" spans="21:21" x14ac:dyDescent="0.3">
      <c r="U207">
        <f>STOXX_HedgeBedarf!C202+'STOXX_HedgeBedarf+01'!C202</f>
        <v>0</v>
      </c>
    </row>
    <row r="208" spans="21:21" x14ac:dyDescent="0.3">
      <c r="U208">
        <f>STOXX_HedgeBedarf!C203+'STOXX_HedgeBedarf+01'!C203</f>
        <v>0</v>
      </c>
    </row>
    <row r="209" spans="21:21" x14ac:dyDescent="0.3">
      <c r="U209">
        <f>STOXX_HedgeBedarf!C204+'STOXX_HedgeBedarf+01'!C204</f>
        <v>0</v>
      </c>
    </row>
    <row r="210" spans="21:21" x14ac:dyDescent="0.3">
      <c r="U210">
        <f>STOXX_HedgeBedarf!C205+'STOXX_HedgeBedarf+01'!C205</f>
        <v>0</v>
      </c>
    </row>
  </sheetData>
  <mergeCells count="3">
    <mergeCell ref="A1:F1"/>
    <mergeCell ref="G1:H1"/>
    <mergeCell ref="R1:S1"/>
  </mergeCells>
  <conditionalFormatting sqref="B10:B50">
    <cfRule type="cellIs" dxfId="24" priority="3" operator="lessThan">
      <formula>0</formula>
    </cfRule>
    <cfRule type="cellIs" dxfId="23" priority="4" operator="greaterThan">
      <formula>0</formula>
    </cfRule>
  </conditionalFormatting>
  <conditionalFormatting sqref="C10:I50">
    <cfRule type="cellIs" dxfId="22" priority="1" operator="lessThan">
      <formula>0</formula>
    </cfRule>
    <cfRule type="cellIs" dxfId="21" priority="2" operator="greaterThan">
      <formula>0</formula>
    </cfRule>
  </conditionalFormatting>
  <pageMargins left="0.7" right="0.7" top="0.78740157499999996" bottom="0.78740157499999996" header="0.3" footer="0.3"/>
  <pageSetup paperSize="9" orientation="portrait" r:id="rId1"/>
  <colBreaks count="1" manualBreakCount="1">
    <brk id="9" max="1048575" man="1"/>
  </colBreaks>
  <drawing r:id="rId2"/>
  <legacyDrawing r:id="rId3"/>
  <controls>
    <mc:AlternateContent xmlns:mc="http://schemas.openxmlformats.org/markup-compatibility/2006">
      <mc:Choice Requires="x14">
        <control shapeId="2057" r:id="rId4" name="KontrakteUpdaten">
          <controlPr defaultSize="0" autoLine="0" autoPict="0" r:id="rId5">
            <anchor moveWithCells="1">
              <from>
                <xdr:col>20</xdr:col>
                <xdr:colOff>7620</xdr:colOff>
                <xdr:row>0</xdr:row>
                <xdr:rowOff>121920</xdr:rowOff>
              </from>
              <to>
                <xdr:col>21</xdr:col>
                <xdr:colOff>419100</xdr:colOff>
                <xdr:row>0</xdr:row>
                <xdr:rowOff>495300</xdr:rowOff>
              </to>
            </anchor>
          </controlPr>
        </control>
      </mc:Choice>
      <mc:Fallback>
        <control shapeId="2057" r:id="rId4" name="KontrakteUpdaten"/>
      </mc:Fallback>
    </mc:AlternateContent>
    <mc:AlternateContent xmlns:mc="http://schemas.openxmlformats.org/markup-compatibility/2006">
      <mc:Choice Requires="x14">
        <control shapeId="2049" r:id="rId6" name="Start">
          <controlPr defaultSize="0" autoLine="0" autoPict="0" r:id="rId7">
            <anchor moveWithCells="1">
              <from>
                <xdr:col>9</xdr:col>
                <xdr:colOff>746760</xdr:colOff>
                <xdr:row>2</xdr:row>
                <xdr:rowOff>152400</xdr:rowOff>
              </from>
              <to>
                <xdr:col>12</xdr:col>
                <xdr:colOff>0</xdr:colOff>
                <xdr:row>4</xdr:row>
                <xdr:rowOff>121920</xdr:rowOff>
              </to>
            </anchor>
          </controlPr>
        </control>
      </mc:Choice>
      <mc:Fallback>
        <control shapeId="2049" r:id="rId6" name="Start"/>
      </mc:Fallback>
    </mc:AlternateContent>
    <mc:AlternateContent xmlns:mc="http://schemas.openxmlformats.org/markup-compatibility/2006">
      <mc:Choice Requires="x14">
        <control shapeId="2050" r:id="rId8" name="AbfragenDatumUpdaten">
          <controlPr defaultSize="0" autoLine="0" r:id="rId9">
            <anchor moveWithCells="1">
              <from>
                <xdr:col>9</xdr:col>
                <xdr:colOff>746760</xdr:colOff>
                <xdr:row>0</xdr:row>
                <xdr:rowOff>121920</xdr:rowOff>
              </from>
              <to>
                <xdr:col>13</xdr:col>
                <xdr:colOff>220980</xdr:colOff>
                <xdr:row>1</xdr:row>
                <xdr:rowOff>160020</xdr:rowOff>
              </to>
            </anchor>
          </controlPr>
        </control>
      </mc:Choice>
      <mc:Fallback>
        <control shapeId="2050" r:id="rId8" name="AbfragenDatumUpdaten"/>
      </mc:Fallback>
    </mc:AlternateContent>
    <mc:AlternateContent xmlns:mc="http://schemas.openxmlformats.org/markup-compatibility/2006">
      <mc:Choice Requires="x14">
        <control shapeId="2051" r:id="rId10" name="BoersenAbfrage">
          <controlPr defaultSize="0" autoLine="0" autoPict="0" r:id="rId11">
            <anchor moveWithCells="1">
              <from>
                <xdr:col>9</xdr:col>
                <xdr:colOff>746760</xdr:colOff>
                <xdr:row>0</xdr:row>
                <xdr:rowOff>632460</xdr:rowOff>
              </from>
              <to>
                <xdr:col>12</xdr:col>
                <xdr:colOff>22860</xdr:colOff>
                <xdr:row>2</xdr:row>
                <xdr:rowOff>68580</xdr:rowOff>
              </to>
            </anchor>
          </controlPr>
        </control>
      </mc:Choice>
      <mc:Fallback>
        <control shapeId="2051" r:id="rId10" name="BoersenAbfrage"/>
      </mc:Fallback>
    </mc:AlternateContent>
    <mc:AlternateContent xmlns:mc="http://schemas.openxmlformats.org/markup-compatibility/2006">
      <mc:Choice Requires="x14">
        <control shapeId="2052" r:id="rId12" name="Hedge">
          <controlPr defaultSize="0" autoLine="0" r:id="rId13">
            <anchor moveWithCells="1">
              <from>
                <xdr:col>12</xdr:col>
                <xdr:colOff>99060</xdr:colOff>
                <xdr:row>0</xdr:row>
                <xdr:rowOff>121920</xdr:rowOff>
              </from>
              <to>
                <xdr:col>14</xdr:col>
                <xdr:colOff>15240</xdr:colOff>
                <xdr:row>0</xdr:row>
                <xdr:rowOff>678180</xdr:rowOff>
              </to>
            </anchor>
          </controlPr>
        </control>
      </mc:Choice>
      <mc:Fallback>
        <control shapeId="2052" r:id="rId12" name="Hedge"/>
      </mc:Fallback>
    </mc:AlternateContent>
    <mc:AlternateContent xmlns:mc="http://schemas.openxmlformats.org/markup-compatibility/2006">
      <mc:Choice Requires="x14">
        <control shapeId="2053" r:id="rId14" name="VorletzterHandelsTag">
          <controlPr defaultSize="0" autoLine="0" r:id="rId15">
            <anchor moveWithCells="1">
              <from>
                <xdr:col>24</xdr:col>
                <xdr:colOff>754380</xdr:colOff>
                <xdr:row>0</xdr:row>
                <xdr:rowOff>68580</xdr:rowOff>
              </from>
              <to>
                <xdr:col>27</xdr:col>
                <xdr:colOff>480060</xdr:colOff>
                <xdr:row>0</xdr:row>
                <xdr:rowOff>617220</xdr:rowOff>
              </to>
            </anchor>
          </controlPr>
        </control>
      </mc:Choice>
      <mc:Fallback>
        <control shapeId="2053" r:id="rId14" name="VorletzterHandelsTag"/>
      </mc:Fallback>
    </mc:AlternateContent>
    <mc:AlternateContent xmlns:mc="http://schemas.openxmlformats.org/markup-compatibility/2006">
      <mc:Choice Requires="x14">
        <control shapeId="2054" r:id="rId16" name="InterimsUeberHaenge">
          <controlPr defaultSize="0" autoLine="0" r:id="rId17">
            <anchor moveWithCells="1">
              <from>
                <xdr:col>24</xdr:col>
                <xdr:colOff>754380</xdr:colOff>
                <xdr:row>0</xdr:row>
                <xdr:rowOff>525780</xdr:rowOff>
              </from>
              <to>
                <xdr:col>27</xdr:col>
                <xdr:colOff>480060</xdr:colOff>
                <xdr:row>2</xdr:row>
                <xdr:rowOff>106680</xdr:rowOff>
              </to>
            </anchor>
          </controlPr>
        </control>
      </mc:Choice>
      <mc:Fallback>
        <control shapeId="2054" r:id="rId16" name="InterimsUeberHaenge"/>
      </mc:Fallback>
    </mc:AlternateContent>
    <mc:AlternateContent xmlns:mc="http://schemas.openxmlformats.org/markup-compatibility/2006">
      <mc:Choice Requires="x14">
        <control shapeId="2055" r:id="rId18" name="PDF">
          <controlPr defaultSize="0" autoLine="0" autoPict="0" r:id="rId19">
            <anchor moveWithCells="1">
              <from>
                <xdr:col>9</xdr:col>
                <xdr:colOff>746760</xdr:colOff>
                <xdr:row>5</xdr:row>
                <xdr:rowOff>45720</xdr:rowOff>
              </from>
              <to>
                <xdr:col>11</xdr:col>
                <xdr:colOff>746760</xdr:colOff>
                <xdr:row>6</xdr:row>
                <xdr:rowOff>220980</xdr:rowOff>
              </to>
            </anchor>
          </controlPr>
        </control>
      </mc:Choice>
      <mc:Fallback>
        <control shapeId="2055" r:id="rId18" name="PDF"/>
      </mc:Fallback>
    </mc:AlternateContent>
    <mc:AlternateContent xmlns:mc="http://schemas.openxmlformats.org/markup-compatibility/2006">
      <mc:Choice Requires="x14">
        <control shapeId="2056" r:id="rId20" name="Pdf_Verfall">
          <controlPr defaultSize="0" autoLine="0" r:id="rId21">
            <anchor moveWithCells="1">
              <from>
                <xdr:col>14</xdr:col>
                <xdr:colOff>182880</xdr:colOff>
                <xdr:row>0</xdr:row>
                <xdr:rowOff>121920</xdr:rowOff>
              </from>
              <to>
                <xdr:col>17</xdr:col>
                <xdr:colOff>15240</xdr:colOff>
                <xdr:row>0</xdr:row>
                <xdr:rowOff>670560</xdr:rowOff>
              </to>
            </anchor>
          </controlPr>
        </control>
      </mc:Choice>
      <mc:Fallback>
        <control shapeId="2056" r:id="rId20" name="Pdf_Verfal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A581D-72C1-41C8-9D1B-1FBF83CA3B11}">
  <dimension ref="A1:J165"/>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500</v>
      </c>
      <c r="B2">
        <v>500</v>
      </c>
      <c r="C2">
        <v>0</v>
      </c>
      <c r="D2">
        <v>0</v>
      </c>
      <c r="E2">
        <v>1802</v>
      </c>
      <c r="F2">
        <v>0</v>
      </c>
      <c r="G2">
        <v>0</v>
      </c>
      <c r="H2">
        <v>0</v>
      </c>
      <c r="I2">
        <v>0</v>
      </c>
      <c r="J2" s="92">
        <v>1802</v>
      </c>
    </row>
    <row r="3" spans="1:10" x14ac:dyDescent="0.3">
      <c r="A3" s="92">
        <v>600</v>
      </c>
      <c r="B3">
        <v>600</v>
      </c>
      <c r="C3">
        <v>0</v>
      </c>
      <c r="D3">
        <v>0</v>
      </c>
      <c r="E3">
        <v>0</v>
      </c>
      <c r="F3">
        <v>0</v>
      </c>
      <c r="G3">
        <v>0</v>
      </c>
      <c r="H3">
        <v>0</v>
      </c>
      <c r="I3">
        <v>0</v>
      </c>
      <c r="J3" s="92">
        <v>0</v>
      </c>
    </row>
    <row r="4" spans="1:10" x14ac:dyDescent="0.3">
      <c r="A4" s="92">
        <v>800</v>
      </c>
      <c r="B4">
        <v>800</v>
      </c>
      <c r="C4">
        <v>0</v>
      </c>
      <c r="D4">
        <v>0</v>
      </c>
      <c r="E4">
        <v>2449</v>
      </c>
      <c r="F4">
        <v>0</v>
      </c>
      <c r="G4">
        <v>0</v>
      </c>
      <c r="H4">
        <v>0</v>
      </c>
      <c r="I4">
        <v>0</v>
      </c>
      <c r="J4" s="92">
        <v>2449</v>
      </c>
    </row>
    <row r="5" spans="1:10" x14ac:dyDescent="0.3">
      <c r="A5" s="92">
        <v>1000</v>
      </c>
      <c r="B5">
        <v>1000</v>
      </c>
      <c r="C5">
        <v>0</v>
      </c>
      <c r="D5">
        <v>1</v>
      </c>
      <c r="E5">
        <v>27350</v>
      </c>
      <c r="F5">
        <v>3190.5</v>
      </c>
      <c r="G5">
        <v>3190.5</v>
      </c>
      <c r="H5">
        <v>3190.5</v>
      </c>
      <c r="I5">
        <v>3190.5</v>
      </c>
      <c r="J5" s="92">
        <v>27350</v>
      </c>
    </row>
    <row r="6" spans="1:10" x14ac:dyDescent="0.3">
      <c r="A6" s="92">
        <v>1100</v>
      </c>
      <c r="B6">
        <v>1100</v>
      </c>
      <c r="C6">
        <v>0</v>
      </c>
      <c r="D6">
        <v>0</v>
      </c>
      <c r="E6">
        <v>0</v>
      </c>
      <c r="F6">
        <v>0</v>
      </c>
      <c r="G6">
        <v>0</v>
      </c>
      <c r="H6">
        <v>0</v>
      </c>
      <c r="I6">
        <v>0</v>
      </c>
      <c r="J6" s="92">
        <v>0</v>
      </c>
    </row>
    <row r="7" spans="1:10" x14ac:dyDescent="0.3">
      <c r="A7" s="92">
        <v>1150</v>
      </c>
      <c r="B7">
        <v>1150</v>
      </c>
      <c r="C7">
        <v>0</v>
      </c>
      <c r="D7">
        <v>0</v>
      </c>
      <c r="E7">
        <v>0</v>
      </c>
      <c r="F7">
        <v>0</v>
      </c>
      <c r="G7">
        <v>0</v>
      </c>
      <c r="H7">
        <v>0</v>
      </c>
      <c r="I7">
        <v>0</v>
      </c>
      <c r="J7" s="92">
        <v>0</v>
      </c>
    </row>
    <row r="8" spans="1:10" x14ac:dyDescent="0.3">
      <c r="A8" s="92">
        <v>1200</v>
      </c>
      <c r="B8">
        <v>1200</v>
      </c>
      <c r="C8">
        <v>0</v>
      </c>
      <c r="D8">
        <v>0</v>
      </c>
      <c r="E8">
        <v>7</v>
      </c>
      <c r="F8">
        <v>0</v>
      </c>
      <c r="G8">
        <v>0</v>
      </c>
      <c r="H8">
        <v>0</v>
      </c>
      <c r="I8">
        <v>0</v>
      </c>
      <c r="J8" s="92">
        <v>7</v>
      </c>
    </row>
    <row r="9" spans="1:10" x14ac:dyDescent="0.3">
      <c r="A9" s="92">
        <v>1250</v>
      </c>
      <c r="B9">
        <v>1250</v>
      </c>
      <c r="C9">
        <v>0</v>
      </c>
      <c r="D9">
        <v>0</v>
      </c>
      <c r="E9">
        <v>1</v>
      </c>
      <c r="F9">
        <v>0</v>
      </c>
      <c r="G9">
        <v>0</v>
      </c>
      <c r="H9">
        <v>0</v>
      </c>
      <c r="I9">
        <v>0</v>
      </c>
      <c r="J9" s="92">
        <v>1</v>
      </c>
    </row>
    <row r="10" spans="1:10" x14ac:dyDescent="0.3">
      <c r="A10" s="92">
        <v>1300</v>
      </c>
      <c r="B10">
        <v>1300</v>
      </c>
      <c r="C10">
        <v>0</v>
      </c>
      <c r="D10">
        <v>0</v>
      </c>
      <c r="E10">
        <v>0</v>
      </c>
      <c r="F10">
        <v>0</v>
      </c>
      <c r="G10">
        <v>0</v>
      </c>
      <c r="H10">
        <v>0</v>
      </c>
      <c r="I10">
        <v>0</v>
      </c>
      <c r="J10" s="92">
        <v>0</v>
      </c>
    </row>
    <row r="11" spans="1:10" x14ac:dyDescent="0.3">
      <c r="A11" s="92">
        <v>1350</v>
      </c>
      <c r="B11">
        <v>1350</v>
      </c>
      <c r="C11">
        <v>0</v>
      </c>
      <c r="D11">
        <v>0</v>
      </c>
      <c r="E11">
        <v>0</v>
      </c>
      <c r="F11">
        <v>0</v>
      </c>
      <c r="G11">
        <v>0</v>
      </c>
      <c r="H11">
        <v>0</v>
      </c>
      <c r="I11">
        <v>0</v>
      </c>
      <c r="J11" s="92">
        <v>0</v>
      </c>
    </row>
    <row r="12" spans="1:10" x14ac:dyDescent="0.3">
      <c r="A12" s="92">
        <v>1400</v>
      </c>
      <c r="B12">
        <v>1400</v>
      </c>
      <c r="C12">
        <v>0</v>
      </c>
      <c r="D12">
        <v>0</v>
      </c>
      <c r="E12">
        <v>0</v>
      </c>
      <c r="F12">
        <v>0</v>
      </c>
      <c r="G12">
        <v>0</v>
      </c>
      <c r="H12">
        <v>0</v>
      </c>
      <c r="I12">
        <v>0</v>
      </c>
      <c r="J12" s="92">
        <v>0</v>
      </c>
    </row>
    <row r="13" spans="1:10" x14ac:dyDescent="0.3">
      <c r="A13" s="92">
        <v>1450</v>
      </c>
      <c r="B13">
        <v>1450</v>
      </c>
      <c r="C13">
        <v>0</v>
      </c>
      <c r="D13">
        <v>0</v>
      </c>
      <c r="E13">
        <v>0</v>
      </c>
      <c r="F13">
        <v>0</v>
      </c>
      <c r="G13">
        <v>0</v>
      </c>
      <c r="H13">
        <v>0</v>
      </c>
      <c r="I13">
        <v>0</v>
      </c>
      <c r="J13" s="92">
        <v>0</v>
      </c>
    </row>
    <row r="14" spans="1:10" x14ac:dyDescent="0.3">
      <c r="A14" s="92">
        <v>1500</v>
      </c>
      <c r="B14">
        <v>1500</v>
      </c>
      <c r="C14">
        <v>0</v>
      </c>
      <c r="D14">
        <v>0</v>
      </c>
      <c r="E14">
        <v>93</v>
      </c>
      <c r="F14">
        <v>0</v>
      </c>
      <c r="G14">
        <v>0</v>
      </c>
      <c r="H14">
        <v>0</v>
      </c>
      <c r="I14">
        <v>0</v>
      </c>
      <c r="J14" s="92">
        <v>93</v>
      </c>
    </row>
    <row r="15" spans="1:10" x14ac:dyDescent="0.3">
      <c r="A15" s="92">
        <v>1550</v>
      </c>
      <c r="B15">
        <v>1550</v>
      </c>
      <c r="C15">
        <v>0</v>
      </c>
      <c r="D15">
        <v>0</v>
      </c>
      <c r="E15">
        <v>0</v>
      </c>
      <c r="F15">
        <v>0</v>
      </c>
      <c r="G15">
        <v>0</v>
      </c>
      <c r="H15">
        <v>0</v>
      </c>
      <c r="I15">
        <v>0</v>
      </c>
      <c r="J15" s="92">
        <v>0</v>
      </c>
    </row>
    <row r="16" spans="1:10" x14ac:dyDescent="0.3">
      <c r="A16" s="92">
        <v>1600</v>
      </c>
      <c r="B16">
        <v>1600</v>
      </c>
      <c r="C16">
        <v>0</v>
      </c>
      <c r="D16">
        <v>0</v>
      </c>
      <c r="E16">
        <v>0</v>
      </c>
      <c r="F16">
        <v>0</v>
      </c>
      <c r="G16">
        <v>0</v>
      </c>
      <c r="H16">
        <v>0</v>
      </c>
      <c r="I16">
        <v>0</v>
      </c>
      <c r="J16" s="92">
        <v>0</v>
      </c>
    </row>
    <row r="17" spans="1:10" x14ac:dyDescent="0.3">
      <c r="A17" s="92">
        <v>1650</v>
      </c>
      <c r="B17">
        <v>1650</v>
      </c>
      <c r="C17">
        <v>0</v>
      </c>
      <c r="D17">
        <v>0</v>
      </c>
      <c r="E17">
        <v>0</v>
      </c>
      <c r="F17">
        <v>0</v>
      </c>
      <c r="G17">
        <v>0</v>
      </c>
      <c r="H17">
        <v>0</v>
      </c>
      <c r="I17">
        <v>0</v>
      </c>
      <c r="J17" s="92">
        <v>0</v>
      </c>
    </row>
    <row r="18" spans="1:10" x14ac:dyDescent="0.3">
      <c r="A18" s="92">
        <v>1700</v>
      </c>
      <c r="B18">
        <v>1700</v>
      </c>
      <c r="C18">
        <v>0</v>
      </c>
      <c r="D18">
        <v>0</v>
      </c>
      <c r="E18">
        <v>0</v>
      </c>
      <c r="F18">
        <v>0</v>
      </c>
      <c r="G18">
        <v>0</v>
      </c>
      <c r="H18">
        <v>0</v>
      </c>
      <c r="I18">
        <v>0</v>
      </c>
      <c r="J18" s="92">
        <v>0</v>
      </c>
    </row>
    <row r="19" spans="1:10" x14ac:dyDescent="0.3">
      <c r="A19" s="92">
        <v>1750</v>
      </c>
      <c r="B19">
        <v>1750</v>
      </c>
      <c r="C19">
        <v>0</v>
      </c>
      <c r="D19">
        <v>0</v>
      </c>
      <c r="E19">
        <v>0</v>
      </c>
      <c r="F19">
        <v>0</v>
      </c>
      <c r="G19">
        <v>0</v>
      </c>
      <c r="H19">
        <v>0</v>
      </c>
      <c r="I19">
        <v>0</v>
      </c>
      <c r="J19" s="92">
        <v>0</v>
      </c>
    </row>
    <row r="20" spans="1:10" x14ac:dyDescent="0.3">
      <c r="A20" s="92">
        <v>1800</v>
      </c>
      <c r="B20">
        <v>1800</v>
      </c>
      <c r="C20">
        <v>0</v>
      </c>
      <c r="D20">
        <v>0</v>
      </c>
      <c r="E20">
        <v>0</v>
      </c>
      <c r="F20">
        <v>0</v>
      </c>
      <c r="G20">
        <v>0</v>
      </c>
      <c r="H20">
        <v>0</v>
      </c>
      <c r="I20">
        <v>0</v>
      </c>
      <c r="J20" s="92">
        <v>0</v>
      </c>
    </row>
    <row r="21" spans="1:10" x14ac:dyDescent="0.3">
      <c r="A21" s="92">
        <v>1850</v>
      </c>
      <c r="B21">
        <v>1850</v>
      </c>
      <c r="C21">
        <v>0</v>
      </c>
      <c r="D21">
        <v>0</v>
      </c>
      <c r="E21">
        <v>0</v>
      </c>
      <c r="F21">
        <v>0</v>
      </c>
      <c r="G21">
        <v>0</v>
      </c>
      <c r="H21">
        <v>0</v>
      </c>
      <c r="I21">
        <v>0</v>
      </c>
      <c r="J21" s="92">
        <v>0</v>
      </c>
    </row>
    <row r="22" spans="1:10" x14ac:dyDescent="0.3">
      <c r="A22" s="92">
        <v>1900</v>
      </c>
      <c r="B22">
        <v>1900</v>
      </c>
      <c r="C22">
        <v>0</v>
      </c>
      <c r="D22">
        <v>0</v>
      </c>
      <c r="E22">
        <v>1</v>
      </c>
      <c r="F22">
        <v>0</v>
      </c>
      <c r="G22">
        <v>0</v>
      </c>
      <c r="H22">
        <v>0</v>
      </c>
      <c r="I22">
        <v>0</v>
      </c>
      <c r="J22" s="92">
        <v>1</v>
      </c>
    </row>
    <row r="23" spans="1:10" x14ac:dyDescent="0.3">
      <c r="A23" s="92">
        <v>1950</v>
      </c>
      <c r="B23">
        <v>1950</v>
      </c>
      <c r="C23">
        <v>0</v>
      </c>
      <c r="D23">
        <v>0</v>
      </c>
      <c r="E23">
        <v>0</v>
      </c>
      <c r="F23">
        <v>0</v>
      </c>
      <c r="G23">
        <v>0</v>
      </c>
      <c r="H23">
        <v>0</v>
      </c>
      <c r="I23">
        <v>0</v>
      </c>
      <c r="J23" s="92">
        <v>0</v>
      </c>
    </row>
    <row r="24" spans="1:10" x14ac:dyDescent="0.3">
      <c r="A24" s="92">
        <v>2000</v>
      </c>
      <c r="B24">
        <v>2000</v>
      </c>
      <c r="C24">
        <v>0</v>
      </c>
      <c r="D24">
        <v>0</v>
      </c>
      <c r="E24">
        <v>1</v>
      </c>
      <c r="F24">
        <v>0</v>
      </c>
      <c r="G24">
        <v>0</v>
      </c>
      <c r="H24">
        <v>0</v>
      </c>
      <c r="I24">
        <v>0</v>
      </c>
      <c r="J24" s="92">
        <v>1</v>
      </c>
    </row>
    <row r="25" spans="1:10" x14ac:dyDescent="0.3">
      <c r="A25" s="92">
        <v>2050</v>
      </c>
      <c r="B25">
        <v>2050</v>
      </c>
      <c r="C25">
        <v>0</v>
      </c>
      <c r="D25">
        <v>0</v>
      </c>
      <c r="E25">
        <v>0</v>
      </c>
      <c r="F25">
        <v>0</v>
      </c>
      <c r="G25">
        <v>0</v>
      </c>
      <c r="H25">
        <v>0</v>
      </c>
      <c r="I25">
        <v>0</v>
      </c>
      <c r="J25" s="92">
        <v>0</v>
      </c>
    </row>
    <row r="26" spans="1:10" x14ac:dyDescent="0.3">
      <c r="A26" s="92">
        <v>2100</v>
      </c>
      <c r="B26">
        <v>2100</v>
      </c>
      <c r="C26">
        <v>0</v>
      </c>
      <c r="D26">
        <v>0</v>
      </c>
      <c r="E26">
        <v>360</v>
      </c>
      <c r="F26">
        <v>0</v>
      </c>
      <c r="G26">
        <v>0</v>
      </c>
      <c r="H26">
        <v>0</v>
      </c>
      <c r="I26">
        <v>0</v>
      </c>
      <c r="J26" s="92">
        <v>360</v>
      </c>
    </row>
    <row r="27" spans="1:10" x14ac:dyDescent="0.3">
      <c r="A27" s="92">
        <v>2150</v>
      </c>
      <c r="B27">
        <v>2150</v>
      </c>
      <c r="C27">
        <v>0</v>
      </c>
      <c r="D27">
        <v>0</v>
      </c>
      <c r="E27">
        <v>122</v>
      </c>
      <c r="F27">
        <v>0</v>
      </c>
      <c r="G27">
        <v>0</v>
      </c>
      <c r="H27">
        <v>0</v>
      </c>
      <c r="I27">
        <v>0</v>
      </c>
      <c r="J27" s="92">
        <v>122</v>
      </c>
    </row>
    <row r="28" spans="1:10" x14ac:dyDescent="0.3">
      <c r="A28" s="92">
        <v>2175</v>
      </c>
      <c r="B28">
        <v>2175</v>
      </c>
      <c r="C28">
        <v>0</v>
      </c>
      <c r="D28">
        <v>0</v>
      </c>
      <c r="E28">
        <v>0</v>
      </c>
      <c r="F28">
        <v>0</v>
      </c>
      <c r="G28">
        <v>0</v>
      </c>
      <c r="H28">
        <v>0</v>
      </c>
      <c r="I28">
        <v>0</v>
      </c>
      <c r="J28" s="92">
        <v>0</v>
      </c>
    </row>
    <row r="29" spans="1:10" x14ac:dyDescent="0.3">
      <c r="A29" s="92">
        <v>2200</v>
      </c>
      <c r="B29">
        <v>2200</v>
      </c>
      <c r="C29">
        <v>0</v>
      </c>
      <c r="D29">
        <v>1</v>
      </c>
      <c r="E29">
        <v>100</v>
      </c>
      <c r="F29">
        <v>1992</v>
      </c>
      <c r="G29">
        <v>1992</v>
      </c>
      <c r="H29">
        <v>1992</v>
      </c>
      <c r="I29">
        <v>1992</v>
      </c>
      <c r="J29" s="92">
        <v>100</v>
      </c>
    </row>
    <row r="30" spans="1:10" x14ac:dyDescent="0.3">
      <c r="A30" s="92">
        <v>2250</v>
      </c>
      <c r="B30">
        <v>2250</v>
      </c>
      <c r="C30">
        <v>0</v>
      </c>
      <c r="D30">
        <v>0</v>
      </c>
      <c r="E30">
        <v>0</v>
      </c>
      <c r="F30">
        <v>0</v>
      </c>
      <c r="G30">
        <v>0</v>
      </c>
      <c r="H30">
        <v>0</v>
      </c>
      <c r="I30">
        <v>0</v>
      </c>
      <c r="J30" s="92">
        <v>0</v>
      </c>
    </row>
    <row r="31" spans="1:10" x14ac:dyDescent="0.3">
      <c r="A31" s="92">
        <v>2275</v>
      </c>
      <c r="B31">
        <v>2275</v>
      </c>
      <c r="C31">
        <v>0</v>
      </c>
      <c r="D31">
        <v>0</v>
      </c>
      <c r="E31">
        <v>0</v>
      </c>
      <c r="F31">
        <v>0</v>
      </c>
      <c r="G31">
        <v>0</v>
      </c>
      <c r="H31">
        <v>0</v>
      </c>
      <c r="I31">
        <v>0</v>
      </c>
      <c r="J31" s="92">
        <v>0</v>
      </c>
    </row>
    <row r="32" spans="1:10" x14ac:dyDescent="0.3">
      <c r="A32" s="92">
        <v>2300</v>
      </c>
      <c r="B32">
        <v>2300</v>
      </c>
      <c r="C32">
        <v>0</v>
      </c>
      <c r="D32">
        <v>0</v>
      </c>
      <c r="E32">
        <v>20</v>
      </c>
      <c r="F32">
        <v>0</v>
      </c>
      <c r="G32">
        <v>0</v>
      </c>
      <c r="H32">
        <v>0</v>
      </c>
      <c r="I32">
        <v>0</v>
      </c>
      <c r="J32" s="92">
        <v>20</v>
      </c>
    </row>
    <row r="33" spans="1:10" x14ac:dyDescent="0.3">
      <c r="A33" s="92">
        <v>2325</v>
      </c>
      <c r="B33">
        <v>2325</v>
      </c>
      <c r="C33">
        <v>0</v>
      </c>
      <c r="D33">
        <v>0</v>
      </c>
      <c r="E33">
        <v>0</v>
      </c>
      <c r="F33">
        <v>0</v>
      </c>
      <c r="G33">
        <v>0</v>
      </c>
      <c r="H33">
        <v>0</v>
      </c>
      <c r="I33">
        <v>0</v>
      </c>
      <c r="J33" s="92">
        <v>0</v>
      </c>
    </row>
    <row r="34" spans="1:10" x14ac:dyDescent="0.3">
      <c r="A34" s="92">
        <v>2350</v>
      </c>
      <c r="B34">
        <v>2350</v>
      </c>
      <c r="C34">
        <v>0</v>
      </c>
      <c r="D34">
        <v>0</v>
      </c>
      <c r="E34">
        <v>0</v>
      </c>
      <c r="F34">
        <v>0</v>
      </c>
      <c r="G34">
        <v>0</v>
      </c>
      <c r="H34">
        <v>0</v>
      </c>
      <c r="I34">
        <v>0</v>
      </c>
      <c r="J34" s="92">
        <v>0</v>
      </c>
    </row>
    <row r="35" spans="1:10" x14ac:dyDescent="0.3">
      <c r="A35" s="92">
        <v>2375</v>
      </c>
      <c r="B35">
        <v>2375</v>
      </c>
      <c r="C35">
        <v>0</v>
      </c>
      <c r="D35">
        <v>0</v>
      </c>
      <c r="E35">
        <v>0</v>
      </c>
      <c r="F35">
        <v>0</v>
      </c>
      <c r="G35">
        <v>0</v>
      </c>
      <c r="H35">
        <v>0</v>
      </c>
      <c r="I35">
        <v>0</v>
      </c>
      <c r="J35" s="92">
        <v>0</v>
      </c>
    </row>
    <row r="36" spans="1:10" x14ac:dyDescent="0.3">
      <c r="A36" s="92">
        <v>2400</v>
      </c>
      <c r="B36">
        <v>2400</v>
      </c>
      <c r="C36">
        <v>0</v>
      </c>
      <c r="D36">
        <v>0</v>
      </c>
      <c r="E36">
        <v>1486</v>
      </c>
      <c r="F36">
        <v>0</v>
      </c>
      <c r="G36">
        <v>0</v>
      </c>
      <c r="H36">
        <v>0</v>
      </c>
      <c r="I36">
        <v>0</v>
      </c>
      <c r="J36" s="92">
        <v>1486</v>
      </c>
    </row>
    <row r="37" spans="1:10" x14ac:dyDescent="0.3">
      <c r="A37" s="92">
        <v>2425</v>
      </c>
      <c r="B37">
        <v>2425</v>
      </c>
      <c r="C37">
        <v>0</v>
      </c>
      <c r="D37">
        <v>0</v>
      </c>
      <c r="E37">
        <v>0</v>
      </c>
      <c r="F37">
        <v>0</v>
      </c>
      <c r="G37">
        <v>0</v>
      </c>
      <c r="H37">
        <v>0</v>
      </c>
      <c r="I37">
        <v>0</v>
      </c>
      <c r="J37" s="92">
        <v>0</v>
      </c>
    </row>
    <row r="38" spans="1:10" x14ac:dyDescent="0.3">
      <c r="A38" s="92">
        <v>2450</v>
      </c>
      <c r="B38">
        <v>2450</v>
      </c>
      <c r="C38">
        <v>0</v>
      </c>
      <c r="D38">
        <v>0</v>
      </c>
      <c r="E38">
        <v>0</v>
      </c>
      <c r="F38">
        <v>0</v>
      </c>
      <c r="G38">
        <v>0</v>
      </c>
      <c r="H38">
        <v>0</v>
      </c>
      <c r="I38">
        <v>0</v>
      </c>
      <c r="J38" s="92">
        <v>0</v>
      </c>
    </row>
    <row r="39" spans="1:10" x14ac:dyDescent="0.3">
      <c r="A39" s="92">
        <v>2475</v>
      </c>
      <c r="B39">
        <v>2475</v>
      </c>
      <c r="C39">
        <v>0</v>
      </c>
      <c r="D39">
        <v>0</v>
      </c>
      <c r="E39">
        <v>54</v>
      </c>
      <c r="F39">
        <v>0</v>
      </c>
      <c r="G39">
        <v>0</v>
      </c>
      <c r="H39">
        <v>0</v>
      </c>
      <c r="I39">
        <v>0</v>
      </c>
      <c r="J39" s="92">
        <v>54</v>
      </c>
    </row>
    <row r="40" spans="1:10" x14ac:dyDescent="0.3">
      <c r="A40" s="92">
        <v>2500</v>
      </c>
      <c r="B40">
        <v>2500</v>
      </c>
      <c r="C40">
        <v>0</v>
      </c>
      <c r="D40">
        <v>0</v>
      </c>
      <c r="E40">
        <v>610</v>
      </c>
      <c r="F40">
        <v>0</v>
      </c>
      <c r="G40">
        <v>0</v>
      </c>
      <c r="H40">
        <v>0</v>
      </c>
      <c r="I40">
        <v>0</v>
      </c>
      <c r="J40" s="92">
        <v>610</v>
      </c>
    </row>
    <row r="41" spans="1:10" x14ac:dyDescent="0.3">
      <c r="A41" s="92">
        <v>2525</v>
      </c>
      <c r="B41">
        <v>2525</v>
      </c>
      <c r="C41">
        <v>0</v>
      </c>
      <c r="D41">
        <v>0</v>
      </c>
      <c r="E41">
        <v>171</v>
      </c>
      <c r="F41">
        <v>0</v>
      </c>
      <c r="G41">
        <v>0</v>
      </c>
      <c r="H41">
        <v>0</v>
      </c>
      <c r="I41">
        <v>0</v>
      </c>
      <c r="J41" s="92">
        <v>171</v>
      </c>
    </row>
    <row r="42" spans="1:10" x14ac:dyDescent="0.3">
      <c r="A42" s="92">
        <v>2550</v>
      </c>
      <c r="B42">
        <v>2550</v>
      </c>
      <c r="C42">
        <v>0</v>
      </c>
      <c r="D42">
        <v>0</v>
      </c>
      <c r="E42">
        <v>0</v>
      </c>
      <c r="F42">
        <v>0</v>
      </c>
      <c r="G42">
        <v>0</v>
      </c>
      <c r="H42">
        <v>0</v>
      </c>
      <c r="I42">
        <v>0</v>
      </c>
      <c r="J42" s="92">
        <v>0</v>
      </c>
    </row>
    <row r="43" spans="1:10" x14ac:dyDescent="0.3">
      <c r="A43" s="92">
        <v>2575</v>
      </c>
      <c r="B43">
        <v>2575</v>
      </c>
      <c r="C43">
        <v>0</v>
      </c>
      <c r="D43">
        <v>0</v>
      </c>
      <c r="E43">
        <v>0</v>
      </c>
      <c r="F43">
        <v>0</v>
      </c>
      <c r="G43">
        <v>0</v>
      </c>
      <c r="H43">
        <v>0</v>
      </c>
      <c r="I43">
        <v>0</v>
      </c>
      <c r="J43" s="92">
        <v>0</v>
      </c>
    </row>
    <row r="44" spans="1:10" x14ac:dyDescent="0.3">
      <c r="A44" s="92">
        <v>2600</v>
      </c>
      <c r="B44">
        <v>2600</v>
      </c>
      <c r="C44">
        <v>0</v>
      </c>
      <c r="D44">
        <v>0</v>
      </c>
      <c r="E44">
        <v>1850</v>
      </c>
      <c r="F44">
        <v>0</v>
      </c>
      <c r="G44">
        <v>0</v>
      </c>
      <c r="H44">
        <v>0</v>
      </c>
      <c r="I44">
        <v>0</v>
      </c>
      <c r="J44" s="92">
        <v>1850</v>
      </c>
    </row>
    <row r="45" spans="1:10" x14ac:dyDescent="0.3">
      <c r="A45" s="92">
        <v>2625</v>
      </c>
      <c r="B45">
        <v>2625</v>
      </c>
      <c r="C45">
        <v>0</v>
      </c>
      <c r="D45">
        <v>0</v>
      </c>
      <c r="E45">
        <v>20</v>
      </c>
      <c r="F45">
        <v>0</v>
      </c>
      <c r="G45">
        <v>0</v>
      </c>
      <c r="H45">
        <v>0</v>
      </c>
      <c r="I45">
        <v>0</v>
      </c>
      <c r="J45" s="92">
        <v>20</v>
      </c>
    </row>
    <row r="46" spans="1:10" x14ac:dyDescent="0.3">
      <c r="A46" s="92">
        <v>2650</v>
      </c>
      <c r="B46">
        <v>2650</v>
      </c>
      <c r="C46">
        <v>0</v>
      </c>
      <c r="D46">
        <v>0</v>
      </c>
      <c r="E46">
        <v>60</v>
      </c>
      <c r="F46">
        <v>0</v>
      </c>
      <c r="G46">
        <v>0</v>
      </c>
      <c r="H46">
        <v>0</v>
      </c>
      <c r="I46">
        <v>0</v>
      </c>
      <c r="J46" s="92">
        <v>60</v>
      </c>
    </row>
    <row r="47" spans="1:10" x14ac:dyDescent="0.3">
      <c r="A47" s="92">
        <v>2675</v>
      </c>
      <c r="B47">
        <v>2675</v>
      </c>
      <c r="C47">
        <v>0</v>
      </c>
      <c r="D47">
        <v>0</v>
      </c>
      <c r="E47">
        <v>20</v>
      </c>
      <c r="F47">
        <v>0</v>
      </c>
      <c r="G47">
        <v>0</v>
      </c>
      <c r="H47">
        <v>0</v>
      </c>
      <c r="I47">
        <v>0</v>
      </c>
      <c r="J47" s="92">
        <v>20</v>
      </c>
    </row>
    <row r="48" spans="1:10" x14ac:dyDescent="0.3">
      <c r="A48" s="92">
        <v>2700</v>
      </c>
      <c r="B48">
        <v>2700</v>
      </c>
      <c r="C48">
        <v>0</v>
      </c>
      <c r="D48">
        <v>0</v>
      </c>
      <c r="E48">
        <v>1112</v>
      </c>
      <c r="F48">
        <v>0</v>
      </c>
      <c r="G48">
        <v>0</v>
      </c>
      <c r="H48">
        <v>0</v>
      </c>
      <c r="I48">
        <v>0</v>
      </c>
      <c r="J48" s="92">
        <v>1112</v>
      </c>
    </row>
    <row r="49" spans="1:10" x14ac:dyDescent="0.3">
      <c r="A49" s="92">
        <v>2725</v>
      </c>
      <c r="B49">
        <v>2725</v>
      </c>
      <c r="C49">
        <v>0</v>
      </c>
      <c r="D49">
        <v>0</v>
      </c>
      <c r="E49">
        <v>0</v>
      </c>
      <c r="F49">
        <v>0</v>
      </c>
      <c r="G49">
        <v>0</v>
      </c>
      <c r="H49">
        <v>0</v>
      </c>
      <c r="I49">
        <v>0</v>
      </c>
      <c r="J49" s="92">
        <v>0</v>
      </c>
    </row>
    <row r="50" spans="1:10" x14ac:dyDescent="0.3">
      <c r="A50" s="92">
        <v>2750</v>
      </c>
      <c r="B50">
        <v>2750</v>
      </c>
      <c r="C50">
        <v>0</v>
      </c>
      <c r="D50">
        <v>0</v>
      </c>
      <c r="E50">
        <v>0</v>
      </c>
      <c r="F50">
        <v>0</v>
      </c>
      <c r="G50">
        <v>0</v>
      </c>
      <c r="H50">
        <v>0</v>
      </c>
      <c r="I50">
        <v>0</v>
      </c>
      <c r="J50" s="92">
        <v>0</v>
      </c>
    </row>
    <row r="51" spans="1:10" x14ac:dyDescent="0.3">
      <c r="A51" s="92">
        <v>2775</v>
      </c>
      <c r="B51">
        <v>2775</v>
      </c>
      <c r="C51">
        <v>0</v>
      </c>
      <c r="D51">
        <v>0</v>
      </c>
      <c r="E51">
        <v>80</v>
      </c>
      <c r="F51">
        <v>0</v>
      </c>
      <c r="G51">
        <v>0</v>
      </c>
      <c r="H51">
        <v>0</v>
      </c>
      <c r="I51">
        <v>0</v>
      </c>
      <c r="J51" s="92">
        <v>80</v>
      </c>
    </row>
    <row r="52" spans="1:10" x14ac:dyDescent="0.3">
      <c r="A52" s="92">
        <v>2800</v>
      </c>
      <c r="B52">
        <v>2800</v>
      </c>
      <c r="C52">
        <v>0</v>
      </c>
      <c r="D52">
        <v>0</v>
      </c>
      <c r="E52">
        <v>404</v>
      </c>
      <c r="F52">
        <v>0</v>
      </c>
      <c r="G52">
        <v>0</v>
      </c>
      <c r="H52">
        <v>0</v>
      </c>
      <c r="I52">
        <v>0</v>
      </c>
      <c r="J52" s="92">
        <v>404</v>
      </c>
    </row>
    <row r="53" spans="1:10" x14ac:dyDescent="0.3">
      <c r="A53" s="92">
        <v>2825</v>
      </c>
      <c r="B53">
        <v>2825</v>
      </c>
      <c r="C53">
        <v>0</v>
      </c>
      <c r="D53">
        <v>0</v>
      </c>
      <c r="E53">
        <v>0</v>
      </c>
      <c r="F53">
        <v>0</v>
      </c>
      <c r="G53">
        <v>0</v>
      </c>
      <c r="H53">
        <v>0</v>
      </c>
      <c r="I53">
        <v>0</v>
      </c>
      <c r="J53" s="92">
        <v>0</v>
      </c>
    </row>
    <row r="54" spans="1:10" x14ac:dyDescent="0.3">
      <c r="A54" s="92">
        <v>2850</v>
      </c>
      <c r="B54">
        <v>2850</v>
      </c>
      <c r="C54">
        <v>0</v>
      </c>
      <c r="D54">
        <v>0</v>
      </c>
      <c r="E54">
        <v>0</v>
      </c>
      <c r="F54">
        <v>0</v>
      </c>
      <c r="G54">
        <v>0</v>
      </c>
      <c r="H54">
        <v>0</v>
      </c>
      <c r="I54">
        <v>0</v>
      </c>
      <c r="J54" s="92">
        <v>0</v>
      </c>
    </row>
    <row r="55" spans="1:10" x14ac:dyDescent="0.3">
      <c r="A55" s="92">
        <v>2875</v>
      </c>
      <c r="B55">
        <v>2875</v>
      </c>
      <c r="C55">
        <v>0</v>
      </c>
      <c r="D55">
        <v>0</v>
      </c>
      <c r="E55">
        <v>301</v>
      </c>
      <c r="F55">
        <v>0</v>
      </c>
      <c r="G55">
        <v>0</v>
      </c>
      <c r="H55">
        <v>0</v>
      </c>
      <c r="I55">
        <v>0</v>
      </c>
      <c r="J55" s="92">
        <v>301</v>
      </c>
    </row>
    <row r="56" spans="1:10" x14ac:dyDescent="0.3">
      <c r="A56" s="92">
        <v>2900</v>
      </c>
      <c r="B56">
        <v>2900</v>
      </c>
      <c r="C56">
        <v>0</v>
      </c>
      <c r="D56">
        <v>0</v>
      </c>
      <c r="E56">
        <v>280</v>
      </c>
      <c r="F56">
        <v>0</v>
      </c>
      <c r="G56">
        <v>0</v>
      </c>
      <c r="H56">
        <v>0</v>
      </c>
      <c r="I56">
        <v>0</v>
      </c>
      <c r="J56" s="92">
        <v>280</v>
      </c>
    </row>
    <row r="57" spans="1:10" x14ac:dyDescent="0.3">
      <c r="A57" s="92">
        <v>2925</v>
      </c>
      <c r="B57">
        <v>2925</v>
      </c>
      <c r="C57">
        <v>0</v>
      </c>
      <c r="D57">
        <v>0</v>
      </c>
      <c r="E57">
        <v>0</v>
      </c>
      <c r="F57">
        <v>0</v>
      </c>
      <c r="G57">
        <v>0</v>
      </c>
      <c r="H57">
        <v>0</v>
      </c>
      <c r="I57">
        <v>0</v>
      </c>
      <c r="J57" s="92">
        <v>0</v>
      </c>
    </row>
    <row r="58" spans="1:10" x14ac:dyDescent="0.3">
      <c r="A58" s="92">
        <v>2950</v>
      </c>
      <c r="B58">
        <v>2950</v>
      </c>
      <c r="C58">
        <v>0</v>
      </c>
      <c r="D58">
        <v>0</v>
      </c>
      <c r="E58">
        <v>20</v>
      </c>
      <c r="F58">
        <v>0</v>
      </c>
      <c r="G58">
        <v>0</v>
      </c>
      <c r="H58">
        <v>0</v>
      </c>
      <c r="I58">
        <v>0</v>
      </c>
      <c r="J58" s="92">
        <v>20</v>
      </c>
    </row>
    <row r="59" spans="1:10" x14ac:dyDescent="0.3">
      <c r="A59" s="92">
        <v>2975</v>
      </c>
      <c r="B59">
        <v>2975</v>
      </c>
      <c r="C59">
        <v>0</v>
      </c>
      <c r="D59">
        <v>0</v>
      </c>
      <c r="E59">
        <v>0</v>
      </c>
      <c r="F59">
        <v>0</v>
      </c>
      <c r="G59">
        <v>0</v>
      </c>
      <c r="H59">
        <v>0</v>
      </c>
      <c r="I59">
        <v>0</v>
      </c>
      <c r="J59" s="92">
        <v>0</v>
      </c>
    </row>
    <row r="60" spans="1:10" x14ac:dyDescent="0.3">
      <c r="A60" s="92">
        <v>3000</v>
      </c>
      <c r="B60">
        <v>3000</v>
      </c>
      <c r="C60">
        <v>0</v>
      </c>
      <c r="D60">
        <v>0</v>
      </c>
      <c r="E60">
        <v>1485</v>
      </c>
      <c r="F60">
        <v>0</v>
      </c>
      <c r="G60">
        <v>0</v>
      </c>
      <c r="H60">
        <v>0</v>
      </c>
      <c r="I60">
        <v>0</v>
      </c>
      <c r="J60" s="92">
        <v>1485</v>
      </c>
    </row>
    <row r="61" spans="1:10" x14ac:dyDescent="0.3">
      <c r="A61" s="92">
        <v>3025</v>
      </c>
      <c r="B61">
        <v>3025</v>
      </c>
      <c r="C61">
        <v>0</v>
      </c>
      <c r="D61">
        <v>0</v>
      </c>
      <c r="E61">
        <v>0</v>
      </c>
      <c r="F61">
        <v>0</v>
      </c>
      <c r="G61">
        <v>0</v>
      </c>
      <c r="H61">
        <v>0</v>
      </c>
      <c r="I61">
        <v>0</v>
      </c>
      <c r="J61" s="92">
        <v>0</v>
      </c>
    </row>
    <row r="62" spans="1:10" x14ac:dyDescent="0.3">
      <c r="A62" s="92">
        <v>3050</v>
      </c>
      <c r="B62">
        <v>3050</v>
      </c>
      <c r="C62">
        <v>0</v>
      </c>
      <c r="D62">
        <v>0</v>
      </c>
      <c r="E62">
        <v>250</v>
      </c>
      <c r="F62">
        <v>0</v>
      </c>
      <c r="G62">
        <v>0</v>
      </c>
      <c r="H62">
        <v>0</v>
      </c>
      <c r="I62">
        <v>0</v>
      </c>
      <c r="J62" s="92">
        <v>250</v>
      </c>
    </row>
    <row r="63" spans="1:10" x14ac:dyDescent="0.3">
      <c r="A63" s="92">
        <v>3075</v>
      </c>
      <c r="B63">
        <v>3075</v>
      </c>
      <c r="C63">
        <v>0</v>
      </c>
      <c r="D63">
        <v>0</v>
      </c>
      <c r="E63">
        <v>0</v>
      </c>
      <c r="F63">
        <v>0</v>
      </c>
      <c r="G63">
        <v>0</v>
      </c>
      <c r="H63">
        <v>0</v>
      </c>
      <c r="I63">
        <v>0</v>
      </c>
      <c r="J63" s="92">
        <v>0</v>
      </c>
    </row>
    <row r="64" spans="1:10" x14ac:dyDescent="0.3">
      <c r="A64" s="92">
        <v>3100</v>
      </c>
      <c r="B64">
        <v>3100</v>
      </c>
      <c r="C64">
        <v>0</v>
      </c>
      <c r="D64">
        <v>0</v>
      </c>
      <c r="E64">
        <v>361</v>
      </c>
      <c r="F64">
        <v>0</v>
      </c>
      <c r="G64">
        <v>0</v>
      </c>
      <c r="H64">
        <v>0</v>
      </c>
      <c r="I64">
        <v>0</v>
      </c>
      <c r="J64" s="92">
        <v>361</v>
      </c>
    </row>
    <row r="65" spans="1:10" x14ac:dyDescent="0.3">
      <c r="A65" s="92">
        <v>3125</v>
      </c>
      <c r="B65">
        <v>3125</v>
      </c>
      <c r="C65">
        <v>0</v>
      </c>
      <c r="D65">
        <v>0</v>
      </c>
      <c r="E65">
        <v>40</v>
      </c>
      <c r="F65">
        <v>0</v>
      </c>
      <c r="G65">
        <v>0</v>
      </c>
      <c r="H65">
        <v>0</v>
      </c>
      <c r="I65">
        <v>0</v>
      </c>
      <c r="J65" s="92">
        <v>40</v>
      </c>
    </row>
    <row r="66" spans="1:10" x14ac:dyDescent="0.3">
      <c r="A66" s="92">
        <v>3150</v>
      </c>
      <c r="B66">
        <v>3150</v>
      </c>
      <c r="C66">
        <v>0</v>
      </c>
      <c r="D66">
        <v>0</v>
      </c>
      <c r="E66">
        <v>224</v>
      </c>
      <c r="F66">
        <v>0</v>
      </c>
      <c r="G66">
        <v>0</v>
      </c>
      <c r="H66">
        <v>0</v>
      </c>
      <c r="I66">
        <v>0</v>
      </c>
      <c r="J66" s="92">
        <v>224</v>
      </c>
    </row>
    <row r="67" spans="1:10" x14ac:dyDescent="0.3">
      <c r="A67" s="92">
        <v>3175</v>
      </c>
      <c r="B67">
        <v>3175</v>
      </c>
      <c r="C67">
        <v>0</v>
      </c>
      <c r="D67">
        <v>0</v>
      </c>
      <c r="E67">
        <v>0</v>
      </c>
      <c r="F67">
        <v>0</v>
      </c>
      <c r="G67">
        <v>0</v>
      </c>
      <c r="H67">
        <v>0</v>
      </c>
      <c r="I67">
        <v>0</v>
      </c>
      <c r="J67" s="92">
        <v>0</v>
      </c>
    </row>
    <row r="68" spans="1:10" x14ac:dyDescent="0.3">
      <c r="A68" s="92">
        <v>3200</v>
      </c>
      <c r="B68">
        <v>3200</v>
      </c>
      <c r="C68">
        <v>0</v>
      </c>
      <c r="D68">
        <v>0</v>
      </c>
      <c r="E68">
        <v>763</v>
      </c>
      <c r="F68">
        <v>0</v>
      </c>
      <c r="G68">
        <v>0</v>
      </c>
      <c r="H68">
        <v>0</v>
      </c>
      <c r="I68">
        <v>0</v>
      </c>
      <c r="J68" s="92">
        <v>763</v>
      </c>
    </row>
    <row r="69" spans="1:10" x14ac:dyDescent="0.3">
      <c r="A69" s="92">
        <v>3225</v>
      </c>
      <c r="B69">
        <v>3225</v>
      </c>
      <c r="C69">
        <v>0</v>
      </c>
      <c r="D69">
        <v>0</v>
      </c>
      <c r="E69">
        <v>0</v>
      </c>
      <c r="F69">
        <v>0</v>
      </c>
      <c r="G69">
        <v>0</v>
      </c>
      <c r="H69">
        <v>0</v>
      </c>
      <c r="I69">
        <v>0</v>
      </c>
      <c r="J69" s="92">
        <v>0</v>
      </c>
    </row>
    <row r="70" spans="1:10" x14ac:dyDescent="0.3">
      <c r="A70" s="92">
        <v>3250</v>
      </c>
      <c r="B70">
        <v>3250</v>
      </c>
      <c r="C70">
        <v>0</v>
      </c>
      <c r="D70">
        <v>0</v>
      </c>
      <c r="E70">
        <v>4143</v>
      </c>
      <c r="F70">
        <v>0</v>
      </c>
      <c r="G70">
        <v>0</v>
      </c>
      <c r="H70">
        <v>0</v>
      </c>
      <c r="I70">
        <v>0</v>
      </c>
      <c r="J70" s="92">
        <v>4143</v>
      </c>
    </row>
    <row r="71" spans="1:10" x14ac:dyDescent="0.3">
      <c r="A71" s="92">
        <v>3275</v>
      </c>
      <c r="B71">
        <v>3275</v>
      </c>
      <c r="C71">
        <v>0</v>
      </c>
      <c r="D71">
        <v>0</v>
      </c>
      <c r="E71">
        <v>0</v>
      </c>
      <c r="F71">
        <v>0</v>
      </c>
      <c r="G71">
        <v>0</v>
      </c>
      <c r="H71">
        <v>0</v>
      </c>
      <c r="I71">
        <v>0</v>
      </c>
      <c r="J71" s="92">
        <v>0</v>
      </c>
    </row>
    <row r="72" spans="1:10" x14ac:dyDescent="0.3">
      <c r="A72" s="92">
        <v>3300</v>
      </c>
      <c r="B72">
        <v>3300</v>
      </c>
      <c r="C72">
        <v>0</v>
      </c>
      <c r="D72">
        <v>0</v>
      </c>
      <c r="E72">
        <v>3141</v>
      </c>
      <c r="F72">
        <v>0</v>
      </c>
      <c r="G72">
        <v>0</v>
      </c>
      <c r="H72">
        <v>0</v>
      </c>
      <c r="I72">
        <v>0</v>
      </c>
      <c r="J72" s="92">
        <v>3141</v>
      </c>
    </row>
    <row r="73" spans="1:10" x14ac:dyDescent="0.3">
      <c r="A73" s="92">
        <v>3325</v>
      </c>
      <c r="B73">
        <v>3325</v>
      </c>
      <c r="C73">
        <v>0</v>
      </c>
      <c r="D73">
        <v>0</v>
      </c>
      <c r="E73">
        <v>33</v>
      </c>
      <c r="F73">
        <v>0</v>
      </c>
      <c r="G73">
        <v>0</v>
      </c>
      <c r="H73">
        <v>0</v>
      </c>
      <c r="I73">
        <v>0</v>
      </c>
      <c r="J73" s="92">
        <v>33</v>
      </c>
    </row>
    <row r="74" spans="1:10" x14ac:dyDescent="0.3">
      <c r="A74" s="92">
        <v>3350</v>
      </c>
      <c r="B74">
        <v>3350</v>
      </c>
      <c r="C74">
        <v>0</v>
      </c>
      <c r="D74">
        <v>2</v>
      </c>
      <c r="E74">
        <v>5651</v>
      </c>
      <c r="F74">
        <v>840.4</v>
      </c>
      <c r="G74">
        <v>840.4</v>
      </c>
      <c r="H74">
        <v>840.4</v>
      </c>
      <c r="I74">
        <v>840.4</v>
      </c>
      <c r="J74" s="92">
        <v>5651</v>
      </c>
    </row>
    <row r="75" spans="1:10" x14ac:dyDescent="0.3">
      <c r="A75" s="92">
        <v>3375</v>
      </c>
      <c r="B75">
        <v>3375</v>
      </c>
      <c r="C75">
        <v>0</v>
      </c>
      <c r="D75">
        <v>0</v>
      </c>
      <c r="E75">
        <v>4</v>
      </c>
      <c r="F75">
        <v>0</v>
      </c>
      <c r="G75">
        <v>0</v>
      </c>
      <c r="H75">
        <v>0</v>
      </c>
      <c r="I75">
        <v>0</v>
      </c>
      <c r="J75" s="92">
        <v>4</v>
      </c>
    </row>
    <row r="76" spans="1:10" x14ac:dyDescent="0.3">
      <c r="A76" s="92">
        <v>3400</v>
      </c>
      <c r="B76">
        <v>3400</v>
      </c>
      <c r="C76">
        <v>0</v>
      </c>
      <c r="D76">
        <v>0</v>
      </c>
      <c r="E76">
        <v>12105</v>
      </c>
      <c r="F76">
        <v>0</v>
      </c>
      <c r="G76">
        <v>0</v>
      </c>
      <c r="H76">
        <v>0</v>
      </c>
      <c r="I76">
        <v>0</v>
      </c>
      <c r="J76" s="92">
        <v>12105</v>
      </c>
    </row>
    <row r="77" spans="1:10" x14ac:dyDescent="0.3">
      <c r="A77" s="92">
        <v>3425</v>
      </c>
      <c r="B77">
        <v>3425</v>
      </c>
      <c r="C77">
        <v>0</v>
      </c>
      <c r="D77">
        <v>0</v>
      </c>
      <c r="E77">
        <v>1</v>
      </c>
      <c r="F77">
        <v>0</v>
      </c>
      <c r="G77">
        <v>0</v>
      </c>
      <c r="H77">
        <v>0</v>
      </c>
      <c r="I77">
        <v>0</v>
      </c>
      <c r="J77" s="92">
        <v>1</v>
      </c>
    </row>
    <row r="78" spans="1:10" x14ac:dyDescent="0.3">
      <c r="A78" s="92">
        <v>3450</v>
      </c>
      <c r="B78">
        <v>3450</v>
      </c>
      <c r="C78">
        <v>0</v>
      </c>
      <c r="D78">
        <v>0</v>
      </c>
      <c r="E78">
        <v>385</v>
      </c>
      <c r="F78">
        <v>0</v>
      </c>
      <c r="G78">
        <v>0</v>
      </c>
      <c r="H78">
        <v>0</v>
      </c>
      <c r="I78">
        <v>0</v>
      </c>
      <c r="J78" s="92">
        <v>385</v>
      </c>
    </row>
    <row r="79" spans="1:10" x14ac:dyDescent="0.3">
      <c r="A79" s="92">
        <v>3475</v>
      </c>
      <c r="B79">
        <v>3475</v>
      </c>
      <c r="C79">
        <v>0</v>
      </c>
      <c r="D79">
        <v>0</v>
      </c>
      <c r="E79">
        <v>0</v>
      </c>
      <c r="F79">
        <v>0</v>
      </c>
      <c r="G79">
        <v>0</v>
      </c>
      <c r="H79">
        <v>0</v>
      </c>
      <c r="I79">
        <v>0</v>
      </c>
      <c r="J79" s="92">
        <v>0</v>
      </c>
    </row>
    <row r="80" spans="1:10" x14ac:dyDescent="0.3">
      <c r="A80" s="92">
        <v>3500</v>
      </c>
      <c r="B80">
        <v>3500</v>
      </c>
      <c r="C80">
        <v>0</v>
      </c>
      <c r="D80">
        <v>0</v>
      </c>
      <c r="E80">
        <v>15586</v>
      </c>
      <c r="F80">
        <v>0</v>
      </c>
      <c r="G80">
        <v>0</v>
      </c>
      <c r="H80">
        <v>0</v>
      </c>
      <c r="I80">
        <v>0</v>
      </c>
      <c r="J80" s="92">
        <v>15586</v>
      </c>
    </row>
    <row r="81" spans="1:10" x14ac:dyDescent="0.3">
      <c r="A81" s="92">
        <v>3525</v>
      </c>
      <c r="B81">
        <v>3525</v>
      </c>
      <c r="C81">
        <v>0</v>
      </c>
      <c r="D81">
        <v>0</v>
      </c>
      <c r="E81">
        <v>98</v>
      </c>
      <c r="F81">
        <v>0</v>
      </c>
      <c r="G81">
        <v>0</v>
      </c>
      <c r="H81">
        <v>0</v>
      </c>
      <c r="I81">
        <v>0</v>
      </c>
      <c r="J81" s="92">
        <v>98</v>
      </c>
    </row>
    <row r="82" spans="1:10" x14ac:dyDescent="0.3">
      <c r="A82" s="92">
        <v>3550</v>
      </c>
      <c r="B82">
        <v>3550</v>
      </c>
      <c r="C82">
        <v>0</v>
      </c>
      <c r="D82">
        <v>0</v>
      </c>
      <c r="E82">
        <v>646</v>
      </c>
      <c r="F82">
        <v>0</v>
      </c>
      <c r="G82">
        <v>0</v>
      </c>
      <c r="H82">
        <v>0</v>
      </c>
      <c r="I82">
        <v>0</v>
      </c>
      <c r="J82" s="92">
        <v>646</v>
      </c>
    </row>
    <row r="83" spans="1:10" x14ac:dyDescent="0.3">
      <c r="A83" s="92">
        <v>3575</v>
      </c>
      <c r="B83">
        <v>3575</v>
      </c>
      <c r="C83">
        <v>0</v>
      </c>
      <c r="D83">
        <v>0</v>
      </c>
      <c r="E83">
        <v>625</v>
      </c>
      <c r="F83">
        <v>0</v>
      </c>
      <c r="G83">
        <v>0</v>
      </c>
      <c r="H83">
        <v>0</v>
      </c>
      <c r="I83">
        <v>0</v>
      </c>
      <c r="J83" s="92">
        <v>625</v>
      </c>
    </row>
    <row r="84" spans="1:10" x14ac:dyDescent="0.3">
      <c r="A84" s="92">
        <v>3600</v>
      </c>
      <c r="B84">
        <v>3600</v>
      </c>
      <c r="C84">
        <v>0</v>
      </c>
      <c r="D84">
        <v>0</v>
      </c>
      <c r="E84">
        <v>11855</v>
      </c>
      <c r="F84">
        <v>0</v>
      </c>
      <c r="G84">
        <v>0</v>
      </c>
      <c r="H84">
        <v>0</v>
      </c>
      <c r="I84">
        <v>0</v>
      </c>
      <c r="J84" s="92">
        <v>11855</v>
      </c>
    </row>
    <row r="85" spans="1:10" x14ac:dyDescent="0.3">
      <c r="A85" s="92">
        <v>3625</v>
      </c>
      <c r="B85">
        <v>3625</v>
      </c>
      <c r="C85">
        <v>0</v>
      </c>
      <c r="D85">
        <v>0</v>
      </c>
      <c r="E85">
        <v>52</v>
      </c>
      <c r="F85">
        <v>0</v>
      </c>
      <c r="G85">
        <v>0</v>
      </c>
      <c r="H85">
        <v>0</v>
      </c>
      <c r="I85">
        <v>0</v>
      </c>
      <c r="J85" s="92">
        <v>52</v>
      </c>
    </row>
    <row r="86" spans="1:10" x14ac:dyDescent="0.3">
      <c r="A86" s="92">
        <v>3650</v>
      </c>
      <c r="B86">
        <v>3650</v>
      </c>
      <c r="C86">
        <v>0</v>
      </c>
      <c r="D86">
        <v>0</v>
      </c>
      <c r="E86">
        <v>745</v>
      </c>
      <c r="F86">
        <v>0</v>
      </c>
      <c r="G86">
        <v>0</v>
      </c>
      <c r="H86">
        <v>0</v>
      </c>
      <c r="I86">
        <v>0</v>
      </c>
      <c r="J86" s="92">
        <v>745</v>
      </c>
    </row>
    <row r="87" spans="1:10" x14ac:dyDescent="0.3">
      <c r="A87" s="92">
        <v>3675</v>
      </c>
      <c r="B87">
        <v>3675</v>
      </c>
      <c r="C87">
        <v>0</v>
      </c>
      <c r="D87">
        <v>0</v>
      </c>
      <c r="E87">
        <v>0</v>
      </c>
      <c r="F87">
        <v>0</v>
      </c>
      <c r="G87">
        <v>0</v>
      </c>
      <c r="H87">
        <v>0</v>
      </c>
      <c r="I87">
        <v>0</v>
      </c>
      <c r="J87" s="92">
        <v>0</v>
      </c>
    </row>
    <row r="88" spans="1:10" x14ac:dyDescent="0.3">
      <c r="A88" s="92">
        <v>3700</v>
      </c>
      <c r="B88">
        <v>3700</v>
      </c>
      <c r="C88">
        <v>0</v>
      </c>
      <c r="D88">
        <v>180</v>
      </c>
      <c r="E88">
        <v>14829</v>
      </c>
      <c r="F88">
        <v>540.4</v>
      </c>
      <c r="G88">
        <v>540.4</v>
      </c>
      <c r="H88">
        <v>540.4</v>
      </c>
      <c r="I88">
        <v>540.4</v>
      </c>
      <c r="J88" s="92">
        <v>14829</v>
      </c>
    </row>
    <row r="89" spans="1:10" x14ac:dyDescent="0.3">
      <c r="A89" s="92">
        <v>3725</v>
      </c>
      <c r="B89">
        <v>3725</v>
      </c>
      <c r="C89">
        <v>0</v>
      </c>
      <c r="D89">
        <v>0</v>
      </c>
      <c r="E89">
        <v>42</v>
      </c>
      <c r="F89">
        <v>0</v>
      </c>
      <c r="G89">
        <v>0</v>
      </c>
      <c r="H89">
        <v>0</v>
      </c>
      <c r="I89">
        <v>0</v>
      </c>
      <c r="J89" s="92">
        <v>42</v>
      </c>
    </row>
    <row r="90" spans="1:10" x14ac:dyDescent="0.3">
      <c r="A90" s="92">
        <v>3750</v>
      </c>
      <c r="B90">
        <v>3750</v>
      </c>
      <c r="C90">
        <v>0</v>
      </c>
      <c r="D90">
        <v>0</v>
      </c>
      <c r="E90">
        <v>9536</v>
      </c>
      <c r="F90">
        <v>0</v>
      </c>
      <c r="G90">
        <v>0</v>
      </c>
      <c r="H90">
        <v>0</v>
      </c>
      <c r="I90">
        <v>0</v>
      </c>
      <c r="J90" s="92">
        <v>9536</v>
      </c>
    </row>
    <row r="91" spans="1:10" x14ac:dyDescent="0.3">
      <c r="A91" s="92">
        <v>3775</v>
      </c>
      <c r="B91">
        <v>3775</v>
      </c>
      <c r="C91">
        <v>0</v>
      </c>
      <c r="D91">
        <v>3</v>
      </c>
      <c r="E91">
        <v>135</v>
      </c>
      <c r="F91">
        <v>442.3</v>
      </c>
      <c r="G91">
        <v>442.3</v>
      </c>
      <c r="H91">
        <v>442.3</v>
      </c>
      <c r="I91">
        <v>442.3</v>
      </c>
      <c r="J91" s="92">
        <v>135</v>
      </c>
    </row>
    <row r="92" spans="1:10" x14ac:dyDescent="0.3">
      <c r="A92" s="92">
        <v>3800</v>
      </c>
      <c r="B92">
        <v>3800</v>
      </c>
      <c r="C92">
        <v>0</v>
      </c>
      <c r="D92">
        <v>1</v>
      </c>
      <c r="E92">
        <v>10560</v>
      </c>
      <c r="F92">
        <v>0</v>
      </c>
      <c r="G92">
        <v>0</v>
      </c>
      <c r="H92">
        <v>0</v>
      </c>
      <c r="I92">
        <v>0</v>
      </c>
      <c r="J92" s="92">
        <v>10560</v>
      </c>
    </row>
    <row r="93" spans="1:10" x14ac:dyDescent="0.3">
      <c r="A93" s="92">
        <v>3825</v>
      </c>
      <c r="B93">
        <v>3825</v>
      </c>
      <c r="C93">
        <v>0</v>
      </c>
      <c r="D93">
        <v>0</v>
      </c>
      <c r="E93">
        <v>44</v>
      </c>
      <c r="F93">
        <v>0</v>
      </c>
      <c r="G93">
        <v>0</v>
      </c>
      <c r="H93">
        <v>0</v>
      </c>
      <c r="I93">
        <v>0</v>
      </c>
      <c r="J93" s="92">
        <v>44</v>
      </c>
    </row>
    <row r="94" spans="1:10" x14ac:dyDescent="0.3">
      <c r="A94" s="92">
        <v>3850</v>
      </c>
      <c r="B94">
        <v>3850</v>
      </c>
      <c r="C94">
        <v>0</v>
      </c>
      <c r="D94">
        <v>0</v>
      </c>
      <c r="E94">
        <v>13234</v>
      </c>
      <c r="F94">
        <v>0</v>
      </c>
      <c r="G94">
        <v>0</v>
      </c>
      <c r="H94">
        <v>0</v>
      </c>
      <c r="I94">
        <v>0</v>
      </c>
      <c r="J94" s="92">
        <v>13234</v>
      </c>
    </row>
    <row r="95" spans="1:10" x14ac:dyDescent="0.3">
      <c r="A95" s="92">
        <v>3875</v>
      </c>
      <c r="B95">
        <v>3875</v>
      </c>
      <c r="C95">
        <v>0</v>
      </c>
      <c r="D95">
        <v>4</v>
      </c>
      <c r="E95">
        <v>494</v>
      </c>
      <c r="F95">
        <v>341.4</v>
      </c>
      <c r="G95">
        <v>341.4</v>
      </c>
      <c r="H95">
        <v>341.4</v>
      </c>
      <c r="I95">
        <v>341.4</v>
      </c>
      <c r="J95" s="92">
        <v>494</v>
      </c>
    </row>
    <row r="96" spans="1:10" x14ac:dyDescent="0.3">
      <c r="A96" s="92">
        <v>3900</v>
      </c>
      <c r="B96">
        <v>3900</v>
      </c>
      <c r="C96">
        <v>0</v>
      </c>
      <c r="D96">
        <v>0</v>
      </c>
      <c r="E96">
        <v>26935</v>
      </c>
      <c r="F96">
        <v>0</v>
      </c>
      <c r="G96">
        <v>0</v>
      </c>
      <c r="H96">
        <v>0</v>
      </c>
      <c r="I96">
        <v>0</v>
      </c>
      <c r="J96" s="92">
        <v>26935</v>
      </c>
    </row>
    <row r="97" spans="1:10" x14ac:dyDescent="0.3">
      <c r="A97" s="92">
        <v>3925</v>
      </c>
      <c r="B97">
        <v>3925</v>
      </c>
      <c r="C97">
        <v>0</v>
      </c>
      <c r="D97">
        <v>0</v>
      </c>
      <c r="E97">
        <v>398</v>
      </c>
      <c r="F97">
        <v>0</v>
      </c>
      <c r="G97">
        <v>0</v>
      </c>
      <c r="H97">
        <v>0</v>
      </c>
      <c r="I97">
        <v>0</v>
      </c>
      <c r="J97" s="92">
        <v>398</v>
      </c>
    </row>
    <row r="98" spans="1:10" x14ac:dyDescent="0.3">
      <c r="A98" s="92">
        <v>3950</v>
      </c>
      <c r="B98">
        <v>3950</v>
      </c>
      <c r="C98">
        <v>0</v>
      </c>
      <c r="D98">
        <v>0</v>
      </c>
      <c r="E98">
        <v>12490</v>
      </c>
      <c r="F98">
        <v>0</v>
      </c>
      <c r="G98">
        <v>0</v>
      </c>
      <c r="H98">
        <v>0</v>
      </c>
      <c r="I98">
        <v>0</v>
      </c>
      <c r="J98" s="92">
        <v>12490</v>
      </c>
    </row>
    <row r="99" spans="1:10" x14ac:dyDescent="0.3">
      <c r="A99" s="92">
        <v>3975</v>
      </c>
      <c r="B99">
        <v>3975</v>
      </c>
      <c r="C99">
        <v>0</v>
      </c>
      <c r="D99">
        <v>0</v>
      </c>
      <c r="E99">
        <v>266</v>
      </c>
      <c r="F99">
        <v>0</v>
      </c>
      <c r="G99">
        <v>0</v>
      </c>
      <c r="H99">
        <v>0</v>
      </c>
      <c r="I99">
        <v>0</v>
      </c>
      <c r="J99" s="92">
        <v>266</v>
      </c>
    </row>
    <row r="100" spans="1:10" x14ac:dyDescent="0.3">
      <c r="A100" s="92">
        <v>4000</v>
      </c>
      <c r="B100">
        <v>4000</v>
      </c>
      <c r="C100">
        <v>0</v>
      </c>
      <c r="D100">
        <v>12</v>
      </c>
      <c r="E100">
        <v>53615</v>
      </c>
      <c r="F100">
        <v>206.1</v>
      </c>
      <c r="G100">
        <v>212.5</v>
      </c>
      <c r="H100">
        <v>206</v>
      </c>
      <c r="I100">
        <v>212.5</v>
      </c>
      <c r="J100" s="92">
        <v>53615</v>
      </c>
    </row>
    <row r="101" spans="1:10" x14ac:dyDescent="0.3">
      <c r="A101" s="92">
        <v>4025</v>
      </c>
      <c r="B101">
        <v>4025</v>
      </c>
      <c r="C101">
        <v>0</v>
      </c>
      <c r="D101">
        <v>451</v>
      </c>
      <c r="E101">
        <v>753</v>
      </c>
      <c r="F101">
        <v>167</v>
      </c>
      <c r="G101">
        <v>167</v>
      </c>
      <c r="H101">
        <v>167</v>
      </c>
      <c r="I101">
        <v>167</v>
      </c>
      <c r="J101" s="92">
        <v>753</v>
      </c>
    </row>
    <row r="102" spans="1:10" x14ac:dyDescent="0.3">
      <c r="A102" s="92">
        <v>4050</v>
      </c>
      <c r="B102">
        <v>4050</v>
      </c>
      <c r="C102">
        <v>0</v>
      </c>
      <c r="D102">
        <v>4</v>
      </c>
      <c r="E102">
        <v>12109</v>
      </c>
      <c r="F102">
        <v>150.4</v>
      </c>
      <c r="G102">
        <v>150.4</v>
      </c>
      <c r="H102">
        <v>150.4</v>
      </c>
      <c r="I102">
        <v>150.4</v>
      </c>
      <c r="J102" s="92">
        <v>12109</v>
      </c>
    </row>
    <row r="103" spans="1:10" x14ac:dyDescent="0.3">
      <c r="A103" s="92">
        <v>4075</v>
      </c>
      <c r="B103">
        <v>4075</v>
      </c>
      <c r="C103">
        <v>0</v>
      </c>
      <c r="D103">
        <v>0</v>
      </c>
      <c r="E103">
        <v>1792</v>
      </c>
      <c r="F103">
        <v>0</v>
      </c>
      <c r="G103">
        <v>0</v>
      </c>
      <c r="H103">
        <v>0</v>
      </c>
      <c r="I103">
        <v>0</v>
      </c>
      <c r="J103" s="92">
        <v>1792</v>
      </c>
    </row>
    <row r="104" spans="1:10" x14ac:dyDescent="0.3">
      <c r="A104" s="92">
        <v>4100</v>
      </c>
      <c r="B104">
        <v>4100</v>
      </c>
      <c r="C104">
        <v>0</v>
      </c>
      <c r="D104">
        <v>422</v>
      </c>
      <c r="E104">
        <v>30090</v>
      </c>
      <c r="F104">
        <v>0</v>
      </c>
      <c r="G104">
        <v>0</v>
      </c>
      <c r="H104">
        <v>0</v>
      </c>
      <c r="I104">
        <v>0</v>
      </c>
      <c r="J104" s="92">
        <v>30090</v>
      </c>
    </row>
    <row r="105" spans="1:10" x14ac:dyDescent="0.3">
      <c r="A105" s="92">
        <v>4125</v>
      </c>
      <c r="B105">
        <v>4125</v>
      </c>
      <c r="C105">
        <v>0</v>
      </c>
      <c r="D105">
        <v>27</v>
      </c>
      <c r="E105">
        <v>6545</v>
      </c>
      <c r="F105">
        <v>85.4</v>
      </c>
      <c r="G105">
        <v>92.8</v>
      </c>
      <c r="H105">
        <v>85.4</v>
      </c>
      <c r="I105">
        <v>92.8</v>
      </c>
      <c r="J105" s="92">
        <v>6545</v>
      </c>
    </row>
    <row r="106" spans="1:10" x14ac:dyDescent="0.3">
      <c r="A106" s="92">
        <v>4150</v>
      </c>
      <c r="B106">
        <v>4150</v>
      </c>
      <c r="C106">
        <v>0</v>
      </c>
      <c r="D106">
        <v>3732</v>
      </c>
      <c r="E106">
        <v>16412</v>
      </c>
      <c r="F106">
        <v>60.6</v>
      </c>
      <c r="G106">
        <v>76.5</v>
      </c>
      <c r="H106">
        <v>60.6</v>
      </c>
      <c r="I106">
        <v>76.5</v>
      </c>
      <c r="J106" s="92">
        <v>16412</v>
      </c>
    </row>
    <row r="107" spans="1:10" x14ac:dyDescent="0.3">
      <c r="A107" s="92">
        <v>4175</v>
      </c>
      <c r="B107">
        <v>4175</v>
      </c>
      <c r="C107">
        <v>0</v>
      </c>
      <c r="D107">
        <v>456</v>
      </c>
      <c r="E107">
        <v>2359</v>
      </c>
      <c r="F107">
        <v>75.8</v>
      </c>
      <c r="G107">
        <v>79.7</v>
      </c>
      <c r="H107">
        <v>44.6</v>
      </c>
      <c r="I107">
        <v>79.7</v>
      </c>
      <c r="J107" s="92">
        <v>2359</v>
      </c>
    </row>
    <row r="108" spans="1:10" x14ac:dyDescent="0.3">
      <c r="A108" s="92">
        <v>4200</v>
      </c>
      <c r="B108">
        <v>4200</v>
      </c>
      <c r="C108">
        <v>0</v>
      </c>
      <c r="D108">
        <v>7648</v>
      </c>
      <c r="E108">
        <v>57340</v>
      </c>
      <c r="F108">
        <v>44.2</v>
      </c>
      <c r="G108">
        <v>60.7</v>
      </c>
      <c r="H108">
        <v>31.3</v>
      </c>
      <c r="I108">
        <v>60.7</v>
      </c>
      <c r="J108" s="92">
        <v>57340</v>
      </c>
    </row>
    <row r="109" spans="1:10" x14ac:dyDescent="0.3">
      <c r="A109" s="92">
        <v>4225</v>
      </c>
      <c r="B109">
        <v>4225</v>
      </c>
      <c r="C109">
        <v>0</v>
      </c>
      <c r="D109">
        <v>8026</v>
      </c>
      <c r="E109">
        <v>16484</v>
      </c>
      <c r="F109">
        <v>36.5</v>
      </c>
      <c r="G109">
        <v>44.8</v>
      </c>
      <c r="H109">
        <v>20.9</v>
      </c>
      <c r="I109">
        <v>43.8</v>
      </c>
      <c r="J109" s="92">
        <v>16484</v>
      </c>
    </row>
    <row r="110" spans="1:10" x14ac:dyDescent="0.3">
      <c r="A110" s="92">
        <v>4250</v>
      </c>
      <c r="B110">
        <v>4250</v>
      </c>
      <c r="C110">
        <v>0</v>
      </c>
      <c r="D110">
        <v>16530</v>
      </c>
      <c r="E110">
        <v>36084</v>
      </c>
      <c r="F110">
        <v>31.7</v>
      </c>
      <c r="G110">
        <v>31.7</v>
      </c>
      <c r="H110">
        <v>12.7</v>
      </c>
      <c r="I110">
        <v>29.9</v>
      </c>
      <c r="J110" s="92">
        <v>36084</v>
      </c>
    </row>
    <row r="111" spans="1:10" x14ac:dyDescent="0.3">
      <c r="A111" s="92">
        <v>4275</v>
      </c>
      <c r="B111">
        <v>4275</v>
      </c>
      <c r="C111">
        <v>0</v>
      </c>
      <c r="D111">
        <v>11348</v>
      </c>
      <c r="E111">
        <v>28991</v>
      </c>
      <c r="F111">
        <v>21.9</v>
      </c>
      <c r="G111">
        <v>22.8</v>
      </c>
      <c r="H111">
        <v>7.6</v>
      </c>
      <c r="I111">
        <v>19.600000000000001</v>
      </c>
      <c r="J111" s="92">
        <v>28991</v>
      </c>
    </row>
    <row r="112" spans="1:10" x14ac:dyDescent="0.3">
      <c r="A112" s="92">
        <v>4300</v>
      </c>
      <c r="B112">
        <v>4300</v>
      </c>
      <c r="C112">
        <v>0</v>
      </c>
      <c r="D112">
        <v>23636</v>
      </c>
      <c r="E112">
        <v>107095</v>
      </c>
      <c r="F112">
        <v>13</v>
      </c>
      <c r="G112">
        <v>14.4</v>
      </c>
      <c r="H112">
        <v>4.4000000000000004</v>
      </c>
      <c r="I112">
        <v>11.5</v>
      </c>
      <c r="J112" s="92">
        <v>107095</v>
      </c>
    </row>
    <row r="113" spans="1:10" x14ac:dyDescent="0.3">
      <c r="A113" s="92">
        <v>4325</v>
      </c>
      <c r="B113">
        <v>4325</v>
      </c>
      <c r="C113">
        <v>0</v>
      </c>
      <c r="D113">
        <v>13060</v>
      </c>
      <c r="E113">
        <v>29626</v>
      </c>
      <c r="F113">
        <v>7.4</v>
      </c>
      <c r="G113">
        <v>7.4</v>
      </c>
      <c r="H113">
        <v>2.5</v>
      </c>
      <c r="I113">
        <v>6.6</v>
      </c>
      <c r="J113" s="92">
        <v>29626</v>
      </c>
    </row>
    <row r="114" spans="1:10" x14ac:dyDescent="0.3">
      <c r="A114" s="92">
        <v>4350</v>
      </c>
      <c r="B114">
        <v>4350</v>
      </c>
      <c r="C114">
        <v>0</v>
      </c>
      <c r="D114">
        <v>8550</v>
      </c>
      <c r="E114">
        <v>73062</v>
      </c>
      <c r="F114">
        <v>3.5</v>
      </c>
      <c r="G114">
        <v>3.8</v>
      </c>
      <c r="H114">
        <v>1.5</v>
      </c>
      <c r="I114">
        <v>3.3</v>
      </c>
      <c r="J114" s="92">
        <v>73062</v>
      </c>
    </row>
    <row r="115" spans="1:10" x14ac:dyDescent="0.3">
      <c r="A115" s="92">
        <v>4375</v>
      </c>
      <c r="B115">
        <v>4375</v>
      </c>
      <c r="C115">
        <v>0</v>
      </c>
      <c r="D115">
        <v>9469</v>
      </c>
      <c r="E115">
        <v>27850</v>
      </c>
      <c r="F115">
        <v>2</v>
      </c>
      <c r="G115">
        <v>2.2000000000000002</v>
      </c>
      <c r="H115">
        <v>0.9</v>
      </c>
      <c r="I115">
        <v>1.8</v>
      </c>
      <c r="J115" s="92">
        <v>27850</v>
      </c>
    </row>
    <row r="116" spans="1:10" x14ac:dyDescent="0.3">
      <c r="A116" s="92">
        <v>4400</v>
      </c>
      <c r="B116">
        <v>4400</v>
      </c>
      <c r="C116">
        <v>0</v>
      </c>
      <c r="D116">
        <v>11526</v>
      </c>
      <c r="E116">
        <v>71770</v>
      </c>
      <c r="F116">
        <v>1</v>
      </c>
      <c r="G116">
        <v>1.2</v>
      </c>
      <c r="H116">
        <v>0.7</v>
      </c>
      <c r="I116">
        <v>0.9</v>
      </c>
      <c r="J116" s="92">
        <v>71770</v>
      </c>
    </row>
    <row r="117" spans="1:10" x14ac:dyDescent="0.3">
      <c r="A117" s="92">
        <v>4425</v>
      </c>
      <c r="B117">
        <v>4425</v>
      </c>
      <c r="C117">
        <v>0</v>
      </c>
      <c r="D117">
        <v>5036</v>
      </c>
      <c r="E117">
        <v>18087</v>
      </c>
      <c r="F117">
        <v>0.6</v>
      </c>
      <c r="G117">
        <v>0.6</v>
      </c>
      <c r="H117">
        <v>0.4</v>
      </c>
      <c r="I117">
        <v>0.5</v>
      </c>
      <c r="J117" s="92">
        <v>18087</v>
      </c>
    </row>
    <row r="118" spans="1:10" x14ac:dyDescent="0.3">
      <c r="A118" s="92">
        <v>4450</v>
      </c>
      <c r="B118">
        <v>4450</v>
      </c>
      <c r="C118">
        <v>0</v>
      </c>
      <c r="D118">
        <v>10934</v>
      </c>
      <c r="E118">
        <v>60580</v>
      </c>
      <c r="F118">
        <v>0.5</v>
      </c>
      <c r="G118">
        <v>0.6</v>
      </c>
      <c r="H118">
        <v>0.3</v>
      </c>
      <c r="I118">
        <v>0.3</v>
      </c>
      <c r="J118" s="92">
        <v>60580</v>
      </c>
    </row>
    <row r="119" spans="1:10" x14ac:dyDescent="0.3">
      <c r="A119" s="92">
        <v>4475</v>
      </c>
      <c r="B119">
        <v>4475</v>
      </c>
      <c r="C119">
        <v>0</v>
      </c>
      <c r="D119">
        <v>2340</v>
      </c>
      <c r="E119">
        <v>34246</v>
      </c>
      <c r="F119">
        <v>0.4</v>
      </c>
      <c r="G119">
        <v>0.4</v>
      </c>
      <c r="H119">
        <v>0.3</v>
      </c>
      <c r="I119">
        <v>0.3</v>
      </c>
      <c r="J119" s="92">
        <v>34246</v>
      </c>
    </row>
    <row r="120" spans="1:10" x14ac:dyDescent="0.3">
      <c r="A120" s="92">
        <v>4500</v>
      </c>
      <c r="B120">
        <v>4500</v>
      </c>
      <c r="C120">
        <v>0</v>
      </c>
      <c r="D120">
        <v>1597</v>
      </c>
      <c r="E120">
        <v>156299</v>
      </c>
      <c r="F120">
        <v>0.4</v>
      </c>
      <c r="G120">
        <v>0.4</v>
      </c>
      <c r="H120">
        <v>0.2</v>
      </c>
      <c r="I120">
        <v>0.3</v>
      </c>
      <c r="J120" s="92">
        <v>156299</v>
      </c>
    </row>
    <row r="121" spans="1:10" x14ac:dyDescent="0.3">
      <c r="A121" s="92">
        <v>4525</v>
      </c>
      <c r="B121">
        <v>4525</v>
      </c>
      <c r="C121">
        <v>0</v>
      </c>
      <c r="D121">
        <v>0</v>
      </c>
      <c r="E121">
        <v>22618</v>
      </c>
      <c r="F121">
        <v>0</v>
      </c>
      <c r="G121">
        <v>0</v>
      </c>
      <c r="H121">
        <v>0</v>
      </c>
      <c r="I121">
        <v>0</v>
      </c>
      <c r="J121" s="92">
        <v>22618</v>
      </c>
    </row>
    <row r="122" spans="1:10" x14ac:dyDescent="0.3">
      <c r="A122" s="92">
        <v>4550</v>
      </c>
      <c r="B122">
        <v>4550</v>
      </c>
      <c r="C122">
        <v>0</v>
      </c>
      <c r="D122">
        <v>0</v>
      </c>
      <c r="E122">
        <v>111893</v>
      </c>
      <c r="F122">
        <v>0</v>
      </c>
      <c r="G122">
        <v>0</v>
      </c>
      <c r="H122">
        <v>0</v>
      </c>
      <c r="I122">
        <v>0</v>
      </c>
      <c r="J122" s="92">
        <v>111893</v>
      </c>
    </row>
    <row r="123" spans="1:10" x14ac:dyDescent="0.3">
      <c r="A123" s="92">
        <v>4575</v>
      </c>
      <c r="B123">
        <v>4575</v>
      </c>
      <c r="C123">
        <v>0</v>
      </c>
      <c r="D123">
        <v>0</v>
      </c>
      <c r="E123">
        <v>9561</v>
      </c>
      <c r="F123">
        <v>0</v>
      </c>
      <c r="G123">
        <v>0</v>
      </c>
      <c r="H123">
        <v>0</v>
      </c>
      <c r="I123">
        <v>0</v>
      </c>
      <c r="J123" s="92">
        <v>9561</v>
      </c>
    </row>
    <row r="124" spans="1:10" x14ac:dyDescent="0.3">
      <c r="A124" s="92">
        <v>4600</v>
      </c>
      <c r="B124">
        <v>4600</v>
      </c>
      <c r="C124">
        <v>0</v>
      </c>
      <c r="D124">
        <v>7009</v>
      </c>
      <c r="E124">
        <v>119227</v>
      </c>
      <c r="F124">
        <v>0.2</v>
      </c>
      <c r="G124">
        <v>0.2</v>
      </c>
      <c r="H124">
        <v>0.1</v>
      </c>
      <c r="I124">
        <v>0.2</v>
      </c>
      <c r="J124" s="92">
        <v>119227</v>
      </c>
    </row>
    <row r="125" spans="1:10" x14ac:dyDescent="0.3">
      <c r="A125" s="92">
        <v>4625</v>
      </c>
      <c r="B125">
        <v>4625</v>
      </c>
      <c r="C125">
        <v>0</v>
      </c>
      <c r="D125">
        <v>0</v>
      </c>
      <c r="E125">
        <v>34669</v>
      </c>
      <c r="F125">
        <v>0</v>
      </c>
      <c r="G125">
        <v>0</v>
      </c>
      <c r="H125">
        <v>0</v>
      </c>
      <c r="I125">
        <v>0</v>
      </c>
      <c r="J125" s="92">
        <v>34669</v>
      </c>
    </row>
    <row r="126" spans="1:10" x14ac:dyDescent="0.3">
      <c r="A126" s="92">
        <v>4650</v>
      </c>
      <c r="B126">
        <v>4650</v>
      </c>
      <c r="C126">
        <v>0</v>
      </c>
      <c r="D126">
        <v>0</v>
      </c>
      <c r="E126">
        <v>133925</v>
      </c>
      <c r="F126">
        <v>0</v>
      </c>
      <c r="G126">
        <v>0</v>
      </c>
      <c r="H126">
        <v>0</v>
      </c>
      <c r="I126">
        <v>0</v>
      </c>
      <c r="J126" s="92">
        <v>133925</v>
      </c>
    </row>
    <row r="127" spans="1:10" x14ac:dyDescent="0.3">
      <c r="A127" s="92">
        <v>4675</v>
      </c>
      <c r="B127">
        <v>4675</v>
      </c>
      <c r="C127">
        <v>0</v>
      </c>
      <c r="D127">
        <v>0</v>
      </c>
      <c r="E127">
        <v>10311</v>
      </c>
      <c r="F127">
        <v>0</v>
      </c>
      <c r="G127">
        <v>0</v>
      </c>
      <c r="H127">
        <v>0</v>
      </c>
      <c r="I127">
        <v>0</v>
      </c>
      <c r="J127" s="92">
        <v>10311</v>
      </c>
    </row>
    <row r="128" spans="1:10" x14ac:dyDescent="0.3">
      <c r="A128" s="92">
        <v>4700</v>
      </c>
      <c r="B128">
        <v>4700</v>
      </c>
      <c r="C128">
        <v>0</v>
      </c>
      <c r="D128">
        <v>3832</v>
      </c>
      <c r="E128">
        <v>94615</v>
      </c>
      <c r="F128">
        <v>0.1</v>
      </c>
      <c r="G128">
        <v>0.1</v>
      </c>
      <c r="H128">
        <v>0.1</v>
      </c>
      <c r="I128">
        <v>0.1</v>
      </c>
      <c r="J128" s="92">
        <v>94615</v>
      </c>
    </row>
    <row r="129" spans="1:10" x14ac:dyDescent="0.3">
      <c r="A129" s="92">
        <v>4725</v>
      </c>
      <c r="B129">
        <v>4725</v>
      </c>
      <c r="C129">
        <v>0</v>
      </c>
      <c r="D129">
        <v>0</v>
      </c>
      <c r="E129">
        <v>6041</v>
      </c>
      <c r="F129">
        <v>0</v>
      </c>
      <c r="G129">
        <v>0</v>
      </c>
      <c r="H129">
        <v>0</v>
      </c>
      <c r="I129">
        <v>0</v>
      </c>
      <c r="J129" s="92">
        <v>6041</v>
      </c>
    </row>
    <row r="130" spans="1:10" x14ac:dyDescent="0.3">
      <c r="A130" s="92">
        <v>4750</v>
      </c>
      <c r="B130">
        <v>4750</v>
      </c>
      <c r="C130">
        <v>0</v>
      </c>
      <c r="D130">
        <v>0</v>
      </c>
      <c r="E130">
        <v>34105</v>
      </c>
      <c r="F130">
        <v>0</v>
      </c>
      <c r="G130">
        <v>0</v>
      </c>
      <c r="H130">
        <v>0</v>
      </c>
      <c r="I130">
        <v>0</v>
      </c>
      <c r="J130" s="92">
        <v>34105</v>
      </c>
    </row>
    <row r="131" spans="1:10" x14ac:dyDescent="0.3">
      <c r="A131" s="92">
        <v>4775</v>
      </c>
      <c r="B131">
        <v>4775</v>
      </c>
      <c r="C131">
        <v>0</v>
      </c>
      <c r="D131">
        <v>0</v>
      </c>
      <c r="E131">
        <v>3492</v>
      </c>
      <c r="F131">
        <v>0</v>
      </c>
      <c r="G131">
        <v>0</v>
      </c>
      <c r="H131">
        <v>0</v>
      </c>
      <c r="I131">
        <v>0</v>
      </c>
      <c r="J131" s="92">
        <v>3492</v>
      </c>
    </row>
    <row r="132" spans="1:10" x14ac:dyDescent="0.3">
      <c r="A132" s="92">
        <v>4800</v>
      </c>
      <c r="B132">
        <v>4800</v>
      </c>
      <c r="C132">
        <v>0</v>
      </c>
      <c r="D132">
        <v>0</v>
      </c>
      <c r="E132">
        <v>53798</v>
      </c>
      <c r="F132">
        <v>0</v>
      </c>
      <c r="G132">
        <v>0</v>
      </c>
      <c r="H132">
        <v>0</v>
      </c>
      <c r="I132">
        <v>0</v>
      </c>
      <c r="J132" s="92">
        <v>53798</v>
      </c>
    </row>
    <row r="133" spans="1:10" x14ac:dyDescent="0.3">
      <c r="A133" s="92">
        <v>4825</v>
      </c>
      <c r="B133">
        <v>4825</v>
      </c>
      <c r="C133">
        <v>0</v>
      </c>
      <c r="D133">
        <v>17</v>
      </c>
      <c r="E133">
        <v>1477</v>
      </c>
      <c r="F133">
        <v>0</v>
      </c>
      <c r="G133">
        <v>0</v>
      </c>
      <c r="H133">
        <v>0</v>
      </c>
      <c r="I133">
        <v>0</v>
      </c>
      <c r="J133" s="92">
        <v>1477</v>
      </c>
    </row>
    <row r="134" spans="1:10" x14ac:dyDescent="0.3">
      <c r="A134" s="92">
        <v>4850</v>
      </c>
      <c r="B134">
        <v>4850</v>
      </c>
      <c r="C134">
        <v>0</v>
      </c>
      <c r="D134">
        <v>0</v>
      </c>
      <c r="E134">
        <v>4978</v>
      </c>
      <c r="F134">
        <v>0</v>
      </c>
      <c r="G134">
        <v>0</v>
      </c>
      <c r="H134">
        <v>0</v>
      </c>
      <c r="I134">
        <v>0</v>
      </c>
      <c r="J134" s="92">
        <v>4978</v>
      </c>
    </row>
    <row r="135" spans="1:10" x14ac:dyDescent="0.3">
      <c r="A135" s="92">
        <v>4875</v>
      </c>
      <c r="B135">
        <v>4875</v>
      </c>
      <c r="C135">
        <v>0</v>
      </c>
      <c r="D135">
        <v>0</v>
      </c>
      <c r="E135">
        <v>1061</v>
      </c>
      <c r="F135">
        <v>0</v>
      </c>
      <c r="G135">
        <v>0</v>
      </c>
      <c r="H135">
        <v>0</v>
      </c>
      <c r="I135">
        <v>0</v>
      </c>
      <c r="J135" s="92">
        <v>1061</v>
      </c>
    </row>
    <row r="136" spans="1:10" x14ac:dyDescent="0.3">
      <c r="A136" s="92">
        <v>4900</v>
      </c>
      <c r="B136">
        <v>4900</v>
      </c>
      <c r="C136">
        <v>0</v>
      </c>
      <c r="D136">
        <v>0</v>
      </c>
      <c r="E136">
        <v>5835</v>
      </c>
      <c r="F136">
        <v>0</v>
      </c>
      <c r="G136">
        <v>0</v>
      </c>
      <c r="H136">
        <v>0</v>
      </c>
      <c r="I136">
        <v>0</v>
      </c>
      <c r="J136" s="92">
        <v>5835</v>
      </c>
    </row>
    <row r="137" spans="1:10" x14ac:dyDescent="0.3">
      <c r="A137" s="92">
        <v>4925</v>
      </c>
      <c r="B137">
        <v>4925</v>
      </c>
      <c r="C137">
        <v>0</v>
      </c>
      <c r="D137">
        <v>0</v>
      </c>
      <c r="E137">
        <v>481</v>
      </c>
      <c r="F137">
        <v>0</v>
      </c>
      <c r="G137">
        <v>0</v>
      </c>
      <c r="H137">
        <v>0</v>
      </c>
      <c r="I137">
        <v>0</v>
      </c>
      <c r="J137" s="92">
        <v>481</v>
      </c>
    </row>
    <row r="138" spans="1:10" x14ac:dyDescent="0.3">
      <c r="A138" s="92">
        <v>4950</v>
      </c>
      <c r="B138">
        <v>4950</v>
      </c>
      <c r="C138">
        <v>0</v>
      </c>
      <c r="D138">
        <v>0</v>
      </c>
      <c r="E138">
        <v>390</v>
      </c>
      <c r="F138">
        <v>0</v>
      </c>
      <c r="G138">
        <v>0</v>
      </c>
      <c r="H138">
        <v>0</v>
      </c>
      <c r="I138">
        <v>0</v>
      </c>
      <c r="J138" s="92">
        <v>390</v>
      </c>
    </row>
    <row r="139" spans="1:10" x14ac:dyDescent="0.3">
      <c r="A139" s="92">
        <v>4975</v>
      </c>
      <c r="B139">
        <v>4975</v>
      </c>
      <c r="C139">
        <v>0</v>
      </c>
      <c r="D139">
        <v>0</v>
      </c>
      <c r="E139">
        <v>851</v>
      </c>
      <c r="F139">
        <v>0</v>
      </c>
      <c r="G139">
        <v>0</v>
      </c>
      <c r="H139">
        <v>0</v>
      </c>
      <c r="I139">
        <v>0</v>
      </c>
      <c r="J139" s="92">
        <v>851</v>
      </c>
    </row>
    <row r="140" spans="1:10" x14ac:dyDescent="0.3">
      <c r="A140" s="92">
        <v>5000</v>
      </c>
      <c r="B140">
        <v>5000</v>
      </c>
      <c r="C140">
        <v>0</v>
      </c>
      <c r="D140">
        <v>0</v>
      </c>
      <c r="E140">
        <v>17560</v>
      </c>
      <c r="F140">
        <v>0</v>
      </c>
      <c r="G140">
        <v>0</v>
      </c>
      <c r="H140">
        <v>0</v>
      </c>
      <c r="I140">
        <v>0</v>
      </c>
      <c r="J140" s="92">
        <v>17560</v>
      </c>
    </row>
    <row r="141" spans="1:10" x14ac:dyDescent="0.3">
      <c r="A141" s="92">
        <v>5025</v>
      </c>
      <c r="B141">
        <v>5025</v>
      </c>
      <c r="C141">
        <v>0</v>
      </c>
      <c r="D141">
        <v>0</v>
      </c>
      <c r="E141">
        <v>346</v>
      </c>
      <c r="F141">
        <v>0</v>
      </c>
      <c r="G141">
        <v>0</v>
      </c>
      <c r="H141">
        <v>0</v>
      </c>
      <c r="I141">
        <v>0</v>
      </c>
      <c r="J141" s="92">
        <v>346</v>
      </c>
    </row>
    <row r="142" spans="1:10" x14ac:dyDescent="0.3">
      <c r="A142" s="92">
        <v>5050</v>
      </c>
      <c r="B142">
        <v>5050</v>
      </c>
      <c r="C142">
        <v>0</v>
      </c>
      <c r="D142">
        <v>0</v>
      </c>
      <c r="E142">
        <v>13</v>
      </c>
      <c r="F142">
        <v>0</v>
      </c>
      <c r="G142">
        <v>0</v>
      </c>
      <c r="H142">
        <v>0</v>
      </c>
      <c r="I142">
        <v>0</v>
      </c>
      <c r="J142" s="92">
        <v>13</v>
      </c>
    </row>
    <row r="143" spans="1:10" x14ac:dyDescent="0.3">
      <c r="A143" s="92">
        <v>5075</v>
      </c>
      <c r="B143">
        <v>5075</v>
      </c>
      <c r="C143">
        <v>0</v>
      </c>
      <c r="D143">
        <v>0</v>
      </c>
      <c r="E143">
        <v>520</v>
      </c>
      <c r="F143">
        <v>0</v>
      </c>
      <c r="G143">
        <v>0</v>
      </c>
      <c r="H143">
        <v>0</v>
      </c>
      <c r="I143">
        <v>0</v>
      </c>
      <c r="J143" s="92">
        <v>520</v>
      </c>
    </row>
    <row r="144" spans="1:10" x14ac:dyDescent="0.3">
      <c r="A144" s="92">
        <v>5100</v>
      </c>
      <c r="B144">
        <v>5100</v>
      </c>
      <c r="C144">
        <v>0</v>
      </c>
      <c r="D144">
        <v>0</v>
      </c>
      <c r="E144">
        <v>4029</v>
      </c>
      <c r="F144">
        <v>0</v>
      </c>
      <c r="G144">
        <v>0</v>
      </c>
      <c r="H144">
        <v>0</v>
      </c>
      <c r="I144">
        <v>0</v>
      </c>
      <c r="J144" s="92">
        <v>4029</v>
      </c>
    </row>
    <row r="145" spans="1:10" x14ac:dyDescent="0.3">
      <c r="A145" s="92">
        <v>5125</v>
      </c>
      <c r="B145">
        <v>5125</v>
      </c>
      <c r="C145">
        <v>0</v>
      </c>
      <c r="D145">
        <v>0</v>
      </c>
      <c r="E145">
        <v>0</v>
      </c>
      <c r="F145">
        <v>0</v>
      </c>
      <c r="G145">
        <v>0</v>
      </c>
      <c r="H145">
        <v>0</v>
      </c>
      <c r="I145">
        <v>0</v>
      </c>
      <c r="J145" s="92">
        <v>0</v>
      </c>
    </row>
    <row r="146" spans="1:10" x14ac:dyDescent="0.3">
      <c r="A146" s="92">
        <v>5150</v>
      </c>
      <c r="B146">
        <v>5150</v>
      </c>
      <c r="C146">
        <v>0</v>
      </c>
      <c r="D146">
        <v>0</v>
      </c>
      <c r="E146">
        <v>505</v>
      </c>
      <c r="F146">
        <v>0</v>
      </c>
      <c r="G146">
        <v>0</v>
      </c>
      <c r="H146">
        <v>0</v>
      </c>
      <c r="I146">
        <v>0</v>
      </c>
      <c r="J146" s="92">
        <v>505</v>
      </c>
    </row>
    <row r="147" spans="1:10" x14ac:dyDescent="0.3">
      <c r="A147" s="92">
        <v>5175</v>
      </c>
      <c r="B147">
        <v>5175</v>
      </c>
      <c r="C147">
        <v>0</v>
      </c>
      <c r="D147">
        <v>0</v>
      </c>
      <c r="E147">
        <v>854</v>
      </c>
      <c r="F147">
        <v>0</v>
      </c>
      <c r="G147">
        <v>0</v>
      </c>
      <c r="H147">
        <v>0</v>
      </c>
      <c r="I147">
        <v>0</v>
      </c>
      <c r="J147" s="92">
        <v>854</v>
      </c>
    </row>
    <row r="148" spans="1:10" x14ac:dyDescent="0.3">
      <c r="A148" s="92">
        <v>5200</v>
      </c>
      <c r="B148">
        <v>5200</v>
      </c>
      <c r="C148">
        <v>0</v>
      </c>
      <c r="D148">
        <v>0</v>
      </c>
      <c r="E148">
        <v>2423</v>
      </c>
      <c r="F148">
        <v>0</v>
      </c>
      <c r="G148">
        <v>0</v>
      </c>
      <c r="H148">
        <v>0</v>
      </c>
      <c r="I148">
        <v>0</v>
      </c>
      <c r="J148" s="92">
        <v>2423</v>
      </c>
    </row>
    <row r="149" spans="1:10" x14ac:dyDescent="0.3">
      <c r="A149" s="92">
        <v>5225</v>
      </c>
      <c r="B149">
        <v>5225</v>
      </c>
      <c r="C149">
        <v>0</v>
      </c>
      <c r="D149">
        <v>0</v>
      </c>
      <c r="E149">
        <v>600</v>
      </c>
      <c r="F149">
        <v>0</v>
      </c>
      <c r="G149">
        <v>0</v>
      </c>
      <c r="H149">
        <v>0</v>
      </c>
      <c r="I149">
        <v>0</v>
      </c>
      <c r="J149" s="92">
        <v>600</v>
      </c>
    </row>
    <row r="150" spans="1:10" x14ac:dyDescent="0.3">
      <c r="A150" s="92">
        <v>5250</v>
      </c>
      <c r="B150">
        <v>5250</v>
      </c>
      <c r="C150">
        <v>0</v>
      </c>
      <c r="D150">
        <v>0</v>
      </c>
      <c r="E150">
        <v>1500</v>
      </c>
      <c r="F150">
        <v>0</v>
      </c>
      <c r="G150">
        <v>0</v>
      </c>
      <c r="H150">
        <v>0</v>
      </c>
      <c r="I150">
        <v>0</v>
      </c>
      <c r="J150" s="92">
        <v>1500</v>
      </c>
    </row>
    <row r="151" spans="1:10" x14ac:dyDescent="0.3">
      <c r="A151" s="92">
        <v>5275</v>
      </c>
      <c r="B151">
        <v>5275</v>
      </c>
      <c r="C151">
        <v>0</v>
      </c>
      <c r="D151">
        <v>0</v>
      </c>
      <c r="E151">
        <v>314</v>
      </c>
      <c r="F151">
        <v>0</v>
      </c>
      <c r="G151">
        <v>0</v>
      </c>
      <c r="H151">
        <v>0</v>
      </c>
      <c r="I151">
        <v>0</v>
      </c>
      <c r="J151" s="92">
        <v>314</v>
      </c>
    </row>
    <row r="152" spans="1:10" x14ac:dyDescent="0.3">
      <c r="A152" s="92">
        <v>5300</v>
      </c>
      <c r="B152">
        <v>5300</v>
      </c>
      <c r="C152">
        <v>0</v>
      </c>
      <c r="D152">
        <v>0</v>
      </c>
      <c r="E152">
        <v>417</v>
      </c>
      <c r="F152">
        <v>0</v>
      </c>
      <c r="G152">
        <v>0</v>
      </c>
      <c r="H152">
        <v>0</v>
      </c>
      <c r="I152">
        <v>0</v>
      </c>
      <c r="J152" s="92">
        <v>417</v>
      </c>
    </row>
    <row r="153" spans="1:10" x14ac:dyDescent="0.3">
      <c r="A153" s="92">
        <v>5325</v>
      </c>
      <c r="B153">
        <v>5325</v>
      </c>
      <c r="C153">
        <v>0</v>
      </c>
      <c r="D153">
        <v>0</v>
      </c>
      <c r="E153">
        <v>1758</v>
      </c>
      <c r="F153">
        <v>0</v>
      </c>
      <c r="G153">
        <v>0</v>
      </c>
      <c r="H153">
        <v>0</v>
      </c>
      <c r="I153">
        <v>0</v>
      </c>
      <c r="J153" s="92">
        <v>1758</v>
      </c>
    </row>
    <row r="154" spans="1:10" x14ac:dyDescent="0.3">
      <c r="A154" s="92">
        <v>5375</v>
      </c>
      <c r="B154">
        <v>5375</v>
      </c>
      <c r="C154">
        <v>0</v>
      </c>
      <c r="D154">
        <v>0</v>
      </c>
      <c r="E154">
        <v>624</v>
      </c>
      <c r="F154">
        <v>0</v>
      </c>
      <c r="G154">
        <v>0</v>
      </c>
      <c r="H154">
        <v>0</v>
      </c>
      <c r="I154">
        <v>0</v>
      </c>
      <c r="J154" s="92">
        <v>624</v>
      </c>
    </row>
    <row r="155" spans="1:10" x14ac:dyDescent="0.3">
      <c r="A155" s="92">
        <v>5400</v>
      </c>
      <c r="B155">
        <v>5400</v>
      </c>
      <c r="C155">
        <v>0</v>
      </c>
      <c r="D155">
        <v>0</v>
      </c>
      <c r="E155">
        <v>568</v>
      </c>
      <c r="F155">
        <v>0</v>
      </c>
      <c r="G155">
        <v>0</v>
      </c>
      <c r="H155">
        <v>0</v>
      </c>
      <c r="I155">
        <v>0</v>
      </c>
      <c r="J155" s="92">
        <v>568</v>
      </c>
    </row>
    <row r="156" spans="1:10" x14ac:dyDescent="0.3">
      <c r="A156" s="92">
        <v>5500</v>
      </c>
      <c r="B156">
        <v>5500</v>
      </c>
      <c r="C156">
        <v>0</v>
      </c>
      <c r="D156">
        <v>0</v>
      </c>
      <c r="E156">
        <v>1374</v>
      </c>
      <c r="F156">
        <v>0</v>
      </c>
      <c r="G156">
        <v>0</v>
      </c>
      <c r="H156">
        <v>0</v>
      </c>
      <c r="I156">
        <v>0</v>
      </c>
      <c r="J156" s="92">
        <v>1374</v>
      </c>
    </row>
    <row r="157" spans="1:10" x14ac:dyDescent="0.3">
      <c r="A157" s="92">
        <v>5600</v>
      </c>
      <c r="B157">
        <v>5600</v>
      </c>
      <c r="C157">
        <v>0</v>
      </c>
      <c r="D157">
        <v>0</v>
      </c>
      <c r="E157">
        <v>0</v>
      </c>
      <c r="F157">
        <v>0</v>
      </c>
      <c r="G157">
        <v>0</v>
      </c>
      <c r="H157">
        <v>0</v>
      </c>
      <c r="I157">
        <v>0</v>
      </c>
      <c r="J157" s="92">
        <v>0</v>
      </c>
    </row>
    <row r="158" spans="1:10" x14ac:dyDescent="0.3">
      <c r="A158" s="92">
        <v>5700</v>
      </c>
      <c r="B158">
        <v>5700</v>
      </c>
      <c r="C158">
        <v>0</v>
      </c>
      <c r="D158">
        <v>0</v>
      </c>
      <c r="E158">
        <v>0</v>
      </c>
      <c r="F158">
        <v>0</v>
      </c>
      <c r="G158">
        <v>0</v>
      </c>
      <c r="H158">
        <v>0</v>
      </c>
      <c r="I158">
        <v>0</v>
      </c>
      <c r="J158" s="92">
        <v>0</v>
      </c>
    </row>
    <row r="159" spans="1:10" x14ac:dyDescent="0.3">
      <c r="A159" s="92">
        <v>5800</v>
      </c>
      <c r="B159">
        <v>5800</v>
      </c>
      <c r="C159">
        <v>0</v>
      </c>
      <c r="D159">
        <v>0</v>
      </c>
      <c r="E159">
        <v>0</v>
      </c>
      <c r="F159">
        <v>0</v>
      </c>
      <c r="G159">
        <v>0</v>
      </c>
      <c r="H159">
        <v>0</v>
      </c>
      <c r="I159">
        <v>0</v>
      </c>
      <c r="J159" s="92">
        <v>0</v>
      </c>
    </row>
    <row r="160" spans="1:10" x14ac:dyDescent="0.3">
      <c r="A160" s="92">
        <v>5900</v>
      </c>
      <c r="B160">
        <v>5900</v>
      </c>
      <c r="C160">
        <v>0</v>
      </c>
      <c r="D160">
        <v>0</v>
      </c>
      <c r="E160">
        <v>0</v>
      </c>
      <c r="F160">
        <v>0</v>
      </c>
      <c r="G160">
        <v>0</v>
      </c>
      <c r="H160">
        <v>0</v>
      </c>
      <c r="I160">
        <v>0</v>
      </c>
      <c r="J160" s="92">
        <v>0</v>
      </c>
    </row>
    <row r="161" spans="1:10" x14ac:dyDescent="0.3">
      <c r="A161" s="92">
        <v>6000</v>
      </c>
      <c r="B161">
        <v>6000</v>
      </c>
      <c r="C161">
        <v>0</v>
      </c>
      <c r="D161">
        <v>0</v>
      </c>
      <c r="E161">
        <v>27458</v>
      </c>
      <c r="F161">
        <v>0</v>
      </c>
      <c r="G161">
        <v>0</v>
      </c>
      <c r="H161">
        <v>0</v>
      </c>
      <c r="I161">
        <v>0</v>
      </c>
      <c r="J161" s="92">
        <v>27458</v>
      </c>
    </row>
    <row r="162" spans="1:10" x14ac:dyDescent="0.3">
      <c r="A162" s="92">
        <v>7000</v>
      </c>
      <c r="B162">
        <v>7000</v>
      </c>
      <c r="C162">
        <v>0</v>
      </c>
      <c r="D162">
        <v>0</v>
      </c>
      <c r="E162">
        <v>0</v>
      </c>
      <c r="F162">
        <v>0</v>
      </c>
      <c r="G162">
        <v>0</v>
      </c>
      <c r="H162">
        <v>0</v>
      </c>
      <c r="I162">
        <v>0</v>
      </c>
      <c r="J162" s="92">
        <v>0</v>
      </c>
    </row>
    <row r="163" spans="1:10" x14ac:dyDescent="0.3">
      <c r="A163" s="92">
        <v>8000</v>
      </c>
      <c r="B163">
        <v>8000</v>
      </c>
      <c r="C163">
        <v>0</v>
      </c>
      <c r="D163">
        <v>0</v>
      </c>
      <c r="E163">
        <v>0</v>
      </c>
      <c r="F163">
        <v>0</v>
      </c>
      <c r="G163">
        <v>0</v>
      </c>
      <c r="H163">
        <v>0</v>
      </c>
      <c r="I163">
        <v>0</v>
      </c>
      <c r="J163" s="92">
        <v>0</v>
      </c>
    </row>
    <row r="164" spans="1:10" x14ac:dyDescent="0.3">
      <c r="A164" s="92">
        <v>9000</v>
      </c>
      <c r="B164">
        <v>9000</v>
      </c>
      <c r="C164">
        <v>0</v>
      </c>
      <c r="D164">
        <v>0</v>
      </c>
      <c r="E164">
        <v>0</v>
      </c>
      <c r="F164">
        <v>0</v>
      </c>
      <c r="G164">
        <v>0</v>
      </c>
      <c r="H164">
        <v>0</v>
      </c>
      <c r="I164">
        <v>0</v>
      </c>
      <c r="J164" s="92">
        <v>0</v>
      </c>
    </row>
    <row r="165" spans="1:10" x14ac:dyDescent="0.3">
      <c r="A165" t="s">
        <v>274</v>
      </c>
      <c r="B165">
        <v>10000</v>
      </c>
      <c r="C165">
        <v>0</v>
      </c>
      <c r="D165">
        <v>0</v>
      </c>
      <c r="E165">
        <v>0</v>
      </c>
      <c r="F165">
        <v>0</v>
      </c>
      <c r="G165">
        <v>0</v>
      </c>
      <c r="H165">
        <v>0</v>
      </c>
      <c r="I165">
        <v>0</v>
      </c>
      <c r="J165">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64EFC-B5FD-424C-A477-AC2644332AAD}">
  <dimension ref="A1:J165"/>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500</v>
      </c>
      <c r="B2">
        <v>500</v>
      </c>
      <c r="C2">
        <v>0</v>
      </c>
      <c r="D2">
        <v>0</v>
      </c>
      <c r="E2">
        <v>4</v>
      </c>
      <c r="F2">
        <v>0</v>
      </c>
      <c r="G2">
        <v>0</v>
      </c>
      <c r="H2">
        <v>0</v>
      </c>
      <c r="I2">
        <v>0</v>
      </c>
      <c r="J2" s="92">
        <v>4</v>
      </c>
    </row>
    <row r="3" spans="1:10" x14ac:dyDescent="0.3">
      <c r="A3" s="92">
        <v>600</v>
      </c>
      <c r="B3">
        <v>600</v>
      </c>
      <c r="C3">
        <v>0</v>
      </c>
      <c r="D3">
        <v>0</v>
      </c>
      <c r="E3">
        <v>1</v>
      </c>
      <c r="F3">
        <v>0</v>
      </c>
      <c r="G3">
        <v>0</v>
      </c>
      <c r="H3">
        <v>0</v>
      </c>
      <c r="I3">
        <v>0</v>
      </c>
      <c r="J3" s="92">
        <v>1</v>
      </c>
    </row>
    <row r="4" spans="1:10" x14ac:dyDescent="0.3">
      <c r="A4" s="92">
        <v>800</v>
      </c>
      <c r="B4">
        <v>800</v>
      </c>
      <c r="C4">
        <v>0</v>
      </c>
      <c r="D4">
        <v>0</v>
      </c>
      <c r="E4">
        <v>0</v>
      </c>
      <c r="F4">
        <v>0</v>
      </c>
      <c r="G4">
        <v>0</v>
      </c>
      <c r="H4">
        <v>0</v>
      </c>
      <c r="I4">
        <v>0</v>
      </c>
      <c r="J4" s="92">
        <v>0</v>
      </c>
    </row>
    <row r="5" spans="1:10" x14ac:dyDescent="0.3">
      <c r="A5" s="92">
        <v>1000</v>
      </c>
      <c r="B5">
        <v>1000</v>
      </c>
      <c r="C5">
        <v>0</v>
      </c>
      <c r="D5">
        <v>0</v>
      </c>
      <c r="E5">
        <v>33191</v>
      </c>
      <c r="F5">
        <v>0</v>
      </c>
      <c r="G5">
        <v>0</v>
      </c>
      <c r="H5">
        <v>0</v>
      </c>
      <c r="I5">
        <v>0</v>
      </c>
      <c r="J5" s="92">
        <v>33191</v>
      </c>
    </row>
    <row r="6" spans="1:10" x14ac:dyDescent="0.3">
      <c r="A6" s="92">
        <v>1100</v>
      </c>
      <c r="B6">
        <v>1100</v>
      </c>
      <c r="C6">
        <v>0</v>
      </c>
      <c r="D6">
        <v>0</v>
      </c>
      <c r="E6">
        <v>34</v>
      </c>
      <c r="F6">
        <v>0</v>
      </c>
      <c r="G6">
        <v>0</v>
      </c>
      <c r="H6">
        <v>0</v>
      </c>
      <c r="I6">
        <v>0</v>
      </c>
      <c r="J6" s="92">
        <v>34</v>
      </c>
    </row>
    <row r="7" spans="1:10" x14ac:dyDescent="0.3">
      <c r="A7" s="92">
        <v>1150</v>
      </c>
      <c r="B7">
        <v>1150</v>
      </c>
      <c r="C7">
        <v>0</v>
      </c>
      <c r="D7">
        <v>0</v>
      </c>
      <c r="E7">
        <v>200</v>
      </c>
      <c r="F7">
        <v>0</v>
      </c>
      <c r="G7">
        <v>0</v>
      </c>
      <c r="H7">
        <v>0</v>
      </c>
      <c r="I7">
        <v>0</v>
      </c>
      <c r="J7" s="92">
        <v>200</v>
      </c>
    </row>
    <row r="8" spans="1:10" x14ac:dyDescent="0.3">
      <c r="A8" s="92">
        <v>1200</v>
      </c>
      <c r="B8">
        <v>1200</v>
      </c>
      <c r="C8">
        <v>0</v>
      </c>
      <c r="D8">
        <v>0</v>
      </c>
      <c r="E8">
        <v>9041</v>
      </c>
      <c r="F8">
        <v>0</v>
      </c>
      <c r="G8">
        <v>0</v>
      </c>
      <c r="H8">
        <v>0</v>
      </c>
      <c r="I8">
        <v>0</v>
      </c>
      <c r="J8" s="92">
        <v>9041</v>
      </c>
    </row>
    <row r="9" spans="1:10" x14ac:dyDescent="0.3">
      <c r="A9" s="92">
        <v>1250</v>
      </c>
      <c r="B9">
        <v>1250</v>
      </c>
      <c r="C9">
        <v>0</v>
      </c>
      <c r="D9">
        <v>0</v>
      </c>
      <c r="E9">
        <v>10</v>
      </c>
      <c r="F9">
        <v>0</v>
      </c>
      <c r="G9">
        <v>0</v>
      </c>
      <c r="H9">
        <v>0</v>
      </c>
      <c r="I9">
        <v>0</v>
      </c>
      <c r="J9" s="92">
        <v>10</v>
      </c>
    </row>
    <row r="10" spans="1:10" x14ac:dyDescent="0.3">
      <c r="A10" s="92">
        <v>1300</v>
      </c>
      <c r="B10">
        <v>1300</v>
      </c>
      <c r="C10">
        <v>0</v>
      </c>
      <c r="D10">
        <v>0</v>
      </c>
      <c r="E10">
        <v>173</v>
      </c>
      <c r="F10">
        <v>0</v>
      </c>
      <c r="G10">
        <v>0</v>
      </c>
      <c r="H10">
        <v>0</v>
      </c>
      <c r="I10">
        <v>0</v>
      </c>
      <c r="J10" s="92">
        <v>173</v>
      </c>
    </row>
    <row r="11" spans="1:10" x14ac:dyDescent="0.3">
      <c r="A11" s="92">
        <v>1350</v>
      </c>
      <c r="B11">
        <v>1350</v>
      </c>
      <c r="C11">
        <v>0</v>
      </c>
      <c r="D11">
        <v>0</v>
      </c>
      <c r="E11">
        <v>5</v>
      </c>
      <c r="F11">
        <v>0</v>
      </c>
      <c r="G11">
        <v>0</v>
      </c>
      <c r="H11">
        <v>0</v>
      </c>
      <c r="I11">
        <v>0</v>
      </c>
      <c r="J11" s="92">
        <v>5</v>
      </c>
    </row>
    <row r="12" spans="1:10" x14ac:dyDescent="0.3">
      <c r="A12" s="92">
        <v>1400</v>
      </c>
      <c r="B12">
        <v>1400</v>
      </c>
      <c r="C12">
        <v>0</v>
      </c>
      <c r="D12">
        <v>0</v>
      </c>
      <c r="E12">
        <v>4045</v>
      </c>
      <c r="F12">
        <v>0</v>
      </c>
      <c r="G12">
        <v>0</v>
      </c>
      <c r="H12">
        <v>0</v>
      </c>
      <c r="I12">
        <v>0</v>
      </c>
      <c r="J12" s="92">
        <v>4045</v>
      </c>
    </row>
    <row r="13" spans="1:10" x14ac:dyDescent="0.3">
      <c r="A13" s="92">
        <v>1450</v>
      </c>
      <c r="B13">
        <v>1450</v>
      </c>
      <c r="C13">
        <v>0</v>
      </c>
      <c r="D13">
        <v>0</v>
      </c>
      <c r="E13">
        <v>1343</v>
      </c>
      <c r="F13">
        <v>0</v>
      </c>
      <c r="G13">
        <v>0</v>
      </c>
      <c r="H13">
        <v>0</v>
      </c>
      <c r="I13">
        <v>0</v>
      </c>
      <c r="J13" s="92">
        <v>1343</v>
      </c>
    </row>
    <row r="14" spans="1:10" x14ac:dyDescent="0.3">
      <c r="A14" s="92">
        <v>1500</v>
      </c>
      <c r="B14">
        <v>1500</v>
      </c>
      <c r="C14">
        <v>0</v>
      </c>
      <c r="D14">
        <v>0</v>
      </c>
      <c r="E14">
        <v>20358</v>
      </c>
      <c r="F14">
        <v>0</v>
      </c>
      <c r="G14">
        <v>0</v>
      </c>
      <c r="H14">
        <v>0</v>
      </c>
      <c r="I14">
        <v>0</v>
      </c>
      <c r="J14" s="92">
        <v>20358</v>
      </c>
    </row>
    <row r="15" spans="1:10" x14ac:dyDescent="0.3">
      <c r="A15" s="92">
        <v>1550</v>
      </c>
      <c r="B15">
        <v>1550</v>
      </c>
      <c r="C15">
        <v>0</v>
      </c>
      <c r="D15">
        <v>0</v>
      </c>
      <c r="E15">
        <v>306</v>
      </c>
      <c r="F15">
        <v>0</v>
      </c>
      <c r="G15">
        <v>0</v>
      </c>
      <c r="H15">
        <v>0</v>
      </c>
      <c r="I15">
        <v>0</v>
      </c>
      <c r="J15" s="92">
        <v>306</v>
      </c>
    </row>
    <row r="16" spans="1:10" x14ac:dyDescent="0.3">
      <c r="A16" s="92">
        <v>1600</v>
      </c>
      <c r="B16">
        <v>1600</v>
      </c>
      <c r="C16">
        <v>0</v>
      </c>
      <c r="D16">
        <v>0</v>
      </c>
      <c r="E16">
        <v>16376</v>
      </c>
      <c r="F16">
        <v>0</v>
      </c>
      <c r="G16">
        <v>0</v>
      </c>
      <c r="H16">
        <v>0</v>
      </c>
      <c r="I16">
        <v>0</v>
      </c>
      <c r="J16" s="92">
        <v>16376</v>
      </c>
    </row>
    <row r="17" spans="1:10" x14ac:dyDescent="0.3">
      <c r="A17" s="92">
        <v>1650</v>
      </c>
      <c r="B17">
        <v>1650</v>
      </c>
      <c r="C17">
        <v>0</v>
      </c>
      <c r="D17">
        <v>0</v>
      </c>
      <c r="E17">
        <v>34</v>
      </c>
      <c r="F17">
        <v>0</v>
      </c>
      <c r="G17">
        <v>0</v>
      </c>
      <c r="H17">
        <v>0</v>
      </c>
      <c r="I17">
        <v>0</v>
      </c>
      <c r="J17" s="92">
        <v>34</v>
      </c>
    </row>
    <row r="18" spans="1:10" x14ac:dyDescent="0.3">
      <c r="A18" s="92">
        <v>1700</v>
      </c>
      <c r="B18">
        <v>1700</v>
      </c>
      <c r="C18">
        <v>0</v>
      </c>
      <c r="D18">
        <v>0</v>
      </c>
      <c r="E18">
        <v>2549</v>
      </c>
      <c r="F18">
        <v>0</v>
      </c>
      <c r="G18">
        <v>0</v>
      </c>
      <c r="H18">
        <v>0</v>
      </c>
      <c r="I18">
        <v>0</v>
      </c>
      <c r="J18" s="92">
        <v>2549</v>
      </c>
    </row>
    <row r="19" spans="1:10" x14ac:dyDescent="0.3">
      <c r="A19" s="92">
        <v>1750</v>
      </c>
      <c r="B19">
        <v>1750</v>
      </c>
      <c r="C19">
        <v>0</v>
      </c>
      <c r="D19">
        <v>0</v>
      </c>
      <c r="E19">
        <v>201</v>
      </c>
      <c r="F19">
        <v>0</v>
      </c>
      <c r="G19">
        <v>0</v>
      </c>
      <c r="H19">
        <v>0</v>
      </c>
      <c r="I19">
        <v>0</v>
      </c>
      <c r="J19" s="92">
        <v>201</v>
      </c>
    </row>
    <row r="20" spans="1:10" x14ac:dyDescent="0.3">
      <c r="A20" s="92">
        <v>1800</v>
      </c>
      <c r="B20">
        <v>1800</v>
      </c>
      <c r="C20">
        <v>0</v>
      </c>
      <c r="D20">
        <v>0</v>
      </c>
      <c r="E20">
        <v>12797</v>
      </c>
      <c r="F20">
        <v>0</v>
      </c>
      <c r="G20">
        <v>0</v>
      </c>
      <c r="H20">
        <v>0</v>
      </c>
      <c r="I20">
        <v>0</v>
      </c>
      <c r="J20" s="92">
        <v>12797</v>
      </c>
    </row>
    <row r="21" spans="1:10" x14ac:dyDescent="0.3">
      <c r="A21" s="92">
        <v>1850</v>
      </c>
      <c r="B21">
        <v>1850</v>
      </c>
      <c r="C21">
        <v>0</v>
      </c>
      <c r="D21">
        <v>0</v>
      </c>
      <c r="E21">
        <v>338</v>
      </c>
      <c r="F21">
        <v>0</v>
      </c>
      <c r="G21">
        <v>0</v>
      </c>
      <c r="H21">
        <v>0</v>
      </c>
      <c r="I21">
        <v>0</v>
      </c>
      <c r="J21" s="92">
        <v>338</v>
      </c>
    </row>
    <row r="22" spans="1:10" x14ac:dyDescent="0.3">
      <c r="A22" s="92">
        <v>1900</v>
      </c>
      <c r="B22">
        <v>1900</v>
      </c>
      <c r="C22">
        <v>0</v>
      </c>
      <c r="D22">
        <v>0</v>
      </c>
      <c r="E22">
        <v>2151</v>
      </c>
      <c r="F22">
        <v>0</v>
      </c>
      <c r="G22">
        <v>0</v>
      </c>
      <c r="H22">
        <v>0</v>
      </c>
      <c r="I22">
        <v>0</v>
      </c>
      <c r="J22" s="92">
        <v>2151</v>
      </c>
    </row>
    <row r="23" spans="1:10" x14ac:dyDescent="0.3">
      <c r="A23" s="92">
        <v>1950</v>
      </c>
      <c r="B23">
        <v>1950</v>
      </c>
      <c r="C23">
        <v>0</v>
      </c>
      <c r="D23">
        <v>0</v>
      </c>
      <c r="E23">
        <v>170</v>
      </c>
      <c r="F23">
        <v>0</v>
      </c>
      <c r="G23">
        <v>0</v>
      </c>
      <c r="H23">
        <v>0</v>
      </c>
      <c r="I23">
        <v>0</v>
      </c>
      <c r="J23" s="92">
        <v>170</v>
      </c>
    </row>
    <row r="24" spans="1:10" x14ac:dyDescent="0.3">
      <c r="A24" s="92">
        <v>2000</v>
      </c>
      <c r="B24">
        <v>2000</v>
      </c>
      <c r="C24">
        <v>0</v>
      </c>
      <c r="D24">
        <v>0</v>
      </c>
      <c r="E24">
        <v>28145</v>
      </c>
      <c r="F24">
        <v>0</v>
      </c>
      <c r="G24">
        <v>0</v>
      </c>
      <c r="H24">
        <v>0</v>
      </c>
      <c r="I24">
        <v>0</v>
      </c>
      <c r="J24" s="92">
        <v>28145</v>
      </c>
    </row>
    <row r="25" spans="1:10" x14ac:dyDescent="0.3">
      <c r="A25" s="92">
        <v>2050</v>
      </c>
      <c r="B25">
        <v>2050</v>
      </c>
      <c r="C25">
        <v>0</v>
      </c>
      <c r="D25">
        <v>0</v>
      </c>
      <c r="E25">
        <v>267</v>
      </c>
      <c r="F25">
        <v>0</v>
      </c>
      <c r="G25">
        <v>0</v>
      </c>
      <c r="H25">
        <v>0</v>
      </c>
      <c r="I25">
        <v>0</v>
      </c>
      <c r="J25" s="92">
        <v>267</v>
      </c>
    </row>
    <row r="26" spans="1:10" x14ac:dyDescent="0.3">
      <c r="A26" s="92">
        <v>2100</v>
      </c>
      <c r="B26">
        <v>2100</v>
      </c>
      <c r="C26">
        <v>0</v>
      </c>
      <c r="D26">
        <v>0</v>
      </c>
      <c r="E26">
        <v>30986</v>
      </c>
      <c r="F26">
        <v>0</v>
      </c>
      <c r="G26">
        <v>0</v>
      </c>
      <c r="H26">
        <v>0</v>
      </c>
      <c r="I26">
        <v>0</v>
      </c>
      <c r="J26" s="92">
        <v>30986</v>
      </c>
    </row>
    <row r="27" spans="1:10" x14ac:dyDescent="0.3">
      <c r="A27" s="92">
        <v>2150</v>
      </c>
      <c r="B27">
        <v>2150</v>
      </c>
      <c r="C27">
        <v>0</v>
      </c>
      <c r="D27">
        <v>0</v>
      </c>
      <c r="E27">
        <v>2249</v>
      </c>
      <c r="F27">
        <v>0</v>
      </c>
      <c r="G27">
        <v>0</v>
      </c>
      <c r="H27">
        <v>0</v>
      </c>
      <c r="I27">
        <v>0</v>
      </c>
      <c r="J27" s="92">
        <v>2249</v>
      </c>
    </row>
    <row r="28" spans="1:10" x14ac:dyDescent="0.3">
      <c r="A28" s="92">
        <v>2175</v>
      </c>
      <c r="B28">
        <v>2175</v>
      </c>
      <c r="C28">
        <v>0</v>
      </c>
      <c r="D28">
        <v>0</v>
      </c>
      <c r="E28">
        <v>1738</v>
      </c>
      <c r="F28">
        <v>0</v>
      </c>
      <c r="G28">
        <v>0</v>
      </c>
      <c r="H28">
        <v>0</v>
      </c>
      <c r="I28">
        <v>0</v>
      </c>
      <c r="J28" s="92">
        <v>1738</v>
      </c>
    </row>
    <row r="29" spans="1:10" x14ac:dyDescent="0.3">
      <c r="A29" s="92">
        <v>2200</v>
      </c>
      <c r="B29">
        <v>2200</v>
      </c>
      <c r="C29">
        <v>0</v>
      </c>
      <c r="D29">
        <v>0</v>
      </c>
      <c r="E29">
        <v>29617</v>
      </c>
      <c r="F29">
        <v>0</v>
      </c>
      <c r="G29">
        <v>0</v>
      </c>
      <c r="H29">
        <v>0</v>
      </c>
      <c r="I29">
        <v>0</v>
      </c>
      <c r="J29" s="92">
        <v>29617</v>
      </c>
    </row>
    <row r="30" spans="1:10" x14ac:dyDescent="0.3">
      <c r="A30" s="92">
        <v>2250</v>
      </c>
      <c r="B30">
        <v>2250</v>
      </c>
      <c r="C30">
        <v>0</v>
      </c>
      <c r="D30">
        <v>0</v>
      </c>
      <c r="E30">
        <v>6287</v>
      </c>
      <c r="F30">
        <v>0</v>
      </c>
      <c r="G30">
        <v>0</v>
      </c>
      <c r="H30">
        <v>0</v>
      </c>
      <c r="I30">
        <v>0</v>
      </c>
      <c r="J30" s="92">
        <v>6287</v>
      </c>
    </row>
    <row r="31" spans="1:10" x14ac:dyDescent="0.3">
      <c r="A31" s="92">
        <v>2275</v>
      </c>
      <c r="B31">
        <v>2275</v>
      </c>
      <c r="C31">
        <v>0</v>
      </c>
      <c r="D31">
        <v>0</v>
      </c>
      <c r="E31">
        <v>61</v>
      </c>
      <c r="F31">
        <v>0</v>
      </c>
      <c r="G31">
        <v>0</v>
      </c>
      <c r="H31">
        <v>0</v>
      </c>
      <c r="I31">
        <v>0</v>
      </c>
      <c r="J31" s="92">
        <v>61</v>
      </c>
    </row>
    <row r="32" spans="1:10" x14ac:dyDescent="0.3">
      <c r="A32" s="92">
        <v>2300</v>
      </c>
      <c r="B32">
        <v>2300</v>
      </c>
      <c r="C32">
        <v>0</v>
      </c>
      <c r="D32">
        <v>0</v>
      </c>
      <c r="E32">
        <v>8063</v>
      </c>
      <c r="F32">
        <v>0</v>
      </c>
      <c r="G32">
        <v>0</v>
      </c>
      <c r="H32">
        <v>0</v>
      </c>
      <c r="I32">
        <v>0</v>
      </c>
      <c r="J32" s="92">
        <v>8063</v>
      </c>
    </row>
    <row r="33" spans="1:10" x14ac:dyDescent="0.3">
      <c r="A33" s="92">
        <v>2325</v>
      </c>
      <c r="B33">
        <v>2325</v>
      </c>
      <c r="C33">
        <v>0</v>
      </c>
      <c r="D33">
        <v>0</v>
      </c>
      <c r="E33">
        <v>624</v>
      </c>
      <c r="F33">
        <v>0</v>
      </c>
      <c r="G33">
        <v>0</v>
      </c>
      <c r="H33">
        <v>0</v>
      </c>
      <c r="I33">
        <v>0</v>
      </c>
      <c r="J33" s="92">
        <v>624</v>
      </c>
    </row>
    <row r="34" spans="1:10" x14ac:dyDescent="0.3">
      <c r="A34" s="92">
        <v>2350</v>
      </c>
      <c r="B34">
        <v>2350</v>
      </c>
      <c r="C34">
        <v>0</v>
      </c>
      <c r="D34">
        <v>0</v>
      </c>
      <c r="E34">
        <v>5869</v>
      </c>
      <c r="F34">
        <v>0</v>
      </c>
      <c r="G34">
        <v>0</v>
      </c>
      <c r="H34">
        <v>0</v>
      </c>
      <c r="I34">
        <v>0</v>
      </c>
      <c r="J34" s="92">
        <v>5869</v>
      </c>
    </row>
    <row r="35" spans="1:10" x14ac:dyDescent="0.3">
      <c r="A35" s="92">
        <v>2375</v>
      </c>
      <c r="B35">
        <v>2375</v>
      </c>
      <c r="C35">
        <v>0</v>
      </c>
      <c r="D35">
        <v>0</v>
      </c>
      <c r="E35">
        <v>1056</v>
      </c>
      <c r="F35">
        <v>0</v>
      </c>
      <c r="G35">
        <v>0</v>
      </c>
      <c r="H35">
        <v>0</v>
      </c>
      <c r="I35">
        <v>0</v>
      </c>
      <c r="J35" s="92">
        <v>1056</v>
      </c>
    </row>
    <row r="36" spans="1:10" x14ac:dyDescent="0.3">
      <c r="A36" s="92">
        <v>2400</v>
      </c>
      <c r="B36">
        <v>2400</v>
      </c>
      <c r="C36">
        <v>0</v>
      </c>
      <c r="D36">
        <v>0</v>
      </c>
      <c r="E36">
        <v>26278</v>
      </c>
      <c r="F36">
        <v>0</v>
      </c>
      <c r="G36">
        <v>0</v>
      </c>
      <c r="H36">
        <v>0</v>
      </c>
      <c r="I36">
        <v>0</v>
      </c>
      <c r="J36" s="92">
        <v>26278</v>
      </c>
    </row>
    <row r="37" spans="1:10" x14ac:dyDescent="0.3">
      <c r="A37" s="92">
        <v>2425</v>
      </c>
      <c r="B37">
        <v>2425</v>
      </c>
      <c r="C37">
        <v>0</v>
      </c>
      <c r="D37">
        <v>0</v>
      </c>
      <c r="E37">
        <v>1247</v>
      </c>
      <c r="F37">
        <v>0</v>
      </c>
      <c r="G37">
        <v>0</v>
      </c>
      <c r="H37">
        <v>0</v>
      </c>
      <c r="I37">
        <v>0</v>
      </c>
      <c r="J37" s="92">
        <v>1247</v>
      </c>
    </row>
    <row r="38" spans="1:10" x14ac:dyDescent="0.3">
      <c r="A38" s="92">
        <v>2450</v>
      </c>
      <c r="B38">
        <v>2450</v>
      </c>
      <c r="C38">
        <v>0</v>
      </c>
      <c r="D38">
        <v>0</v>
      </c>
      <c r="E38">
        <v>3566</v>
      </c>
      <c r="F38">
        <v>0</v>
      </c>
      <c r="G38">
        <v>0</v>
      </c>
      <c r="H38">
        <v>0</v>
      </c>
      <c r="I38">
        <v>0</v>
      </c>
      <c r="J38" s="92">
        <v>3566</v>
      </c>
    </row>
    <row r="39" spans="1:10" x14ac:dyDescent="0.3">
      <c r="A39" s="92">
        <v>2475</v>
      </c>
      <c r="B39">
        <v>2475</v>
      </c>
      <c r="C39">
        <v>0</v>
      </c>
      <c r="D39">
        <v>0</v>
      </c>
      <c r="E39">
        <v>1958</v>
      </c>
      <c r="F39">
        <v>0</v>
      </c>
      <c r="G39">
        <v>0</v>
      </c>
      <c r="H39">
        <v>0</v>
      </c>
      <c r="I39">
        <v>0</v>
      </c>
      <c r="J39" s="92">
        <v>1958</v>
      </c>
    </row>
    <row r="40" spans="1:10" x14ac:dyDescent="0.3">
      <c r="A40" s="92">
        <v>2500</v>
      </c>
      <c r="B40">
        <v>2500</v>
      </c>
      <c r="C40">
        <v>0</v>
      </c>
      <c r="D40">
        <v>0</v>
      </c>
      <c r="E40">
        <v>46940</v>
      </c>
      <c r="F40">
        <v>0</v>
      </c>
      <c r="G40">
        <v>0</v>
      </c>
      <c r="H40">
        <v>0</v>
      </c>
      <c r="I40">
        <v>0</v>
      </c>
      <c r="J40" s="92">
        <v>46940</v>
      </c>
    </row>
    <row r="41" spans="1:10" x14ac:dyDescent="0.3">
      <c r="A41" s="92">
        <v>2525</v>
      </c>
      <c r="B41">
        <v>2525</v>
      </c>
      <c r="C41">
        <v>0</v>
      </c>
      <c r="D41">
        <v>0</v>
      </c>
      <c r="E41">
        <v>4061</v>
      </c>
      <c r="F41">
        <v>0</v>
      </c>
      <c r="G41">
        <v>0</v>
      </c>
      <c r="H41">
        <v>0</v>
      </c>
      <c r="I41">
        <v>0</v>
      </c>
      <c r="J41" s="92">
        <v>4061</v>
      </c>
    </row>
    <row r="42" spans="1:10" x14ac:dyDescent="0.3">
      <c r="A42" s="92">
        <v>2550</v>
      </c>
      <c r="B42">
        <v>2550</v>
      </c>
      <c r="C42">
        <v>0</v>
      </c>
      <c r="D42">
        <v>0</v>
      </c>
      <c r="E42">
        <v>2282</v>
      </c>
      <c r="F42">
        <v>0</v>
      </c>
      <c r="G42">
        <v>0</v>
      </c>
      <c r="H42">
        <v>0</v>
      </c>
      <c r="I42">
        <v>0</v>
      </c>
      <c r="J42" s="92">
        <v>2282</v>
      </c>
    </row>
    <row r="43" spans="1:10" x14ac:dyDescent="0.3">
      <c r="A43" s="92">
        <v>2575</v>
      </c>
      <c r="B43">
        <v>2575</v>
      </c>
      <c r="C43">
        <v>0</v>
      </c>
      <c r="D43">
        <v>0</v>
      </c>
      <c r="E43">
        <v>948</v>
      </c>
      <c r="F43">
        <v>0</v>
      </c>
      <c r="G43">
        <v>0</v>
      </c>
      <c r="H43">
        <v>0</v>
      </c>
      <c r="I43">
        <v>0</v>
      </c>
      <c r="J43" s="92">
        <v>948</v>
      </c>
    </row>
    <row r="44" spans="1:10" x14ac:dyDescent="0.3">
      <c r="A44" s="92">
        <v>2600</v>
      </c>
      <c r="B44">
        <v>2600</v>
      </c>
      <c r="C44">
        <v>0</v>
      </c>
      <c r="D44">
        <v>0</v>
      </c>
      <c r="E44">
        <v>32225</v>
      </c>
      <c r="F44">
        <v>0</v>
      </c>
      <c r="G44">
        <v>0</v>
      </c>
      <c r="H44">
        <v>0</v>
      </c>
      <c r="I44">
        <v>0</v>
      </c>
      <c r="J44" s="92">
        <v>32225</v>
      </c>
    </row>
    <row r="45" spans="1:10" x14ac:dyDescent="0.3">
      <c r="A45" s="92">
        <v>2625</v>
      </c>
      <c r="B45">
        <v>2625</v>
      </c>
      <c r="C45">
        <v>0</v>
      </c>
      <c r="D45">
        <v>0</v>
      </c>
      <c r="E45">
        <v>2734</v>
      </c>
      <c r="F45">
        <v>0</v>
      </c>
      <c r="G45">
        <v>0</v>
      </c>
      <c r="H45">
        <v>0</v>
      </c>
      <c r="I45">
        <v>0</v>
      </c>
      <c r="J45" s="92">
        <v>2734</v>
      </c>
    </row>
    <row r="46" spans="1:10" x14ac:dyDescent="0.3">
      <c r="A46" s="92">
        <v>2650</v>
      </c>
      <c r="B46">
        <v>2650</v>
      </c>
      <c r="C46">
        <v>0</v>
      </c>
      <c r="D46">
        <v>0</v>
      </c>
      <c r="E46">
        <v>7857</v>
      </c>
      <c r="F46">
        <v>0</v>
      </c>
      <c r="G46">
        <v>0</v>
      </c>
      <c r="H46">
        <v>0</v>
      </c>
      <c r="I46">
        <v>0</v>
      </c>
      <c r="J46" s="92">
        <v>7857</v>
      </c>
    </row>
    <row r="47" spans="1:10" x14ac:dyDescent="0.3">
      <c r="A47" s="92">
        <v>2675</v>
      </c>
      <c r="B47">
        <v>2675</v>
      </c>
      <c r="C47">
        <v>0</v>
      </c>
      <c r="D47">
        <v>0</v>
      </c>
      <c r="E47">
        <v>1979</v>
      </c>
      <c r="F47">
        <v>0</v>
      </c>
      <c r="G47">
        <v>0</v>
      </c>
      <c r="H47">
        <v>0</v>
      </c>
      <c r="I47">
        <v>0</v>
      </c>
      <c r="J47" s="92">
        <v>1979</v>
      </c>
    </row>
    <row r="48" spans="1:10" x14ac:dyDescent="0.3">
      <c r="A48" s="92">
        <v>2700</v>
      </c>
      <c r="B48">
        <v>2700</v>
      </c>
      <c r="C48">
        <v>0</v>
      </c>
      <c r="D48">
        <v>0</v>
      </c>
      <c r="E48">
        <v>19853</v>
      </c>
      <c r="F48">
        <v>0</v>
      </c>
      <c r="G48">
        <v>0</v>
      </c>
      <c r="H48">
        <v>0</v>
      </c>
      <c r="I48">
        <v>0</v>
      </c>
      <c r="J48" s="92">
        <v>19853</v>
      </c>
    </row>
    <row r="49" spans="1:10" x14ac:dyDescent="0.3">
      <c r="A49" s="92">
        <v>2725</v>
      </c>
      <c r="B49">
        <v>2725</v>
      </c>
      <c r="C49">
        <v>0</v>
      </c>
      <c r="D49">
        <v>0</v>
      </c>
      <c r="E49">
        <v>1583</v>
      </c>
      <c r="F49">
        <v>0</v>
      </c>
      <c r="G49">
        <v>0</v>
      </c>
      <c r="H49">
        <v>0</v>
      </c>
      <c r="I49">
        <v>0</v>
      </c>
      <c r="J49" s="92">
        <v>1583</v>
      </c>
    </row>
    <row r="50" spans="1:10" x14ac:dyDescent="0.3">
      <c r="A50" s="92">
        <v>2750</v>
      </c>
      <c r="B50">
        <v>2750</v>
      </c>
      <c r="C50">
        <v>0</v>
      </c>
      <c r="D50">
        <v>0</v>
      </c>
      <c r="E50">
        <v>20326</v>
      </c>
      <c r="F50">
        <v>0</v>
      </c>
      <c r="G50">
        <v>0</v>
      </c>
      <c r="H50">
        <v>0</v>
      </c>
      <c r="I50">
        <v>0</v>
      </c>
      <c r="J50" s="92">
        <v>20326</v>
      </c>
    </row>
    <row r="51" spans="1:10" x14ac:dyDescent="0.3">
      <c r="A51" s="92">
        <v>2775</v>
      </c>
      <c r="B51">
        <v>2775</v>
      </c>
      <c r="C51">
        <v>0</v>
      </c>
      <c r="D51">
        <v>0</v>
      </c>
      <c r="E51">
        <v>2347</v>
      </c>
      <c r="F51">
        <v>0</v>
      </c>
      <c r="G51">
        <v>0</v>
      </c>
      <c r="H51">
        <v>0</v>
      </c>
      <c r="I51">
        <v>0</v>
      </c>
      <c r="J51" s="92">
        <v>2347</v>
      </c>
    </row>
    <row r="52" spans="1:10" x14ac:dyDescent="0.3">
      <c r="A52" s="92">
        <v>2800</v>
      </c>
      <c r="B52">
        <v>2800</v>
      </c>
      <c r="C52">
        <v>0</v>
      </c>
      <c r="D52">
        <v>0</v>
      </c>
      <c r="E52">
        <v>28298</v>
      </c>
      <c r="F52">
        <v>0</v>
      </c>
      <c r="G52">
        <v>0</v>
      </c>
      <c r="H52">
        <v>0</v>
      </c>
      <c r="I52">
        <v>0</v>
      </c>
      <c r="J52" s="92">
        <v>28298</v>
      </c>
    </row>
    <row r="53" spans="1:10" x14ac:dyDescent="0.3">
      <c r="A53" s="92">
        <v>2825</v>
      </c>
      <c r="B53">
        <v>2825</v>
      </c>
      <c r="C53">
        <v>0</v>
      </c>
      <c r="D53">
        <v>0</v>
      </c>
      <c r="E53">
        <v>1682</v>
      </c>
      <c r="F53">
        <v>0</v>
      </c>
      <c r="G53">
        <v>0</v>
      </c>
      <c r="H53">
        <v>0</v>
      </c>
      <c r="I53">
        <v>0</v>
      </c>
      <c r="J53" s="92">
        <v>1682</v>
      </c>
    </row>
    <row r="54" spans="1:10" x14ac:dyDescent="0.3">
      <c r="A54" s="92">
        <v>2850</v>
      </c>
      <c r="B54">
        <v>2850</v>
      </c>
      <c r="C54">
        <v>0</v>
      </c>
      <c r="D54">
        <v>0</v>
      </c>
      <c r="E54">
        <v>5040</v>
      </c>
      <c r="F54">
        <v>0</v>
      </c>
      <c r="G54">
        <v>0</v>
      </c>
      <c r="H54">
        <v>0</v>
      </c>
      <c r="I54">
        <v>0</v>
      </c>
      <c r="J54" s="92">
        <v>5040</v>
      </c>
    </row>
    <row r="55" spans="1:10" x14ac:dyDescent="0.3">
      <c r="A55" s="92">
        <v>2875</v>
      </c>
      <c r="B55">
        <v>2875</v>
      </c>
      <c r="C55">
        <v>0</v>
      </c>
      <c r="D55">
        <v>0</v>
      </c>
      <c r="E55">
        <v>2033</v>
      </c>
      <c r="F55">
        <v>0</v>
      </c>
      <c r="G55">
        <v>0</v>
      </c>
      <c r="H55">
        <v>0</v>
      </c>
      <c r="I55">
        <v>0</v>
      </c>
      <c r="J55" s="92">
        <v>2033</v>
      </c>
    </row>
    <row r="56" spans="1:10" x14ac:dyDescent="0.3">
      <c r="A56" s="92">
        <v>2900</v>
      </c>
      <c r="B56">
        <v>2900</v>
      </c>
      <c r="C56">
        <v>0</v>
      </c>
      <c r="D56">
        <v>0</v>
      </c>
      <c r="E56">
        <v>23413</v>
      </c>
      <c r="F56">
        <v>0</v>
      </c>
      <c r="G56">
        <v>0</v>
      </c>
      <c r="H56">
        <v>0</v>
      </c>
      <c r="I56">
        <v>0</v>
      </c>
      <c r="J56" s="92">
        <v>23413</v>
      </c>
    </row>
    <row r="57" spans="1:10" x14ac:dyDescent="0.3">
      <c r="A57" s="92">
        <v>2925</v>
      </c>
      <c r="B57">
        <v>2925</v>
      </c>
      <c r="C57">
        <v>0</v>
      </c>
      <c r="D57">
        <v>0</v>
      </c>
      <c r="E57">
        <v>1476</v>
      </c>
      <c r="F57">
        <v>0</v>
      </c>
      <c r="G57">
        <v>0</v>
      </c>
      <c r="H57">
        <v>0</v>
      </c>
      <c r="I57">
        <v>0</v>
      </c>
      <c r="J57" s="92">
        <v>1476</v>
      </c>
    </row>
    <row r="58" spans="1:10" x14ac:dyDescent="0.3">
      <c r="A58" s="92">
        <v>2950</v>
      </c>
      <c r="B58">
        <v>2950</v>
      </c>
      <c r="C58">
        <v>0</v>
      </c>
      <c r="D58">
        <v>0</v>
      </c>
      <c r="E58">
        <v>1369</v>
      </c>
      <c r="F58">
        <v>0</v>
      </c>
      <c r="G58">
        <v>0</v>
      </c>
      <c r="H58">
        <v>0</v>
      </c>
      <c r="I58">
        <v>0</v>
      </c>
      <c r="J58" s="92">
        <v>1369</v>
      </c>
    </row>
    <row r="59" spans="1:10" x14ac:dyDescent="0.3">
      <c r="A59" s="92">
        <v>2975</v>
      </c>
      <c r="B59">
        <v>2975</v>
      </c>
      <c r="C59">
        <v>0</v>
      </c>
      <c r="D59">
        <v>0</v>
      </c>
      <c r="E59">
        <v>1333</v>
      </c>
      <c r="F59">
        <v>0</v>
      </c>
      <c r="G59">
        <v>0</v>
      </c>
      <c r="H59">
        <v>0</v>
      </c>
      <c r="I59">
        <v>0</v>
      </c>
      <c r="J59" s="92">
        <v>1333</v>
      </c>
    </row>
    <row r="60" spans="1:10" x14ac:dyDescent="0.3">
      <c r="A60" s="92">
        <v>3000</v>
      </c>
      <c r="B60">
        <v>3000</v>
      </c>
      <c r="C60">
        <v>0</v>
      </c>
      <c r="D60">
        <v>500</v>
      </c>
      <c r="E60">
        <v>60943</v>
      </c>
      <c r="F60">
        <v>0.1</v>
      </c>
      <c r="G60">
        <v>0.1</v>
      </c>
      <c r="H60">
        <v>0.1</v>
      </c>
      <c r="I60">
        <v>0.1</v>
      </c>
      <c r="J60" s="92">
        <v>60943</v>
      </c>
    </row>
    <row r="61" spans="1:10" x14ac:dyDescent="0.3">
      <c r="A61" s="92">
        <v>3025</v>
      </c>
      <c r="B61">
        <v>3025</v>
      </c>
      <c r="C61">
        <v>0</v>
      </c>
      <c r="D61">
        <v>0</v>
      </c>
      <c r="E61">
        <v>10914</v>
      </c>
      <c r="F61">
        <v>0</v>
      </c>
      <c r="G61">
        <v>0</v>
      </c>
      <c r="H61">
        <v>0</v>
      </c>
      <c r="I61">
        <v>0</v>
      </c>
      <c r="J61" s="92">
        <v>10914</v>
      </c>
    </row>
    <row r="62" spans="1:10" x14ac:dyDescent="0.3">
      <c r="A62" s="92">
        <v>3050</v>
      </c>
      <c r="B62">
        <v>3050</v>
      </c>
      <c r="C62">
        <v>0</v>
      </c>
      <c r="D62">
        <v>0</v>
      </c>
      <c r="E62">
        <v>21386</v>
      </c>
      <c r="F62">
        <v>0</v>
      </c>
      <c r="G62">
        <v>0</v>
      </c>
      <c r="H62">
        <v>0</v>
      </c>
      <c r="I62">
        <v>0</v>
      </c>
      <c r="J62" s="92">
        <v>21386</v>
      </c>
    </row>
    <row r="63" spans="1:10" x14ac:dyDescent="0.3">
      <c r="A63" s="92">
        <v>3075</v>
      </c>
      <c r="B63">
        <v>3075</v>
      </c>
      <c r="C63">
        <v>0</v>
      </c>
      <c r="D63">
        <v>0</v>
      </c>
      <c r="E63">
        <v>33928</v>
      </c>
      <c r="F63">
        <v>0</v>
      </c>
      <c r="G63">
        <v>0</v>
      </c>
      <c r="H63">
        <v>0</v>
      </c>
      <c r="I63">
        <v>0</v>
      </c>
      <c r="J63" s="92">
        <v>33928</v>
      </c>
    </row>
    <row r="64" spans="1:10" x14ac:dyDescent="0.3">
      <c r="A64" s="92">
        <v>3100</v>
      </c>
      <c r="B64">
        <v>3100</v>
      </c>
      <c r="C64">
        <v>0</v>
      </c>
      <c r="D64">
        <v>0</v>
      </c>
      <c r="E64">
        <v>29357</v>
      </c>
      <c r="F64">
        <v>0</v>
      </c>
      <c r="G64">
        <v>0</v>
      </c>
      <c r="H64">
        <v>0</v>
      </c>
      <c r="I64">
        <v>0</v>
      </c>
      <c r="J64" s="92">
        <v>29357</v>
      </c>
    </row>
    <row r="65" spans="1:10" x14ac:dyDescent="0.3">
      <c r="A65" s="92">
        <v>3125</v>
      </c>
      <c r="B65">
        <v>3125</v>
      </c>
      <c r="C65">
        <v>0</v>
      </c>
      <c r="D65">
        <v>0</v>
      </c>
      <c r="E65">
        <v>3329</v>
      </c>
      <c r="F65">
        <v>0</v>
      </c>
      <c r="G65">
        <v>0</v>
      </c>
      <c r="H65">
        <v>0</v>
      </c>
      <c r="I65">
        <v>0</v>
      </c>
      <c r="J65" s="92">
        <v>3329</v>
      </c>
    </row>
    <row r="66" spans="1:10" x14ac:dyDescent="0.3">
      <c r="A66" s="92">
        <v>3150</v>
      </c>
      <c r="B66">
        <v>3150</v>
      </c>
      <c r="C66">
        <v>0</v>
      </c>
      <c r="D66">
        <v>274</v>
      </c>
      <c r="E66">
        <v>15798</v>
      </c>
      <c r="F66">
        <v>0.1</v>
      </c>
      <c r="G66">
        <v>0.1</v>
      </c>
      <c r="H66">
        <v>0.1</v>
      </c>
      <c r="I66">
        <v>0.1</v>
      </c>
      <c r="J66" s="92">
        <v>15798</v>
      </c>
    </row>
    <row r="67" spans="1:10" x14ac:dyDescent="0.3">
      <c r="A67" s="92">
        <v>3175</v>
      </c>
      <c r="B67">
        <v>3175</v>
      </c>
      <c r="C67">
        <v>0</v>
      </c>
      <c r="D67">
        <v>0</v>
      </c>
      <c r="E67">
        <v>2410</v>
      </c>
      <c r="F67">
        <v>0</v>
      </c>
      <c r="G67">
        <v>0</v>
      </c>
      <c r="H67">
        <v>0</v>
      </c>
      <c r="I67">
        <v>0</v>
      </c>
      <c r="J67" s="92">
        <v>2410</v>
      </c>
    </row>
    <row r="68" spans="1:10" x14ac:dyDescent="0.3">
      <c r="A68" s="92">
        <v>3200</v>
      </c>
      <c r="B68">
        <v>3200</v>
      </c>
      <c r="C68">
        <v>0</v>
      </c>
      <c r="D68">
        <v>14</v>
      </c>
      <c r="E68">
        <v>92200</v>
      </c>
      <c r="F68">
        <v>0.1</v>
      </c>
      <c r="G68">
        <v>0.1</v>
      </c>
      <c r="H68">
        <v>0.1</v>
      </c>
      <c r="I68">
        <v>0.1</v>
      </c>
      <c r="J68" s="92">
        <v>92200</v>
      </c>
    </row>
    <row r="69" spans="1:10" x14ac:dyDescent="0.3">
      <c r="A69" s="92">
        <v>3225</v>
      </c>
      <c r="B69">
        <v>3225</v>
      </c>
      <c r="C69">
        <v>0</v>
      </c>
      <c r="D69">
        <v>0</v>
      </c>
      <c r="E69">
        <v>19933</v>
      </c>
      <c r="F69">
        <v>0</v>
      </c>
      <c r="G69">
        <v>0</v>
      </c>
      <c r="H69">
        <v>0</v>
      </c>
      <c r="I69">
        <v>0</v>
      </c>
      <c r="J69" s="92">
        <v>19933</v>
      </c>
    </row>
    <row r="70" spans="1:10" x14ac:dyDescent="0.3">
      <c r="A70" s="92">
        <v>3250</v>
      </c>
      <c r="B70">
        <v>3250</v>
      </c>
      <c r="C70">
        <v>0</v>
      </c>
      <c r="D70">
        <v>0</v>
      </c>
      <c r="E70">
        <v>44416</v>
      </c>
      <c r="F70">
        <v>0</v>
      </c>
      <c r="G70">
        <v>0</v>
      </c>
      <c r="H70">
        <v>0</v>
      </c>
      <c r="I70">
        <v>0</v>
      </c>
      <c r="J70" s="92">
        <v>44416</v>
      </c>
    </row>
    <row r="71" spans="1:10" x14ac:dyDescent="0.3">
      <c r="A71" s="92">
        <v>3275</v>
      </c>
      <c r="B71">
        <v>3275</v>
      </c>
      <c r="C71">
        <v>0</v>
      </c>
      <c r="D71">
        <v>1000</v>
      </c>
      <c r="E71">
        <v>8058</v>
      </c>
      <c r="F71">
        <v>0.2</v>
      </c>
      <c r="G71">
        <v>0.2</v>
      </c>
      <c r="H71">
        <v>0.2</v>
      </c>
      <c r="I71">
        <v>0.2</v>
      </c>
      <c r="J71" s="92">
        <v>8058</v>
      </c>
    </row>
    <row r="72" spans="1:10" x14ac:dyDescent="0.3">
      <c r="A72" s="92">
        <v>3300</v>
      </c>
      <c r="B72">
        <v>3300</v>
      </c>
      <c r="C72">
        <v>0</v>
      </c>
      <c r="D72">
        <v>1700</v>
      </c>
      <c r="E72">
        <v>79185</v>
      </c>
      <c r="F72">
        <v>0.2</v>
      </c>
      <c r="G72">
        <v>0.2</v>
      </c>
      <c r="H72">
        <v>0.2</v>
      </c>
      <c r="I72">
        <v>0.2</v>
      </c>
      <c r="J72" s="92">
        <v>79185</v>
      </c>
    </row>
    <row r="73" spans="1:10" x14ac:dyDescent="0.3">
      <c r="A73" s="92">
        <v>3325</v>
      </c>
      <c r="B73">
        <v>3325</v>
      </c>
      <c r="C73">
        <v>0</v>
      </c>
      <c r="D73">
        <v>0</v>
      </c>
      <c r="E73">
        <v>4822</v>
      </c>
      <c r="F73">
        <v>0</v>
      </c>
      <c r="G73">
        <v>0</v>
      </c>
      <c r="H73">
        <v>0</v>
      </c>
      <c r="I73">
        <v>0</v>
      </c>
      <c r="J73" s="92">
        <v>4822</v>
      </c>
    </row>
    <row r="74" spans="1:10" x14ac:dyDescent="0.3">
      <c r="A74" s="92">
        <v>3350</v>
      </c>
      <c r="B74">
        <v>3350</v>
      </c>
      <c r="C74">
        <v>0</v>
      </c>
      <c r="D74">
        <v>2001</v>
      </c>
      <c r="E74">
        <v>17606</v>
      </c>
      <c r="F74">
        <v>0.3</v>
      </c>
      <c r="G74">
        <v>0.3</v>
      </c>
      <c r="H74">
        <v>0.2</v>
      </c>
      <c r="I74">
        <v>0.2</v>
      </c>
      <c r="J74" s="92">
        <v>17606</v>
      </c>
    </row>
    <row r="75" spans="1:10" x14ac:dyDescent="0.3">
      <c r="A75" s="92">
        <v>3375</v>
      </c>
      <c r="B75">
        <v>3375</v>
      </c>
      <c r="C75">
        <v>0</v>
      </c>
      <c r="D75">
        <v>5400</v>
      </c>
      <c r="E75">
        <v>10577</v>
      </c>
      <c r="F75">
        <v>0.2</v>
      </c>
      <c r="G75">
        <v>0.2</v>
      </c>
      <c r="H75">
        <v>0.2</v>
      </c>
      <c r="I75">
        <v>0.2</v>
      </c>
      <c r="J75" s="92">
        <v>10577</v>
      </c>
    </row>
    <row r="76" spans="1:10" x14ac:dyDescent="0.3">
      <c r="A76" s="92">
        <v>3400</v>
      </c>
      <c r="B76">
        <v>3400</v>
      </c>
      <c r="C76">
        <v>0</v>
      </c>
      <c r="D76">
        <v>800</v>
      </c>
      <c r="E76">
        <v>56473</v>
      </c>
      <c r="F76">
        <v>0.2</v>
      </c>
      <c r="G76">
        <v>0.2</v>
      </c>
      <c r="H76">
        <v>0.2</v>
      </c>
      <c r="I76">
        <v>0.2</v>
      </c>
      <c r="J76" s="92">
        <v>56473</v>
      </c>
    </row>
    <row r="77" spans="1:10" x14ac:dyDescent="0.3">
      <c r="A77" s="92">
        <v>3425</v>
      </c>
      <c r="B77">
        <v>3425</v>
      </c>
      <c r="C77">
        <v>0</v>
      </c>
      <c r="D77">
        <v>4000</v>
      </c>
      <c r="E77">
        <v>9156</v>
      </c>
      <c r="F77">
        <v>0.2</v>
      </c>
      <c r="G77">
        <v>0.2</v>
      </c>
      <c r="H77">
        <v>0.2</v>
      </c>
      <c r="I77">
        <v>0.2</v>
      </c>
      <c r="J77" s="92">
        <v>9156</v>
      </c>
    </row>
    <row r="78" spans="1:10" x14ac:dyDescent="0.3">
      <c r="A78" s="92">
        <v>3450</v>
      </c>
      <c r="B78">
        <v>3450</v>
      </c>
      <c r="C78">
        <v>0</v>
      </c>
      <c r="D78">
        <v>23</v>
      </c>
      <c r="E78">
        <v>33584</v>
      </c>
      <c r="F78">
        <v>0.3</v>
      </c>
      <c r="G78">
        <v>0.3</v>
      </c>
      <c r="H78">
        <v>0.3</v>
      </c>
      <c r="I78">
        <v>0.3</v>
      </c>
      <c r="J78" s="92">
        <v>33584</v>
      </c>
    </row>
    <row r="79" spans="1:10" x14ac:dyDescent="0.3">
      <c r="A79" s="92">
        <v>3475</v>
      </c>
      <c r="B79">
        <v>3475</v>
      </c>
      <c r="C79">
        <v>0</v>
      </c>
      <c r="D79">
        <v>0</v>
      </c>
      <c r="E79">
        <v>9543</v>
      </c>
      <c r="F79">
        <v>0</v>
      </c>
      <c r="G79">
        <v>0</v>
      </c>
      <c r="H79">
        <v>0</v>
      </c>
      <c r="I79">
        <v>0</v>
      </c>
      <c r="J79" s="92">
        <v>9543</v>
      </c>
    </row>
    <row r="80" spans="1:10" x14ac:dyDescent="0.3">
      <c r="A80" s="92">
        <v>3500</v>
      </c>
      <c r="B80">
        <v>3500</v>
      </c>
      <c r="C80">
        <v>0</v>
      </c>
      <c r="D80">
        <v>400</v>
      </c>
      <c r="E80">
        <v>113350</v>
      </c>
      <c r="F80">
        <v>0.3</v>
      </c>
      <c r="G80">
        <v>0.3</v>
      </c>
      <c r="H80">
        <v>0.3</v>
      </c>
      <c r="I80">
        <v>0.3</v>
      </c>
      <c r="J80" s="92">
        <v>113350</v>
      </c>
    </row>
    <row r="81" spans="1:10" x14ac:dyDescent="0.3">
      <c r="A81" s="92">
        <v>3525</v>
      </c>
      <c r="B81">
        <v>3525</v>
      </c>
      <c r="C81">
        <v>0</v>
      </c>
      <c r="D81">
        <v>107</v>
      </c>
      <c r="E81">
        <v>10391</v>
      </c>
      <c r="F81">
        <v>0.3</v>
      </c>
      <c r="G81">
        <v>0.3</v>
      </c>
      <c r="H81">
        <v>0.3</v>
      </c>
      <c r="I81">
        <v>0.3</v>
      </c>
      <c r="J81" s="92">
        <v>10391</v>
      </c>
    </row>
    <row r="82" spans="1:10" x14ac:dyDescent="0.3">
      <c r="A82" s="92">
        <v>3550</v>
      </c>
      <c r="B82">
        <v>3550</v>
      </c>
      <c r="C82">
        <v>0</v>
      </c>
      <c r="D82">
        <v>46</v>
      </c>
      <c r="E82">
        <v>34208</v>
      </c>
      <c r="F82">
        <v>0.3</v>
      </c>
      <c r="G82">
        <v>0.3</v>
      </c>
      <c r="H82">
        <v>0.3</v>
      </c>
      <c r="I82">
        <v>0.3</v>
      </c>
      <c r="J82" s="92">
        <v>34208</v>
      </c>
    </row>
    <row r="83" spans="1:10" x14ac:dyDescent="0.3">
      <c r="A83" s="92">
        <v>3575</v>
      </c>
      <c r="B83">
        <v>3575</v>
      </c>
      <c r="C83">
        <v>0</v>
      </c>
      <c r="D83">
        <v>0</v>
      </c>
      <c r="E83">
        <v>5875</v>
      </c>
      <c r="F83">
        <v>0</v>
      </c>
      <c r="G83">
        <v>0</v>
      </c>
      <c r="H83">
        <v>0</v>
      </c>
      <c r="I83">
        <v>0</v>
      </c>
      <c r="J83" s="92">
        <v>5875</v>
      </c>
    </row>
    <row r="84" spans="1:10" x14ac:dyDescent="0.3">
      <c r="A84" s="92">
        <v>3600</v>
      </c>
      <c r="B84">
        <v>3600</v>
      </c>
      <c r="C84">
        <v>0</v>
      </c>
      <c r="D84">
        <v>7504</v>
      </c>
      <c r="E84">
        <v>112808</v>
      </c>
      <c r="F84">
        <v>0.3</v>
      </c>
      <c r="G84">
        <v>0.4</v>
      </c>
      <c r="H84">
        <v>0.2</v>
      </c>
      <c r="I84">
        <v>0.4</v>
      </c>
      <c r="J84" s="92">
        <v>112808</v>
      </c>
    </row>
    <row r="85" spans="1:10" x14ac:dyDescent="0.3">
      <c r="A85" s="92">
        <v>3625</v>
      </c>
      <c r="B85">
        <v>3625</v>
      </c>
      <c r="C85">
        <v>0</v>
      </c>
      <c r="D85">
        <v>3985</v>
      </c>
      <c r="E85">
        <v>8728</v>
      </c>
      <c r="F85">
        <v>0.3</v>
      </c>
      <c r="G85">
        <v>0.4</v>
      </c>
      <c r="H85">
        <v>0.2</v>
      </c>
      <c r="I85">
        <v>0.3</v>
      </c>
      <c r="J85" s="92">
        <v>8728</v>
      </c>
    </row>
    <row r="86" spans="1:10" x14ac:dyDescent="0.3">
      <c r="A86" s="92">
        <v>3650</v>
      </c>
      <c r="B86">
        <v>3650</v>
      </c>
      <c r="C86">
        <v>0</v>
      </c>
      <c r="D86">
        <v>13362</v>
      </c>
      <c r="E86">
        <v>61660</v>
      </c>
      <c r="F86">
        <v>0.4</v>
      </c>
      <c r="G86">
        <v>0.5</v>
      </c>
      <c r="H86">
        <v>0.2</v>
      </c>
      <c r="I86">
        <v>0.4</v>
      </c>
      <c r="J86" s="92">
        <v>61660</v>
      </c>
    </row>
    <row r="87" spans="1:10" x14ac:dyDescent="0.3">
      <c r="A87" s="92">
        <v>3675</v>
      </c>
      <c r="B87">
        <v>3675</v>
      </c>
      <c r="C87">
        <v>0</v>
      </c>
      <c r="D87">
        <v>5746</v>
      </c>
      <c r="E87">
        <v>17008</v>
      </c>
      <c r="F87">
        <v>0.4</v>
      </c>
      <c r="G87">
        <v>0.5</v>
      </c>
      <c r="H87">
        <v>0.2</v>
      </c>
      <c r="I87">
        <v>0.4</v>
      </c>
      <c r="J87" s="92">
        <v>17008</v>
      </c>
    </row>
    <row r="88" spans="1:10" x14ac:dyDescent="0.3">
      <c r="A88" s="92">
        <v>3700</v>
      </c>
      <c r="B88">
        <v>3700</v>
      </c>
      <c r="C88">
        <v>0</v>
      </c>
      <c r="D88">
        <v>13951</v>
      </c>
      <c r="E88">
        <v>95741</v>
      </c>
      <c r="F88">
        <v>0.4</v>
      </c>
      <c r="G88">
        <v>0.5</v>
      </c>
      <c r="H88">
        <v>0.3</v>
      </c>
      <c r="I88">
        <v>0.5</v>
      </c>
      <c r="J88" s="92">
        <v>95741</v>
      </c>
    </row>
    <row r="89" spans="1:10" x14ac:dyDescent="0.3">
      <c r="A89" s="92">
        <v>3725</v>
      </c>
      <c r="B89">
        <v>3725</v>
      </c>
      <c r="C89">
        <v>0</v>
      </c>
      <c r="D89">
        <v>5478</v>
      </c>
      <c r="E89">
        <v>16654</v>
      </c>
      <c r="F89">
        <v>0.4</v>
      </c>
      <c r="G89">
        <v>0.5</v>
      </c>
      <c r="H89">
        <v>0.3</v>
      </c>
      <c r="I89">
        <v>0.4</v>
      </c>
      <c r="J89" s="92">
        <v>16654</v>
      </c>
    </row>
    <row r="90" spans="1:10" x14ac:dyDescent="0.3">
      <c r="A90" s="92">
        <v>3750</v>
      </c>
      <c r="B90">
        <v>3750</v>
      </c>
      <c r="C90">
        <v>0</v>
      </c>
      <c r="D90">
        <v>6590</v>
      </c>
      <c r="E90">
        <v>80367</v>
      </c>
      <c r="F90">
        <v>0.5</v>
      </c>
      <c r="G90">
        <v>0.6</v>
      </c>
      <c r="H90">
        <v>0.3</v>
      </c>
      <c r="I90">
        <v>0.5</v>
      </c>
      <c r="J90" s="92">
        <v>80367</v>
      </c>
    </row>
    <row r="91" spans="1:10" x14ac:dyDescent="0.3">
      <c r="A91" s="92">
        <v>3775</v>
      </c>
      <c r="B91">
        <v>3775</v>
      </c>
      <c r="C91">
        <v>0</v>
      </c>
      <c r="D91">
        <v>6272</v>
      </c>
      <c r="E91">
        <v>26497</v>
      </c>
      <c r="F91">
        <v>0.6</v>
      </c>
      <c r="G91">
        <v>0.7</v>
      </c>
      <c r="H91">
        <v>0.3</v>
      </c>
      <c r="I91">
        <v>0.4</v>
      </c>
      <c r="J91" s="92">
        <v>26497</v>
      </c>
    </row>
    <row r="92" spans="1:10" x14ac:dyDescent="0.3">
      <c r="A92" s="92">
        <v>3800</v>
      </c>
      <c r="B92">
        <v>3800</v>
      </c>
      <c r="C92">
        <v>0</v>
      </c>
      <c r="D92">
        <v>9988</v>
      </c>
      <c r="E92">
        <v>159749</v>
      </c>
      <c r="F92">
        <v>0.6</v>
      </c>
      <c r="G92">
        <v>0.8</v>
      </c>
      <c r="H92">
        <v>0.4</v>
      </c>
      <c r="I92">
        <v>0.4</v>
      </c>
      <c r="J92" s="92">
        <v>159749</v>
      </c>
    </row>
    <row r="93" spans="1:10" x14ac:dyDescent="0.3">
      <c r="A93" s="92">
        <v>3825</v>
      </c>
      <c r="B93">
        <v>3825</v>
      </c>
      <c r="C93">
        <v>0</v>
      </c>
      <c r="D93">
        <v>14095</v>
      </c>
      <c r="E93">
        <v>57242</v>
      </c>
      <c r="F93">
        <v>0.7</v>
      </c>
      <c r="G93">
        <v>0.7</v>
      </c>
      <c r="H93">
        <v>0.4</v>
      </c>
      <c r="I93">
        <v>0.5</v>
      </c>
      <c r="J93" s="92">
        <v>57242</v>
      </c>
    </row>
    <row r="94" spans="1:10" x14ac:dyDescent="0.3">
      <c r="A94" s="92">
        <v>3850</v>
      </c>
      <c r="B94">
        <v>3850</v>
      </c>
      <c r="C94">
        <v>0</v>
      </c>
      <c r="D94">
        <v>9649</v>
      </c>
      <c r="E94">
        <v>148992</v>
      </c>
      <c r="F94">
        <v>0.7</v>
      </c>
      <c r="G94">
        <v>1</v>
      </c>
      <c r="H94">
        <v>0.4</v>
      </c>
      <c r="I94">
        <v>0.5</v>
      </c>
      <c r="J94" s="92">
        <v>148992</v>
      </c>
    </row>
    <row r="95" spans="1:10" x14ac:dyDescent="0.3">
      <c r="A95" s="92">
        <v>3875</v>
      </c>
      <c r="B95">
        <v>3875</v>
      </c>
      <c r="C95">
        <v>0</v>
      </c>
      <c r="D95">
        <v>5578</v>
      </c>
      <c r="E95">
        <v>39884</v>
      </c>
      <c r="F95">
        <v>1.1000000000000001</v>
      </c>
      <c r="G95">
        <v>1.2</v>
      </c>
      <c r="H95">
        <v>0.5</v>
      </c>
      <c r="I95">
        <v>0.5</v>
      </c>
      <c r="J95" s="92">
        <v>39884</v>
      </c>
    </row>
    <row r="96" spans="1:10" x14ac:dyDescent="0.3">
      <c r="A96" s="92">
        <v>3900</v>
      </c>
      <c r="B96">
        <v>3900</v>
      </c>
      <c r="C96">
        <v>0</v>
      </c>
      <c r="D96">
        <v>13472</v>
      </c>
      <c r="E96">
        <v>233348</v>
      </c>
      <c r="F96">
        <v>1</v>
      </c>
      <c r="G96">
        <v>1.4</v>
      </c>
      <c r="H96">
        <v>0.5</v>
      </c>
      <c r="I96">
        <v>0.6</v>
      </c>
      <c r="J96" s="92">
        <v>233348</v>
      </c>
    </row>
    <row r="97" spans="1:10" x14ac:dyDescent="0.3">
      <c r="A97" s="92">
        <v>3925</v>
      </c>
      <c r="B97">
        <v>3925</v>
      </c>
      <c r="C97">
        <v>0</v>
      </c>
      <c r="D97">
        <v>9745</v>
      </c>
      <c r="E97">
        <v>19412</v>
      </c>
      <c r="F97">
        <v>0.9</v>
      </c>
      <c r="G97">
        <v>1.6</v>
      </c>
      <c r="H97">
        <v>0.6</v>
      </c>
      <c r="I97">
        <v>0.7</v>
      </c>
      <c r="J97" s="92">
        <v>19412</v>
      </c>
    </row>
    <row r="98" spans="1:10" x14ac:dyDescent="0.3">
      <c r="A98" s="92">
        <v>3950</v>
      </c>
      <c r="B98">
        <v>3950</v>
      </c>
      <c r="C98">
        <v>0</v>
      </c>
      <c r="D98">
        <v>14178</v>
      </c>
      <c r="E98">
        <v>76332</v>
      </c>
      <c r="F98">
        <v>1.1000000000000001</v>
      </c>
      <c r="G98">
        <v>2.1</v>
      </c>
      <c r="H98">
        <v>0.7</v>
      </c>
      <c r="I98">
        <v>0.8</v>
      </c>
      <c r="J98" s="92">
        <v>76332</v>
      </c>
    </row>
    <row r="99" spans="1:10" x14ac:dyDescent="0.3">
      <c r="A99" s="92">
        <v>3975</v>
      </c>
      <c r="B99">
        <v>3975</v>
      </c>
      <c r="C99">
        <v>0</v>
      </c>
      <c r="D99">
        <v>8772</v>
      </c>
      <c r="E99">
        <v>19012</v>
      </c>
      <c r="F99">
        <v>1.3</v>
      </c>
      <c r="G99">
        <v>1.8</v>
      </c>
      <c r="H99">
        <v>0.8</v>
      </c>
      <c r="I99">
        <v>0.9</v>
      </c>
      <c r="J99" s="92">
        <v>19012</v>
      </c>
    </row>
    <row r="100" spans="1:10" x14ac:dyDescent="0.3">
      <c r="A100" s="92">
        <v>4000</v>
      </c>
      <c r="B100">
        <v>4000</v>
      </c>
      <c r="C100">
        <v>0</v>
      </c>
      <c r="D100">
        <v>37900</v>
      </c>
      <c r="E100">
        <v>209570</v>
      </c>
      <c r="F100">
        <v>1.8</v>
      </c>
      <c r="G100">
        <v>3.7</v>
      </c>
      <c r="H100">
        <v>1.1000000000000001</v>
      </c>
      <c r="I100">
        <v>1.1000000000000001</v>
      </c>
      <c r="J100" s="92">
        <v>209570</v>
      </c>
    </row>
    <row r="101" spans="1:10" x14ac:dyDescent="0.3">
      <c r="A101" s="92">
        <v>4025</v>
      </c>
      <c r="B101">
        <v>4025</v>
      </c>
      <c r="C101">
        <v>0</v>
      </c>
      <c r="D101">
        <v>7102</v>
      </c>
      <c r="E101">
        <v>22834</v>
      </c>
      <c r="F101">
        <v>2.1</v>
      </c>
      <c r="G101">
        <v>5.0999999999999996</v>
      </c>
      <c r="H101">
        <v>1.4</v>
      </c>
      <c r="I101">
        <v>1.5</v>
      </c>
      <c r="J101" s="92">
        <v>22834</v>
      </c>
    </row>
    <row r="102" spans="1:10" x14ac:dyDescent="0.3">
      <c r="A102" s="92">
        <v>4050</v>
      </c>
      <c r="B102">
        <v>4050</v>
      </c>
      <c r="C102">
        <v>0</v>
      </c>
      <c r="D102">
        <v>51064</v>
      </c>
      <c r="E102">
        <v>90253</v>
      </c>
      <c r="F102">
        <v>3.1</v>
      </c>
      <c r="G102">
        <v>6.8</v>
      </c>
      <c r="H102">
        <v>2</v>
      </c>
      <c r="I102">
        <v>2.1</v>
      </c>
      <c r="J102" s="92">
        <v>90253</v>
      </c>
    </row>
    <row r="103" spans="1:10" x14ac:dyDescent="0.3">
      <c r="A103" s="92">
        <v>4075</v>
      </c>
      <c r="B103">
        <v>4075</v>
      </c>
      <c r="C103">
        <v>0</v>
      </c>
      <c r="D103">
        <v>11164</v>
      </c>
      <c r="E103">
        <v>82873</v>
      </c>
      <c r="F103">
        <v>3.7</v>
      </c>
      <c r="G103">
        <v>8.8000000000000007</v>
      </c>
      <c r="H103">
        <v>2.7</v>
      </c>
      <c r="I103">
        <v>2.9</v>
      </c>
      <c r="J103" s="92">
        <v>82873</v>
      </c>
    </row>
    <row r="104" spans="1:10" x14ac:dyDescent="0.3">
      <c r="A104" s="92">
        <v>4100</v>
      </c>
      <c r="B104">
        <v>4100</v>
      </c>
      <c r="C104">
        <v>0</v>
      </c>
      <c r="D104">
        <v>28969</v>
      </c>
      <c r="E104">
        <v>112364</v>
      </c>
      <c r="F104">
        <v>5.3</v>
      </c>
      <c r="G104">
        <v>14.2</v>
      </c>
      <c r="H104">
        <v>4.0999999999999996</v>
      </c>
      <c r="I104">
        <v>4.2</v>
      </c>
      <c r="J104" s="92">
        <v>112364</v>
      </c>
    </row>
    <row r="105" spans="1:10" x14ac:dyDescent="0.3">
      <c r="A105" s="92">
        <v>4125</v>
      </c>
      <c r="B105">
        <v>4125</v>
      </c>
      <c r="C105">
        <v>0</v>
      </c>
      <c r="D105">
        <v>15963</v>
      </c>
      <c r="E105">
        <v>40397</v>
      </c>
      <c r="F105">
        <v>8.8000000000000007</v>
      </c>
      <c r="G105">
        <v>19.5</v>
      </c>
      <c r="H105">
        <v>5.9</v>
      </c>
      <c r="I105">
        <v>6.2</v>
      </c>
      <c r="J105" s="92">
        <v>40397</v>
      </c>
    </row>
    <row r="106" spans="1:10" x14ac:dyDescent="0.3">
      <c r="A106" s="92">
        <v>4150</v>
      </c>
      <c r="B106">
        <v>4150</v>
      </c>
      <c r="C106">
        <v>0</v>
      </c>
      <c r="D106">
        <v>25520</v>
      </c>
      <c r="E106">
        <v>127942</v>
      </c>
      <c r="F106">
        <v>11</v>
      </c>
      <c r="G106">
        <v>26.6</v>
      </c>
      <c r="H106">
        <v>8.8000000000000007</v>
      </c>
      <c r="I106">
        <v>9.1999999999999993</v>
      </c>
      <c r="J106" s="92">
        <v>127942</v>
      </c>
    </row>
    <row r="107" spans="1:10" x14ac:dyDescent="0.3">
      <c r="A107" s="92">
        <v>4175</v>
      </c>
      <c r="B107">
        <v>4175</v>
      </c>
      <c r="C107">
        <v>0</v>
      </c>
      <c r="D107">
        <v>17799</v>
      </c>
      <c r="E107">
        <v>21212</v>
      </c>
      <c r="F107">
        <v>16.8</v>
      </c>
      <c r="G107">
        <v>35.200000000000003</v>
      </c>
      <c r="H107">
        <v>12.9</v>
      </c>
      <c r="I107">
        <v>13.5</v>
      </c>
      <c r="J107" s="92">
        <v>21212</v>
      </c>
    </row>
    <row r="108" spans="1:10" x14ac:dyDescent="0.3">
      <c r="A108" s="92">
        <v>4200</v>
      </c>
      <c r="B108">
        <v>4200</v>
      </c>
      <c r="C108">
        <v>0</v>
      </c>
      <c r="D108">
        <v>44463</v>
      </c>
      <c r="E108">
        <v>133556</v>
      </c>
      <c r="F108">
        <v>21.8</v>
      </c>
      <c r="G108">
        <v>48</v>
      </c>
      <c r="H108">
        <v>18.5</v>
      </c>
      <c r="I108">
        <v>19.5</v>
      </c>
      <c r="J108" s="92">
        <v>133556</v>
      </c>
    </row>
    <row r="109" spans="1:10" x14ac:dyDescent="0.3">
      <c r="A109" s="92">
        <v>4225</v>
      </c>
      <c r="B109">
        <v>4225</v>
      </c>
      <c r="C109">
        <v>0</v>
      </c>
      <c r="D109">
        <v>5726</v>
      </c>
      <c r="E109">
        <v>21421</v>
      </c>
      <c r="F109">
        <v>33</v>
      </c>
      <c r="G109">
        <v>62</v>
      </c>
      <c r="H109">
        <v>26.4</v>
      </c>
      <c r="I109">
        <v>27.4</v>
      </c>
      <c r="J109" s="92">
        <v>21421</v>
      </c>
    </row>
    <row r="110" spans="1:10" x14ac:dyDescent="0.3">
      <c r="A110" s="92">
        <v>4250</v>
      </c>
      <c r="B110">
        <v>4250</v>
      </c>
      <c r="C110">
        <v>0</v>
      </c>
      <c r="D110">
        <v>17078</v>
      </c>
      <c r="E110">
        <v>88489</v>
      </c>
      <c r="F110">
        <v>38</v>
      </c>
      <c r="G110">
        <v>80.2</v>
      </c>
      <c r="H110">
        <v>36.9</v>
      </c>
      <c r="I110">
        <v>38.5</v>
      </c>
      <c r="J110" s="92">
        <v>88489</v>
      </c>
    </row>
    <row r="111" spans="1:10" x14ac:dyDescent="0.3">
      <c r="A111" s="92">
        <v>4275</v>
      </c>
      <c r="B111">
        <v>4275</v>
      </c>
      <c r="C111">
        <v>0</v>
      </c>
      <c r="D111">
        <v>7085</v>
      </c>
      <c r="E111">
        <v>30512</v>
      </c>
      <c r="F111">
        <v>58.4</v>
      </c>
      <c r="G111">
        <v>97.4</v>
      </c>
      <c r="H111">
        <v>52.1</v>
      </c>
      <c r="I111">
        <v>52.7</v>
      </c>
      <c r="J111" s="92">
        <v>30512</v>
      </c>
    </row>
    <row r="112" spans="1:10" x14ac:dyDescent="0.3">
      <c r="A112" s="92">
        <v>4300</v>
      </c>
      <c r="B112">
        <v>4300</v>
      </c>
      <c r="C112">
        <v>0</v>
      </c>
      <c r="D112">
        <v>6656</v>
      </c>
      <c r="E112">
        <v>98269</v>
      </c>
      <c r="F112">
        <v>68</v>
      </c>
      <c r="G112">
        <v>118.1</v>
      </c>
      <c r="H112">
        <v>68</v>
      </c>
      <c r="I112">
        <v>69</v>
      </c>
      <c r="J112" s="92">
        <v>98269</v>
      </c>
    </row>
    <row r="113" spans="1:10" x14ac:dyDescent="0.3">
      <c r="A113" s="92">
        <v>4325</v>
      </c>
      <c r="B113">
        <v>4325</v>
      </c>
      <c r="C113">
        <v>0</v>
      </c>
      <c r="D113">
        <v>175</v>
      </c>
      <c r="E113">
        <v>20644</v>
      </c>
      <c r="F113">
        <v>129.4</v>
      </c>
      <c r="G113">
        <v>136.69999999999999</v>
      </c>
      <c r="H113">
        <v>129.4</v>
      </c>
      <c r="I113">
        <v>136.69999999999999</v>
      </c>
      <c r="J113" s="92">
        <v>20644</v>
      </c>
    </row>
    <row r="114" spans="1:10" x14ac:dyDescent="0.3">
      <c r="A114" s="92">
        <v>4350</v>
      </c>
      <c r="B114">
        <v>4350</v>
      </c>
      <c r="C114">
        <v>0</v>
      </c>
      <c r="D114">
        <v>633</v>
      </c>
      <c r="E114">
        <v>69983</v>
      </c>
      <c r="F114">
        <v>150</v>
      </c>
      <c r="G114">
        <v>154</v>
      </c>
      <c r="H114">
        <v>110.8</v>
      </c>
      <c r="I114">
        <v>111</v>
      </c>
      <c r="J114" s="92">
        <v>69983</v>
      </c>
    </row>
    <row r="115" spans="1:10" x14ac:dyDescent="0.3">
      <c r="A115" s="92">
        <v>4375</v>
      </c>
      <c r="B115">
        <v>4375</v>
      </c>
      <c r="C115">
        <v>0</v>
      </c>
      <c r="D115">
        <v>11</v>
      </c>
      <c r="E115">
        <v>17492</v>
      </c>
      <c r="F115">
        <v>137.80000000000001</v>
      </c>
      <c r="G115">
        <v>175.5</v>
      </c>
      <c r="H115">
        <v>133.80000000000001</v>
      </c>
      <c r="I115">
        <v>133.80000000000001</v>
      </c>
      <c r="J115" s="92">
        <v>17492</v>
      </c>
    </row>
    <row r="116" spans="1:10" x14ac:dyDescent="0.3">
      <c r="A116" s="92">
        <v>4400</v>
      </c>
      <c r="B116">
        <v>4400</v>
      </c>
      <c r="C116">
        <v>0</v>
      </c>
      <c r="D116">
        <v>3</v>
      </c>
      <c r="E116">
        <v>35430</v>
      </c>
      <c r="F116">
        <v>217</v>
      </c>
      <c r="G116">
        <v>217</v>
      </c>
      <c r="H116">
        <v>197.3</v>
      </c>
      <c r="I116">
        <v>197.3</v>
      </c>
      <c r="J116" s="92">
        <v>35430</v>
      </c>
    </row>
    <row r="117" spans="1:10" x14ac:dyDescent="0.3">
      <c r="A117" s="92">
        <v>4425</v>
      </c>
      <c r="B117">
        <v>4425</v>
      </c>
      <c r="C117">
        <v>0</v>
      </c>
      <c r="D117">
        <v>0</v>
      </c>
      <c r="E117">
        <v>6287</v>
      </c>
      <c r="F117">
        <v>0</v>
      </c>
      <c r="G117">
        <v>0</v>
      </c>
      <c r="H117">
        <v>0</v>
      </c>
      <c r="I117">
        <v>0</v>
      </c>
      <c r="J117" s="92">
        <v>6287</v>
      </c>
    </row>
    <row r="118" spans="1:10" x14ac:dyDescent="0.3">
      <c r="A118" s="92">
        <v>4450</v>
      </c>
      <c r="B118">
        <v>4450</v>
      </c>
      <c r="C118">
        <v>0</v>
      </c>
      <c r="D118">
        <v>7</v>
      </c>
      <c r="E118">
        <v>9879</v>
      </c>
      <c r="F118">
        <v>0</v>
      </c>
      <c r="G118">
        <v>0</v>
      </c>
      <c r="H118">
        <v>0</v>
      </c>
      <c r="I118">
        <v>0</v>
      </c>
      <c r="J118" s="92">
        <v>9879</v>
      </c>
    </row>
    <row r="119" spans="1:10" x14ac:dyDescent="0.3">
      <c r="A119" s="92">
        <v>4475</v>
      </c>
      <c r="B119">
        <v>4475</v>
      </c>
      <c r="C119">
        <v>0</v>
      </c>
      <c r="D119">
        <v>24</v>
      </c>
      <c r="E119">
        <v>974</v>
      </c>
      <c r="F119">
        <v>284.5</v>
      </c>
      <c r="G119">
        <v>284.5</v>
      </c>
      <c r="H119">
        <v>266.7</v>
      </c>
      <c r="I119">
        <v>266.7</v>
      </c>
      <c r="J119" s="92">
        <v>974</v>
      </c>
    </row>
    <row r="120" spans="1:10" x14ac:dyDescent="0.3">
      <c r="A120" s="92">
        <v>4500</v>
      </c>
      <c r="B120">
        <v>4500</v>
      </c>
      <c r="C120">
        <v>0</v>
      </c>
      <c r="D120">
        <v>28</v>
      </c>
      <c r="E120">
        <v>18858</v>
      </c>
      <c r="F120">
        <v>289.10000000000002</v>
      </c>
      <c r="G120">
        <v>289.10000000000002</v>
      </c>
      <c r="H120">
        <v>274.5</v>
      </c>
      <c r="I120">
        <v>274.5</v>
      </c>
      <c r="J120" s="92">
        <v>18858</v>
      </c>
    </row>
    <row r="121" spans="1:10" x14ac:dyDescent="0.3">
      <c r="A121" s="92">
        <v>4525</v>
      </c>
      <c r="B121">
        <v>4525</v>
      </c>
      <c r="C121">
        <v>0</v>
      </c>
      <c r="D121">
        <v>0</v>
      </c>
      <c r="E121">
        <v>252</v>
      </c>
      <c r="F121">
        <v>0</v>
      </c>
      <c r="G121">
        <v>0</v>
      </c>
      <c r="H121">
        <v>0</v>
      </c>
      <c r="I121">
        <v>0</v>
      </c>
      <c r="J121" s="92">
        <v>252</v>
      </c>
    </row>
    <row r="122" spans="1:10" x14ac:dyDescent="0.3">
      <c r="A122" s="92">
        <v>4550</v>
      </c>
      <c r="B122">
        <v>4550</v>
      </c>
      <c r="C122">
        <v>0</v>
      </c>
      <c r="D122">
        <v>0</v>
      </c>
      <c r="E122">
        <v>3492</v>
      </c>
      <c r="F122">
        <v>0</v>
      </c>
      <c r="G122">
        <v>0</v>
      </c>
      <c r="H122">
        <v>0</v>
      </c>
      <c r="I122">
        <v>0</v>
      </c>
      <c r="J122" s="92">
        <v>3492</v>
      </c>
    </row>
    <row r="123" spans="1:10" x14ac:dyDescent="0.3">
      <c r="A123" s="92">
        <v>4575</v>
      </c>
      <c r="B123">
        <v>4575</v>
      </c>
      <c r="C123">
        <v>0</v>
      </c>
      <c r="D123">
        <v>0</v>
      </c>
      <c r="E123">
        <v>10</v>
      </c>
      <c r="F123">
        <v>0</v>
      </c>
      <c r="G123">
        <v>0</v>
      </c>
      <c r="H123">
        <v>0</v>
      </c>
      <c r="I123">
        <v>0</v>
      </c>
      <c r="J123" s="92">
        <v>10</v>
      </c>
    </row>
    <row r="124" spans="1:10" x14ac:dyDescent="0.3">
      <c r="A124" s="92">
        <v>4600</v>
      </c>
      <c r="B124">
        <v>4600</v>
      </c>
      <c r="C124">
        <v>0</v>
      </c>
      <c r="D124">
        <v>0</v>
      </c>
      <c r="E124">
        <v>3355</v>
      </c>
      <c r="F124">
        <v>0</v>
      </c>
      <c r="G124">
        <v>0</v>
      </c>
      <c r="H124">
        <v>0</v>
      </c>
      <c r="I124">
        <v>0</v>
      </c>
      <c r="J124" s="92">
        <v>3355</v>
      </c>
    </row>
    <row r="125" spans="1:10" x14ac:dyDescent="0.3">
      <c r="A125" s="92">
        <v>4625</v>
      </c>
      <c r="B125">
        <v>4625</v>
      </c>
      <c r="C125">
        <v>0</v>
      </c>
      <c r="D125">
        <v>0</v>
      </c>
      <c r="E125">
        <v>79</v>
      </c>
      <c r="F125">
        <v>0</v>
      </c>
      <c r="G125">
        <v>0</v>
      </c>
      <c r="H125">
        <v>0</v>
      </c>
      <c r="I125">
        <v>0</v>
      </c>
      <c r="J125" s="92">
        <v>79</v>
      </c>
    </row>
    <row r="126" spans="1:10" x14ac:dyDescent="0.3">
      <c r="A126" s="92">
        <v>4650</v>
      </c>
      <c r="B126">
        <v>4650</v>
      </c>
      <c r="C126">
        <v>0</v>
      </c>
      <c r="D126">
        <v>0</v>
      </c>
      <c r="E126">
        <v>334</v>
      </c>
      <c r="F126">
        <v>0</v>
      </c>
      <c r="G126">
        <v>0</v>
      </c>
      <c r="H126">
        <v>0</v>
      </c>
      <c r="I126">
        <v>0</v>
      </c>
      <c r="J126" s="92">
        <v>334</v>
      </c>
    </row>
    <row r="127" spans="1:10" x14ac:dyDescent="0.3">
      <c r="A127" s="92">
        <v>4675</v>
      </c>
      <c r="B127">
        <v>4675</v>
      </c>
      <c r="C127">
        <v>0</v>
      </c>
      <c r="D127">
        <v>0</v>
      </c>
      <c r="E127">
        <v>59</v>
      </c>
      <c r="F127">
        <v>0</v>
      </c>
      <c r="G127">
        <v>0</v>
      </c>
      <c r="H127">
        <v>0</v>
      </c>
      <c r="I127">
        <v>0</v>
      </c>
      <c r="J127" s="92">
        <v>59</v>
      </c>
    </row>
    <row r="128" spans="1:10" x14ac:dyDescent="0.3">
      <c r="A128" s="92">
        <v>4700</v>
      </c>
      <c r="B128">
        <v>4700</v>
      </c>
      <c r="C128">
        <v>0</v>
      </c>
      <c r="D128">
        <v>0</v>
      </c>
      <c r="E128">
        <v>102</v>
      </c>
      <c r="F128">
        <v>0</v>
      </c>
      <c r="G128">
        <v>0</v>
      </c>
      <c r="H128">
        <v>0</v>
      </c>
      <c r="I128">
        <v>0</v>
      </c>
      <c r="J128" s="92">
        <v>102</v>
      </c>
    </row>
    <row r="129" spans="1:10" x14ac:dyDescent="0.3">
      <c r="A129" s="92">
        <v>4725</v>
      </c>
      <c r="B129">
        <v>4725</v>
      </c>
      <c r="C129">
        <v>0</v>
      </c>
      <c r="D129">
        <v>0</v>
      </c>
      <c r="E129">
        <v>38</v>
      </c>
      <c r="F129">
        <v>0</v>
      </c>
      <c r="G129">
        <v>0</v>
      </c>
      <c r="H129">
        <v>0</v>
      </c>
      <c r="I129">
        <v>0</v>
      </c>
      <c r="J129" s="92">
        <v>38</v>
      </c>
    </row>
    <row r="130" spans="1:10" x14ac:dyDescent="0.3">
      <c r="A130" s="92">
        <v>4750</v>
      </c>
      <c r="B130">
        <v>4750</v>
      </c>
      <c r="C130">
        <v>0</v>
      </c>
      <c r="D130">
        <v>0</v>
      </c>
      <c r="E130">
        <v>7</v>
      </c>
      <c r="F130">
        <v>0</v>
      </c>
      <c r="G130">
        <v>0</v>
      </c>
      <c r="H130">
        <v>0</v>
      </c>
      <c r="I130">
        <v>0</v>
      </c>
      <c r="J130" s="92">
        <v>7</v>
      </c>
    </row>
    <row r="131" spans="1:10" x14ac:dyDescent="0.3">
      <c r="A131" s="92">
        <v>4775</v>
      </c>
      <c r="B131">
        <v>4775</v>
      </c>
      <c r="C131">
        <v>0</v>
      </c>
      <c r="D131">
        <v>0</v>
      </c>
      <c r="E131">
        <v>0</v>
      </c>
      <c r="F131">
        <v>0</v>
      </c>
      <c r="G131">
        <v>0</v>
      </c>
      <c r="H131">
        <v>0</v>
      </c>
      <c r="I131">
        <v>0</v>
      </c>
      <c r="J131" s="92">
        <v>0</v>
      </c>
    </row>
    <row r="132" spans="1:10" x14ac:dyDescent="0.3">
      <c r="A132" s="92">
        <v>4800</v>
      </c>
      <c r="B132">
        <v>4800</v>
      </c>
      <c r="C132">
        <v>0</v>
      </c>
      <c r="D132">
        <v>0</v>
      </c>
      <c r="E132">
        <v>39</v>
      </c>
      <c r="F132">
        <v>0</v>
      </c>
      <c r="G132">
        <v>0</v>
      </c>
      <c r="H132">
        <v>0</v>
      </c>
      <c r="I132">
        <v>0</v>
      </c>
      <c r="J132" s="92">
        <v>39</v>
      </c>
    </row>
    <row r="133" spans="1:10" x14ac:dyDescent="0.3">
      <c r="A133" s="92">
        <v>4825</v>
      </c>
      <c r="B133">
        <v>4825</v>
      </c>
      <c r="C133">
        <v>0</v>
      </c>
      <c r="D133">
        <v>0</v>
      </c>
      <c r="E133">
        <v>0</v>
      </c>
      <c r="F133">
        <v>0</v>
      </c>
      <c r="G133">
        <v>0</v>
      </c>
      <c r="H133">
        <v>0</v>
      </c>
      <c r="I133">
        <v>0</v>
      </c>
      <c r="J133" s="92">
        <v>0</v>
      </c>
    </row>
    <row r="134" spans="1:10" x14ac:dyDescent="0.3">
      <c r="A134" s="92">
        <v>4850</v>
      </c>
      <c r="B134">
        <v>4850</v>
      </c>
      <c r="C134">
        <v>0</v>
      </c>
      <c r="D134">
        <v>0</v>
      </c>
      <c r="E134">
        <v>2</v>
      </c>
      <c r="F134">
        <v>0</v>
      </c>
      <c r="G134">
        <v>0</v>
      </c>
      <c r="H134">
        <v>0</v>
      </c>
      <c r="I134">
        <v>0</v>
      </c>
      <c r="J134" s="92">
        <v>2</v>
      </c>
    </row>
    <row r="135" spans="1:10" x14ac:dyDescent="0.3">
      <c r="A135" s="92">
        <v>4875</v>
      </c>
      <c r="B135">
        <v>4875</v>
      </c>
      <c r="C135">
        <v>0</v>
      </c>
      <c r="D135">
        <v>0</v>
      </c>
      <c r="E135">
        <v>0</v>
      </c>
      <c r="F135">
        <v>0</v>
      </c>
      <c r="G135">
        <v>0</v>
      </c>
      <c r="H135">
        <v>0</v>
      </c>
      <c r="I135">
        <v>0</v>
      </c>
      <c r="J135" s="92">
        <v>0</v>
      </c>
    </row>
    <row r="136" spans="1:10" x14ac:dyDescent="0.3">
      <c r="A136" s="92">
        <v>4900</v>
      </c>
      <c r="B136">
        <v>4900</v>
      </c>
      <c r="C136">
        <v>0</v>
      </c>
      <c r="D136">
        <v>0</v>
      </c>
      <c r="E136">
        <v>2</v>
      </c>
      <c r="F136">
        <v>0</v>
      </c>
      <c r="G136">
        <v>0</v>
      </c>
      <c r="H136">
        <v>0</v>
      </c>
      <c r="I136">
        <v>0</v>
      </c>
      <c r="J136" s="92">
        <v>2</v>
      </c>
    </row>
    <row r="137" spans="1:10" x14ac:dyDescent="0.3">
      <c r="A137" s="92">
        <v>4925</v>
      </c>
      <c r="B137">
        <v>4925</v>
      </c>
      <c r="C137">
        <v>0</v>
      </c>
      <c r="D137">
        <v>0</v>
      </c>
      <c r="E137">
        <v>0</v>
      </c>
      <c r="F137">
        <v>0</v>
      </c>
      <c r="G137">
        <v>0</v>
      </c>
      <c r="H137">
        <v>0</v>
      </c>
      <c r="I137">
        <v>0</v>
      </c>
      <c r="J137" s="92">
        <v>0</v>
      </c>
    </row>
    <row r="138" spans="1:10" x14ac:dyDescent="0.3">
      <c r="A138" s="92">
        <v>4950</v>
      </c>
      <c r="B138">
        <v>4950</v>
      </c>
      <c r="C138">
        <v>0</v>
      </c>
      <c r="D138">
        <v>0</v>
      </c>
      <c r="E138">
        <v>0</v>
      </c>
      <c r="F138">
        <v>0</v>
      </c>
      <c r="G138">
        <v>0</v>
      </c>
      <c r="H138">
        <v>0</v>
      </c>
      <c r="I138">
        <v>0</v>
      </c>
      <c r="J138" s="92">
        <v>0</v>
      </c>
    </row>
    <row r="139" spans="1:10" x14ac:dyDescent="0.3">
      <c r="A139" s="92">
        <v>4975</v>
      </c>
      <c r="B139">
        <v>4975</v>
      </c>
      <c r="C139">
        <v>0</v>
      </c>
      <c r="D139">
        <v>0</v>
      </c>
      <c r="E139">
        <v>0</v>
      </c>
      <c r="F139">
        <v>0</v>
      </c>
      <c r="G139">
        <v>0</v>
      </c>
      <c r="H139">
        <v>0</v>
      </c>
      <c r="I139">
        <v>0</v>
      </c>
      <c r="J139" s="92">
        <v>0</v>
      </c>
    </row>
    <row r="140" spans="1:10" x14ac:dyDescent="0.3">
      <c r="A140" s="92">
        <v>5000</v>
      </c>
      <c r="B140">
        <v>5000</v>
      </c>
      <c r="C140">
        <v>0</v>
      </c>
      <c r="D140">
        <v>0</v>
      </c>
      <c r="E140">
        <v>41</v>
      </c>
      <c r="F140">
        <v>0</v>
      </c>
      <c r="G140">
        <v>0</v>
      </c>
      <c r="H140">
        <v>0</v>
      </c>
      <c r="I140">
        <v>0</v>
      </c>
      <c r="J140" s="92">
        <v>41</v>
      </c>
    </row>
    <row r="141" spans="1:10" x14ac:dyDescent="0.3">
      <c r="A141" s="92">
        <v>5025</v>
      </c>
      <c r="B141">
        <v>5025</v>
      </c>
      <c r="C141">
        <v>0</v>
      </c>
      <c r="D141">
        <v>0</v>
      </c>
      <c r="E141">
        <v>0</v>
      </c>
      <c r="F141">
        <v>0</v>
      </c>
      <c r="G141">
        <v>0</v>
      </c>
      <c r="H141">
        <v>0</v>
      </c>
      <c r="I141">
        <v>0</v>
      </c>
      <c r="J141" s="92">
        <v>0</v>
      </c>
    </row>
    <row r="142" spans="1:10" x14ac:dyDescent="0.3">
      <c r="A142" s="92">
        <v>5050</v>
      </c>
      <c r="B142">
        <v>5050</v>
      </c>
      <c r="C142">
        <v>0</v>
      </c>
      <c r="D142">
        <v>0</v>
      </c>
      <c r="E142">
        <v>0</v>
      </c>
      <c r="F142">
        <v>0</v>
      </c>
      <c r="G142">
        <v>0</v>
      </c>
      <c r="H142">
        <v>0</v>
      </c>
      <c r="I142">
        <v>0</v>
      </c>
      <c r="J142" s="92">
        <v>0</v>
      </c>
    </row>
    <row r="143" spans="1:10" x14ac:dyDescent="0.3">
      <c r="A143" s="92">
        <v>5075</v>
      </c>
      <c r="B143">
        <v>5075</v>
      </c>
      <c r="C143">
        <v>0</v>
      </c>
      <c r="D143">
        <v>0</v>
      </c>
      <c r="E143">
        <v>0</v>
      </c>
      <c r="F143">
        <v>0</v>
      </c>
      <c r="G143">
        <v>0</v>
      </c>
      <c r="H143">
        <v>0</v>
      </c>
      <c r="I143">
        <v>0</v>
      </c>
      <c r="J143" s="92">
        <v>0</v>
      </c>
    </row>
    <row r="144" spans="1:10" x14ac:dyDescent="0.3">
      <c r="A144" s="92">
        <v>5100</v>
      </c>
      <c r="B144">
        <v>5100</v>
      </c>
      <c r="C144">
        <v>0</v>
      </c>
      <c r="D144">
        <v>0</v>
      </c>
      <c r="E144">
        <v>0</v>
      </c>
      <c r="F144">
        <v>0</v>
      </c>
      <c r="G144">
        <v>0</v>
      </c>
      <c r="H144">
        <v>0</v>
      </c>
      <c r="I144">
        <v>0</v>
      </c>
      <c r="J144" s="92">
        <v>0</v>
      </c>
    </row>
    <row r="145" spans="1:10" x14ac:dyDescent="0.3">
      <c r="A145" s="92">
        <v>5125</v>
      </c>
      <c r="B145">
        <v>5125</v>
      </c>
      <c r="C145">
        <v>0</v>
      </c>
      <c r="D145">
        <v>0</v>
      </c>
      <c r="E145">
        <v>0</v>
      </c>
      <c r="F145">
        <v>0</v>
      </c>
      <c r="G145">
        <v>0</v>
      </c>
      <c r="H145">
        <v>0</v>
      </c>
      <c r="I145">
        <v>0</v>
      </c>
      <c r="J145" s="92">
        <v>0</v>
      </c>
    </row>
    <row r="146" spans="1:10" x14ac:dyDescent="0.3">
      <c r="A146" s="92">
        <v>5150</v>
      </c>
      <c r="B146">
        <v>5150</v>
      </c>
      <c r="C146">
        <v>0</v>
      </c>
      <c r="D146">
        <v>0</v>
      </c>
      <c r="E146">
        <v>0</v>
      </c>
      <c r="F146">
        <v>0</v>
      </c>
      <c r="G146">
        <v>0</v>
      </c>
      <c r="H146">
        <v>0</v>
      </c>
      <c r="I146">
        <v>0</v>
      </c>
      <c r="J146" s="92">
        <v>0</v>
      </c>
    </row>
    <row r="147" spans="1:10" x14ac:dyDescent="0.3">
      <c r="A147" s="92">
        <v>5175</v>
      </c>
      <c r="B147">
        <v>5175</v>
      </c>
      <c r="C147">
        <v>0</v>
      </c>
      <c r="D147">
        <v>0</v>
      </c>
      <c r="E147">
        <v>0</v>
      </c>
      <c r="F147">
        <v>0</v>
      </c>
      <c r="G147">
        <v>0</v>
      </c>
      <c r="H147">
        <v>0</v>
      </c>
      <c r="I147">
        <v>0</v>
      </c>
      <c r="J147" s="92">
        <v>0</v>
      </c>
    </row>
    <row r="148" spans="1:10" x14ac:dyDescent="0.3">
      <c r="A148" s="92">
        <v>5200</v>
      </c>
      <c r="B148">
        <v>5200</v>
      </c>
      <c r="C148">
        <v>0</v>
      </c>
      <c r="D148">
        <v>0</v>
      </c>
      <c r="E148">
        <v>3</v>
      </c>
      <c r="F148">
        <v>0</v>
      </c>
      <c r="G148">
        <v>0</v>
      </c>
      <c r="H148">
        <v>0</v>
      </c>
      <c r="I148">
        <v>0</v>
      </c>
      <c r="J148" s="92">
        <v>3</v>
      </c>
    </row>
    <row r="149" spans="1:10" x14ac:dyDescent="0.3">
      <c r="A149" s="92">
        <v>5225</v>
      </c>
      <c r="B149">
        <v>5225</v>
      </c>
      <c r="C149">
        <v>0</v>
      </c>
      <c r="D149">
        <v>0</v>
      </c>
      <c r="E149">
        <v>0</v>
      </c>
      <c r="F149">
        <v>0</v>
      </c>
      <c r="G149">
        <v>0</v>
      </c>
      <c r="H149">
        <v>0</v>
      </c>
      <c r="I149">
        <v>0</v>
      </c>
      <c r="J149" s="92">
        <v>0</v>
      </c>
    </row>
    <row r="150" spans="1:10" x14ac:dyDescent="0.3">
      <c r="A150" s="92">
        <v>5250</v>
      </c>
      <c r="B150">
        <v>5250</v>
      </c>
      <c r="C150">
        <v>0</v>
      </c>
      <c r="D150">
        <v>0</v>
      </c>
      <c r="E150">
        <v>1</v>
      </c>
      <c r="F150">
        <v>0</v>
      </c>
      <c r="G150">
        <v>0</v>
      </c>
      <c r="H150">
        <v>0</v>
      </c>
      <c r="I150">
        <v>0</v>
      </c>
      <c r="J150" s="92">
        <v>1</v>
      </c>
    </row>
    <row r="151" spans="1:10" x14ac:dyDescent="0.3">
      <c r="A151" s="92">
        <v>5275</v>
      </c>
      <c r="B151">
        <v>5275</v>
      </c>
      <c r="C151">
        <v>0</v>
      </c>
      <c r="D151">
        <v>0</v>
      </c>
      <c r="E151">
        <v>0</v>
      </c>
      <c r="F151">
        <v>0</v>
      </c>
      <c r="G151">
        <v>0</v>
      </c>
      <c r="H151">
        <v>0</v>
      </c>
      <c r="I151">
        <v>0</v>
      </c>
      <c r="J151" s="92">
        <v>0</v>
      </c>
    </row>
    <row r="152" spans="1:10" x14ac:dyDescent="0.3">
      <c r="A152" s="92">
        <v>5300</v>
      </c>
      <c r="B152">
        <v>5300</v>
      </c>
      <c r="C152">
        <v>0</v>
      </c>
      <c r="D152">
        <v>0</v>
      </c>
      <c r="E152">
        <v>7</v>
      </c>
      <c r="F152">
        <v>0</v>
      </c>
      <c r="G152">
        <v>0</v>
      </c>
      <c r="H152">
        <v>0</v>
      </c>
      <c r="I152">
        <v>0</v>
      </c>
      <c r="J152" s="92">
        <v>7</v>
      </c>
    </row>
    <row r="153" spans="1:10" x14ac:dyDescent="0.3">
      <c r="A153" s="92">
        <v>5325</v>
      </c>
      <c r="B153">
        <v>5325</v>
      </c>
      <c r="C153">
        <v>0</v>
      </c>
      <c r="D153">
        <v>0</v>
      </c>
      <c r="E153">
        <v>0</v>
      </c>
      <c r="F153">
        <v>0</v>
      </c>
      <c r="G153">
        <v>0</v>
      </c>
      <c r="H153">
        <v>0</v>
      </c>
      <c r="I153">
        <v>0</v>
      </c>
      <c r="J153" s="92">
        <v>0</v>
      </c>
    </row>
    <row r="154" spans="1:10" x14ac:dyDescent="0.3">
      <c r="A154" s="92">
        <v>5375</v>
      </c>
      <c r="B154">
        <v>5375</v>
      </c>
      <c r="C154">
        <v>0</v>
      </c>
      <c r="D154">
        <v>0</v>
      </c>
      <c r="E154">
        <v>0</v>
      </c>
      <c r="F154">
        <v>0</v>
      </c>
      <c r="G154">
        <v>0</v>
      </c>
      <c r="H154">
        <v>0</v>
      </c>
      <c r="I154">
        <v>0</v>
      </c>
      <c r="J154" s="92">
        <v>0</v>
      </c>
    </row>
    <row r="155" spans="1:10" x14ac:dyDescent="0.3">
      <c r="A155" s="92">
        <v>5400</v>
      </c>
      <c r="B155">
        <v>5400</v>
      </c>
      <c r="C155">
        <v>0</v>
      </c>
      <c r="D155">
        <v>0</v>
      </c>
      <c r="E155">
        <v>7</v>
      </c>
      <c r="F155">
        <v>0</v>
      </c>
      <c r="G155">
        <v>0</v>
      </c>
      <c r="H155">
        <v>0</v>
      </c>
      <c r="I155">
        <v>0</v>
      </c>
      <c r="J155" s="92">
        <v>7</v>
      </c>
    </row>
    <row r="156" spans="1:10" x14ac:dyDescent="0.3">
      <c r="A156" s="92">
        <v>5500</v>
      </c>
      <c r="B156">
        <v>5500</v>
      </c>
      <c r="C156">
        <v>0</v>
      </c>
      <c r="D156">
        <v>0</v>
      </c>
      <c r="E156">
        <v>42</v>
      </c>
      <c r="F156">
        <v>0</v>
      </c>
      <c r="G156">
        <v>0</v>
      </c>
      <c r="H156">
        <v>0</v>
      </c>
      <c r="I156">
        <v>0</v>
      </c>
      <c r="J156" s="92">
        <v>42</v>
      </c>
    </row>
    <row r="157" spans="1:10" x14ac:dyDescent="0.3">
      <c r="A157" s="92">
        <v>5600</v>
      </c>
      <c r="B157">
        <v>5600</v>
      </c>
      <c r="C157">
        <v>0</v>
      </c>
      <c r="D157">
        <v>0</v>
      </c>
      <c r="E157">
        <v>111</v>
      </c>
      <c r="F157">
        <v>0</v>
      </c>
      <c r="G157">
        <v>0</v>
      </c>
      <c r="H157">
        <v>0</v>
      </c>
      <c r="I157">
        <v>0</v>
      </c>
      <c r="J157" s="92">
        <v>111</v>
      </c>
    </row>
    <row r="158" spans="1:10" x14ac:dyDescent="0.3">
      <c r="A158" s="92">
        <v>5700</v>
      </c>
      <c r="B158">
        <v>5700</v>
      </c>
      <c r="C158">
        <v>0</v>
      </c>
      <c r="D158">
        <v>0</v>
      </c>
      <c r="E158">
        <v>0</v>
      </c>
      <c r="F158">
        <v>0</v>
      </c>
      <c r="G158">
        <v>0</v>
      </c>
      <c r="H158">
        <v>0</v>
      </c>
      <c r="I158">
        <v>0</v>
      </c>
      <c r="J158" s="92">
        <v>0</v>
      </c>
    </row>
    <row r="159" spans="1:10" x14ac:dyDescent="0.3">
      <c r="A159" s="92">
        <v>5800</v>
      </c>
      <c r="B159">
        <v>5800</v>
      </c>
      <c r="C159">
        <v>0</v>
      </c>
      <c r="D159">
        <v>0</v>
      </c>
      <c r="E159">
        <v>0</v>
      </c>
      <c r="F159">
        <v>0</v>
      </c>
      <c r="G159">
        <v>0</v>
      </c>
      <c r="H159">
        <v>0</v>
      </c>
      <c r="I159">
        <v>0</v>
      </c>
      <c r="J159" s="92">
        <v>0</v>
      </c>
    </row>
    <row r="160" spans="1:10" x14ac:dyDescent="0.3">
      <c r="A160" s="92">
        <v>5900</v>
      </c>
      <c r="B160">
        <v>5900</v>
      </c>
      <c r="C160">
        <v>0</v>
      </c>
      <c r="D160">
        <v>0</v>
      </c>
      <c r="E160">
        <v>0</v>
      </c>
      <c r="F160">
        <v>0</v>
      </c>
      <c r="G160">
        <v>0</v>
      </c>
      <c r="H160">
        <v>0</v>
      </c>
      <c r="I160">
        <v>0</v>
      </c>
      <c r="J160" s="92">
        <v>0</v>
      </c>
    </row>
    <row r="161" spans="1:10" x14ac:dyDescent="0.3">
      <c r="A161" s="92">
        <v>6000</v>
      </c>
      <c r="B161">
        <v>6000</v>
      </c>
      <c r="C161">
        <v>0</v>
      </c>
      <c r="D161">
        <v>0</v>
      </c>
      <c r="E161">
        <v>27451</v>
      </c>
      <c r="F161">
        <v>0</v>
      </c>
      <c r="G161">
        <v>0</v>
      </c>
      <c r="H161">
        <v>0</v>
      </c>
      <c r="I161">
        <v>0</v>
      </c>
      <c r="J161" s="92">
        <v>27451</v>
      </c>
    </row>
    <row r="162" spans="1:10" x14ac:dyDescent="0.3">
      <c r="A162" s="92">
        <v>7000</v>
      </c>
      <c r="B162">
        <v>7000</v>
      </c>
      <c r="C162">
        <v>0</v>
      </c>
      <c r="D162">
        <v>0</v>
      </c>
      <c r="E162">
        <v>1</v>
      </c>
      <c r="F162">
        <v>0</v>
      </c>
      <c r="G162">
        <v>0</v>
      </c>
      <c r="H162">
        <v>0</v>
      </c>
      <c r="I162">
        <v>0</v>
      </c>
      <c r="J162" s="92">
        <v>1</v>
      </c>
    </row>
    <row r="163" spans="1:10" x14ac:dyDescent="0.3">
      <c r="A163" s="92">
        <v>8000</v>
      </c>
      <c r="B163">
        <v>8000</v>
      </c>
      <c r="C163">
        <v>0</v>
      </c>
      <c r="D163">
        <v>0</v>
      </c>
      <c r="E163">
        <v>0</v>
      </c>
      <c r="F163">
        <v>0</v>
      </c>
      <c r="G163">
        <v>0</v>
      </c>
      <c r="H163">
        <v>0</v>
      </c>
      <c r="I163">
        <v>0</v>
      </c>
      <c r="J163" s="92">
        <v>0</v>
      </c>
    </row>
    <row r="164" spans="1:10" x14ac:dyDescent="0.3">
      <c r="A164" s="92">
        <v>9000</v>
      </c>
      <c r="B164">
        <v>9000</v>
      </c>
      <c r="C164">
        <v>0</v>
      </c>
      <c r="D164">
        <v>0</v>
      </c>
      <c r="E164">
        <v>0</v>
      </c>
      <c r="F164">
        <v>0</v>
      </c>
      <c r="G164">
        <v>0</v>
      </c>
      <c r="H164">
        <v>0</v>
      </c>
      <c r="I164">
        <v>0</v>
      </c>
      <c r="J164" s="92">
        <v>0</v>
      </c>
    </row>
    <row r="165" spans="1:10" x14ac:dyDescent="0.3">
      <c r="A165" t="s">
        <v>284</v>
      </c>
      <c r="B165">
        <v>10000</v>
      </c>
      <c r="C165">
        <v>0</v>
      </c>
      <c r="D165">
        <v>0</v>
      </c>
      <c r="E165">
        <v>0</v>
      </c>
      <c r="F165">
        <v>0</v>
      </c>
      <c r="G165">
        <v>0</v>
      </c>
      <c r="H165">
        <v>0</v>
      </c>
      <c r="I165">
        <v>0</v>
      </c>
      <c r="J165">
        <v>5753.8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A26A6-072D-4433-9A56-8E486F2EFF7E}">
  <dimension ref="A1:J165"/>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500</v>
      </c>
      <c r="B2">
        <v>500</v>
      </c>
      <c r="C2">
        <v>0</v>
      </c>
      <c r="D2">
        <v>0</v>
      </c>
      <c r="E2">
        <v>1802</v>
      </c>
      <c r="F2">
        <v>0</v>
      </c>
      <c r="G2">
        <v>0</v>
      </c>
      <c r="H2">
        <v>0</v>
      </c>
      <c r="I2">
        <v>0</v>
      </c>
      <c r="J2" s="92">
        <v>1802</v>
      </c>
    </row>
    <row r="3" spans="1:10" x14ac:dyDescent="0.3">
      <c r="A3" s="92">
        <v>600</v>
      </c>
      <c r="B3">
        <v>600</v>
      </c>
      <c r="C3">
        <v>0</v>
      </c>
      <c r="D3">
        <v>0</v>
      </c>
      <c r="E3">
        <v>0</v>
      </c>
      <c r="F3">
        <v>0</v>
      </c>
      <c r="G3">
        <v>0</v>
      </c>
      <c r="H3">
        <v>0</v>
      </c>
      <c r="I3">
        <v>0</v>
      </c>
      <c r="J3" s="92">
        <v>0</v>
      </c>
    </row>
    <row r="4" spans="1:10" x14ac:dyDescent="0.3">
      <c r="A4" s="92">
        <v>800</v>
      </c>
      <c r="B4">
        <v>800</v>
      </c>
      <c r="C4">
        <v>0</v>
      </c>
      <c r="D4">
        <v>0</v>
      </c>
      <c r="E4">
        <v>2449</v>
      </c>
      <c r="F4">
        <v>0</v>
      </c>
      <c r="G4">
        <v>0</v>
      </c>
      <c r="H4">
        <v>0</v>
      </c>
      <c r="I4">
        <v>0</v>
      </c>
      <c r="J4" s="92">
        <v>2449</v>
      </c>
    </row>
    <row r="5" spans="1:10" x14ac:dyDescent="0.3">
      <c r="A5" s="92">
        <v>1000</v>
      </c>
      <c r="B5">
        <v>1000</v>
      </c>
      <c r="C5">
        <v>0</v>
      </c>
      <c r="D5">
        <v>37</v>
      </c>
      <c r="E5">
        <v>27375</v>
      </c>
      <c r="F5">
        <v>3240.1</v>
      </c>
      <c r="G5">
        <v>3246</v>
      </c>
      <c r="H5">
        <v>3240.1</v>
      </c>
      <c r="I5">
        <v>3246</v>
      </c>
      <c r="J5" s="92">
        <v>27375</v>
      </c>
    </row>
    <row r="6" spans="1:10" x14ac:dyDescent="0.3">
      <c r="A6" s="92">
        <v>1100</v>
      </c>
      <c r="B6">
        <v>1100</v>
      </c>
      <c r="C6">
        <v>0</v>
      </c>
      <c r="D6">
        <v>0</v>
      </c>
      <c r="E6">
        <v>0</v>
      </c>
      <c r="F6">
        <v>0</v>
      </c>
      <c r="G6">
        <v>0</v>
      </c>
      <c r="H6">
        <v>0</v>
      </c>
      <c r="I6">
        <v>0</v>
      </c>
      <c r="J6" s="92">
        <v>0</v>
      </c>
    </row>
    <row r="7" spans="1:10" x14ac:dyDescent="0.3">
      <c r="A7" s="92">
        <v>1150</v>
      </c>
      <c r="B7">
        <v>1150</v>
      </c>
      <c r="C7">
        <v>0</v>
      </c>
      <c r="D7">
        <v>0</v>
      </c>
      <c r="E7">
        <v>0</v>
      </c>
      <c r="F7">
        <v>0</v>
      </c>
      <c r="G7">
        <v>0</v>
      </c>
      <c r="H7">
        <v>0</v>
      </c>
      <c r="I7">
        <v>0</v>
      </c>
      <c r="J7" s="92">
        <v>0</v>
      </c>
    </row>
    <row r="8" spans="1:10" x14ac:dyDescent="0.3">
      <c r="A8" s="92">
        <v>1200</v>
      </c>
      <c r="B8">
        <v>1200</v>
      </c>
      <c r="C8">
        <v>0</v>
      </c>
      <c r="D8">
        <v>0</v>
      </c>
      <c r="E8">
        <v>7</v>
      </c>
      <c r="F8">
        <v>0</v>
      </c>
      <c r="G8">
        <v>0</v>
      </c>
      <c r="H8">
        <v>0</v>
      </c>
      <c r="I8">
        <v>0</v>
      </c>
      <c r="J8" s="92">
        <v>7</v>
      </c>
    </row>
    <row r="9" spans="1:10" x14ac:dyDescent="0.3">
      <c r="A9" s="92">
        <v>1250</v>
      </c>
      <c r="B9">
        <v>1250</v>
      </c>
      <c r="C9">
        <v>0</v>
      </c>
      <c r="D9">
        <v>1</v>
      </c>
      <c r="E9">
        <v>1</v>
      </c>
      <c r="F9">
        <v>0</v>
      </c>
      <c r="G9">
        <v>0</v>
      </c>
      <c r="H9">
        <v>0</v>
      </c>
      <c r="I9">
        <v>0</v>
      </c>
      <c r="J9" s="92">
        <v>1</v>
      </c>
    </row>
    <row r="10" spans="1:10" x14ac:dyDescent="0.3">
      <c r="A10" s="92">
        <v>1300</v>
      </c>
      <c r="B10">
        <v>1300</v>
      </c>
      <c r="C10">
        <v>0</v>
      </c>
      <c r="D10">
        <v>0</v>
      </c>
      <c r="E10">
        <v>0</v>
      </c>
      <c r="F10">
        <v>0</v>
      </c>
      <c r="G10">
        <v>0</v>
      </c>
      <c r="H10">
        <v>0</v>
      </c>
      <c r="I10">
        <v>0</v>
      </c>
      <c r="J10" s="92">
        <v>0</v>
      </c>
    </row>
    <row r="11" spans="1:10" x14ac:dyDescent="0.3">
      <c r="A11" s="92">
        <v>1350</v>
      </c>
      <c r="B11">
        <v>1350</v>
      </c>
      <c r="C11">
        <v>0</v>
      </c>
      <c r="D11">
        <v>0</v>
      </c>
      <c r="E11">
        <v>0</v>
      </c>
      <c r="F11">
        <v>0</v>
      </c>
      <c r="G11">
        <v>0</v>
      </c>
      <c r="H11">
        <v>0</v>
      </c>
      <c r="I11">
        <v>0</v>
      </c>
      <c r="J11" s="92">
        <v>0</v>
      </c>
    </row>
    <row r="12" spans="1:10" x14ac:dyDescent="0.3">
      <c r="A12" s="92">
        <v>1400</v>
      </c>
      <c r="B12">
        <v>1400</v>
      </c>
      <c r="C12">
        <v>0</v>
      </c>
      <c r="D12">
        <v>0</v>
      </c>
      <c r="E12">
        <v>0</v>
      </c>
      <c r="F12">
        <v>0</v>
      </c>
      <c r="G12">
        <v>0</v>
      </c>
      <c r="H12">
        <v>0</v>
      </c>
      <c r="I12">
        <v>0</v>
      </c>
      <c r="J12" s="92">
        <v>0</v>
      </c>
    </row>
    <row r="13" spans="1:10" x14ac:dyDescent="0.3">
      <c r="A13" s="92">
        <v>1450</v>
      </c>
      <c r="B13">
        <v>1450</v>
      </c>
      <c r="C13">
        <v>0</v>
      </c>
      <c r="D13">
        <v>0</v>
      </c>
      <c r="E13">
        <v>0</v>
      </c>
      <c r="F13">
        <v>0</v>
      </c>
      <c r="G13">
        <v>0</v>
      </c>
      <c r="H13">
        <v>0</v>
      </c>
      <c r="I13">
        <v>0</v>
      </c>
      <c r="J13" s="92">
        <v>0</v>
      </c>
    </row>
    <row r="14" spans="1:10" x14ac:dyDescent="0.3">
      <c r="A14" s="92">
        <v>1500</v>
      </c>
      <c r="B14">
        <v>1500</v>
      </c>
      <c r="C14">
        <v>0</v>
      </c>
      <c r="D14">
        <v>0</v>
      </c>
      <c r="E14">
        <v>93</v>
      </c>
      <c r="F14">
        <v>0</v>
      </c>
      <c r="G14">
        <v>0</v>
      </c>
      <c r="H14">
        <v>0</v>
      </c>
      <c r="I14">
        <v>0</v>
      </c>
      <c r="J14" s="92">
        <v>93</v>
      </c>
    </row>
    <row r="15" spans="1:10" x14ac:dyDescent="0.3">
      <c r="A15" s="92">
        <v>1550</v>
      </c>
      <c r="B15">
        <v>1550</v>
      </c>
      <c r="C15">
        <v>0</v>
      </c>
      <c r="D15">
        <v>0</v>
      </c>
      <c r="E15">
        <v>0</v>
      </c>
      <c r="F15">
        <v>0</v>
      </c>
      <c r="G15">
        <v>0</v>
      </c>
      <c r="H15">
        <v>0</v>
      </c>
      <c r="I15">
        <v>0</v>
      </c>
      <c r="J15" s="92">
        <v>0</v>
      </c>
    </row>
    <row r="16" spans="1:10" x14ac:dyDescent="0.3">
      <c r="A16" s="92">
        <v>1600</v>
      </c>
      <c r="B16">
        <v>1600</v>
      </c>
      <c r="C16">
        <v>0</v>
      </c>
      <c r="D16">
        <v>0</v>
      </c>
      <c r="E16">
        <v>0</v>
      </c>
      <c r="F16">
        <v>0</v>
      </c>
      <c r="G16">
        <v>0</v>
      </c>
      <c r="H16">
        <v>0</v>
      </c>
      <c r="I16">
        <v>0</v>
      </c>
      <c r="J16" s="92">
        <v>0</v>
      </c>
    </row>
    <row r="17" spans="1:10" x14ac:dyDescent="0.3">
      <c r="A17" s="92">
        <v>1650</v>
      </c>
      <c r="B17">
        <v>1650</v>
      </c>
      <c r="C17">
        <v>0</v>
      </c>
      <c r="D17">
        <v>0</v>
      </c>
      <c r="E17">
        <v>0</v>
      </c>
      <c r="F17">
        <v>0</v>
      </c>
      <c r="G17">
        <v>0</v>
      </c>
      <c r="H17">
        <v>0</v>
      </c>
      <c r="I17">
        <v>0</v>
      </c>
      <c r="J17" s="92">
        <v>0</v>
      </c>
    </row>
    <row r="18" spans="1:10" x14ac:dyDescent="0.3">
      <c r="A18" s="92">
        <v>1700</v>
      </c>
      <c r="B18">
        <v>1700</v>
      </c>
      <c r="C18">
        <v>0</v>
      </c>
      <c r="D18">
        <v>0</v>
      </c>
      <c r="E18">
        <v>0</v>
      </c>
      <c r="F18">
        <v>0</v>
      </c>
      <c r="G18">
        <v>0</v>
      </c>
      <c r="H18">
        <v>0</v>
      </c>
      <c r="I18">
        <v>0</v>
      </c>
      <c r="J18" s="92">
        <v>0</v>
      </c>
    </row>
    <row r="19" spans="1:10" x14ac:dyDescent="0.3">
      <c r="A19" s="92">
        <v>1750</v>
      </c>
      <c r="B19">
        <v>1750</v>
      </c>
      <c r="C19">
        <v>0</v>
      </c>
      <c r="D19">
        <v>0</v>
      </c>
      <c r="E19">
        <v>0</v>
      </c>
      <c r="F19">
        <v>0</v>
      </c>
      <c r="G19">
        <v>0</v>
      </c>
      <c r="H19">
        <v>0</v>
      </c>
      <c r="I19">
        <v>0</v>
      </c>
      <c r="J19" s="92">
        <v>0</v>
      </c>
    </row>
    <row r="20" spans="1:10" x14ac:dyDescent="0.3">
      <c r="A20" s="92">
        <v>1800</v>
      </c>
      <c r="B20">
        <v>1800</v>
      </c>
      <c r="C20">
        <v>0</v>
      </c>
      <c r="D20">
        <v>0</v>
      </c>
      <c r="E20">
        <v>0</v>
      </c>
      <c r="F20">
        <v>0</v>
      </c>
      <c r="G20">
        <v>0</v>
      </c>
      <c r="H20">
        <v>0</v>
      </c>
      <c r="I20">
        <v>0</v>
      </c>
      <c r="J20" s="92">
        <v>0</v>
      </c>
    </row>
    <row r="21" spans="1:10" x14ac:dyDescent="0.3">
      <c r="A21" s="92">
        <v>1850</v>
      </c>
      <c r="B21">
        <v>1850</v>
      </c>
      <c r="C21">
        <v>0</v>
      </c>
      <c r="D21">
        <v>0</v>
      </c>
      <c r="E21">
        <v>0</v>
      </c>
      <c r="F21">
        <v>0</v>
      </c>
      <c r="G21">
        <v>0</v>
      </c>
      <c r="H21">
        <v>0</v>
      </c>
      <c r="I21">
        <v>0</v>
      </c>
      <c r="J21" s="92">
        <v>0</v>
      </c>
    </row>
    <row r="22" spans="1:10" x14ac:dyDescent="0.3">
      <c r="A22" s="92">
        <v>1900</v>
      </c>
      <c r="B22">
        <v>1900</v>
      </c>
      <c r="C22">
        <v>0</v>
      </c>
      <c r="D22">
        <v>0</v>
      </c>
      <c r="E22">
        <v>1</v>
      </c>
      <c r="F22">
        <v>0</v>
      </c>
      <c r="G22">
        <v>0</v>
      </c>
      <c r="H22">
        <v>0</v>
      </c>
      <c r="I22">
        <v>0</v>
      </c>
      <c r="J22" s="92">
        <v>1</v>
      </c>
    </row>
    <row r="23" spans="1:10" x14ac:dyDescent="0.3">
      <c r="A23" s="92">
        <v>1950</v>
      </c>
      <c r="B23">
        <v>1950</v>
      </c>
      <c r="C23">
        <v>0</v>
      </c>
      <c r="D23">
        <v>0</v>
      </c>
      <c r="E23">
        <v>0</v>
      </c>
      <c r="F23">
        <v>0</v>
      </c>
      <c r="G23">
        <v>0</v>
      </c>
      <c r="H23">
        <v>0</v>
      </c>
      <c r="I23">
        <v>0</v>
      </c>
      <c r="J23" s="92">
        <v>0</v>
      </c>
    </row>
    <row r="24" spans="1:10" x14ac:dyDescent="0.3">
      <c r="A24" s="92">
        <v>2000</v>
      </c>
      <c r="B24">
        <v>2000</v>
      </c>
      <c r="C24">
        <v>0</v>
      </c>
      <c r="D24">
        <v>0</v>
      </c>
      <c r="E24">
        <v>1</v>
      </c>
      <c r="F24">
        <v>0</v>
      </c>
      <c r="G24">
        <v>0</v>
      </c>
      <c r="H24">
        <v>0</v>
      </c>
      <c r="I24">
        <v>0</v>
      </c>
      <c r="J24" s="92">
        <v>1</v>
      </c>
    </row>
    <row r="25" spans="1:10" x14ac:dyDescent="0.3">
      <c r="A25" s="92">
        <v>2050</v>
      </c>
      <c r="B25">
        <v>2050</v>
      </c>
      <c r="C25">
        <v>0</v>
      </c>
      <c r="D25">
        <v>0</v>
      </c>
      <c r="E25">
        <v>0</v>
      </c>
      <c r="F25">
        <v>0</v>
      </c>
      <c r="G25">
        <v>0</v>
      </c>
      <c r="H25">
        <v>0</v>
      </c>
      <c r="I25">
        <v>0</v>
      </c>
      <c r="J25" s="92">
        <v>0</v>
      </c>
    </row>
    <row r="26" spans="1:10" x14ac:dyDescent="0.3">
      <c r="A26" s="92">
        <v>2100</v>
      </c>
      <c r="B26">
        <v>2100</v>
      </c>
      <c r="C26">
        <v>0</v>
      </c>
      <c r="D26">
        <v>0</v>
      </c>
      <c r="E26">
        <v>360</v>
      </c>
      <c r="F26">
        <v>0</v>
      </c>
      <c r="G26">
        <v>0</v>
      </c>
      <c r="H26">
        <v>0</v>
      </c>
      <c r="I26">
        <v>0</v>
      </c>
      <c r="J26" s="92">
        <v>360</v>
      </c>
    </row>
    <row r="27" spans="1:10" x14ac:dyDescent="0.3">
      <c r="A27" s="92">
        <v>2150</v>
      </c>
      <c r="B27">
        <v>2150</v>
      </c>
      <c r="C27">
        <v>0</v>
      </c>
      <c r="D27">
        <v>0</v>
      </c>
      <c r="E27">
        <v>122</v>
      </c>
      <c r="F27">
        <v>0</v>
      </c>
      <c r="G27">
        <v>0</v>
      </c>
      <c r="H27">
        <v>0</v>
      </c>
      <c r="I27">
        <v>0</v>
      </c>
      <c r="J27" s="92">
        <v>122</v>
      </c>
    </row>
    <row r="28" spans="1:10" x14ac:dyDescent="0.3">
      <c r="A28" s="92">
        <v>2175</v>
      </c>
      <c r="B28">
        <v>2175</v>
      </c>
      <c r="C28">
        <v>0</v>
      </c>
      <c r="D28">
        <v>0</v>
      </c>
      <c r="E28">
        <v>0</v>
      </c>
      <c r="F28">
        <v>0</v>
      </c>
      <c r="G28">
        <v>0</v>
      </c>
      <c r="H28">
        <v>0</v>
      </c>
      <c r="I28">
        <v>0</v>
      </c>
      <c r="J28" s="92">
        <v>0</v>
      </c>
    </row>
    <row r="29" spans="1:10" x14ac:dyDescent="0.3">
      <c r="A29" s="92">
        <v>2200</v>
      </c>
      <c r="B29">
        <v>2200</v>
      </c>
      <c r="C29">
        <v>0</v>
      </c>
      <c r="D29">
        <v>0</v>
      </c>
      <c r="E29">
        <v>99</v>
      </c>
      <c r="F29">
        <v>0</v>
      </c>
      <c r="G29">
        <v>0</v>
      </c>
      <c r="H29">
        <v>0</v>
      </c>
      <c r="I29">
        <v>0</v>
      </c>
      <c r="J29" s="92">
        <v>99</v>
      </c>
    </row>
    <row r="30" spans="1:10" x14ac:dyDescent="0.3">
      <c r="A30" s="92">
        <v>2250</v>
      </c>
      <c r="B30">
        <v>2250</v>
      </c>
      <c r="C30">
        <v>0</v>
      </c>
      <c r="D30">
        <v>0</v>
      </c>
      <c r="E30">
        <v>0</v>
      </c>
      <c r="F30">
        <v>0</v>
      </c>
      <c r="G30">
        <v>0</v>
      </c>
      <c r="H30">
        <v>0</v>
      </c>
      <c r="I30">
        <v>0</v>
      </c>
      <c r="J30" s="92">
        <v>0</v>
      </c>
    </row>
    <row r="31" spans="1:10" x14ac:dyDescent="0.3">
      <c r="A31" s="92">
        <v>2275</v>
      </c>
      <c r="B31">
        <v>2275</v>
      </c>
      <c r="C31">
        <v>0</v>
      </c>
      <c r="D31">
        <v>0</v>
      </c>
      <c r="E31">
        <v>0</v>
      </c>
      <c r="F31">
        <v>0</v>
      </c>
      <c r="G31">
        <v>0</v>
      </c>
      <c r="H31">
        <v>0</v>
      </c>
      <c r="I31">
        <v>0</v>
      </c>
      <c r="J31" s="92">
        <v>0</v>
      </c>
    </row>
    <row r="32" spans="1:10" x14ac:dyDescent="0.3">
      <c r="A32" s="92">
        <v>2300</v>
      </c>
      <c r="B32">
        <v>2300</v>
      </c>
      <c r="C32">
        <v>0</v>
      </c>
      <c r="D32">
        <v>0</v>
      </c>
      <c r="E32">
        <v>20</v>
      </c>
      <c r="F32">
        <v>0</v>
      </c>
      <c r="G32">
        <v>0</v>
      </c>
      <c r="H32">
        <v>0</v>
      </c>
      <c r="I32">
        <v>0</v>
      </c>
      <c r="J32" s="92">
        <v>20</v>
      </c>
    </row>
    <row r="33" spans="1:10" x14ac:dyDescent="0.3">
      <c r="A33" s="92">
        <v>2325</v>
      </c>
      <c r="B33">
        <v>2325</v>
      </c>
      <c r="C33">
        <v>0</v>
      </c>
      <c r="D33">
        <v>0</v>
      </c>
      <c r="E33">
        <v>0</v>
      </c>
      <c r="F33">
        <v>0</v>
      </c>
      <c r="G33">
        <v>0</v>
      </c>
      <c r="H33">
        <v>0</v>
      </c>
      <c r="I33">
        <v>0</v>
      </c>
      <c r="J33" s="92">
        <v>0</v>
      </c>
    </row>
    <row r="34" spans="1:10" x14ac:dyDescent="0.3">
      <c r="A34" s="92">
        <v>2350</v>
      </c>
      <c r="B34">
        <v>2350</v>
      </c>
      <c r="C34">
        <v>0</v>
      </c>
      <c r="D34">
        <v>0</v>
      </c>
      <c r="E34">
        <v>0</v>
      </c>
      <c r="F34">
        <v>0</v>
      </c>
      <c r="G34">
        <v>0</v>
      </c>
      <c r="H34">
        <v>0</v>
      </c>
      <c r="I34">
        <v>0</v>
      </c>
      <c r="J34" s="92">
        <v>0</v>
      </c>
    </row>
    <row r="35" spans="1:10" x14ac:dyDescent="0.3">
      <c r="A35" s="92">
        <v>2375</v>
      </c>
      <c r="B35">
        <v>2375</v>
      </c>
      <c r="C35">
        <v>0</v>
      </c>
      <c r="D35">
        <v>0</v>
      </c>
      <c r="E35">
        <v>0</v>
      </c>
      <c r="F35">
        <v>0</v>
      </c>
      <c r="G35">
        <v>0</v>
      </c>
      <c r="H35">
        <v>0</v>
      </c>
      <c r="I35">
        <v>0</v>
      </c>
      <c r="J35" s="92">
        <v>0</v>
      </c>
    </row>
    <row r="36" spans="1:10" x14ac:dyDescent="0.3">
      <c r="A36" s="92">
        <v>2400</v>
      </c>
      <c r="B36">
        <v>2400</v>
      </c>
      <c r="C36">
        <v>0</v>
      </c>
      <c r="D36">
        <v>0</v>
      </c>
      <c r="E36">
        <v>1486</v>
      </c>
      <c r="F36">
        <v>0</v>
      </c>
      <c r="G36">
        <v>0</v>
      </c>
      <c r="H36">
        <v>0</v>
      </c>
      <c r="I36">
        <v>0</v>
      </c>
      <c r="J36" s="92">
        <v>1486</v>
      </c>
    </row>
    <row r="37" spans="1:10" x14ac:dyDescent="0.3">
      <c r="A37" s="92">
        <v>2425</v>
      </c>
      <c r="B37">
        <v>2425</v>
      </c>
      <c r="C37">
        <v>0</v>
      </c>
      <c r="D37">
        <v>0</v>
      </c>
      <c r="E37">
        <v>0</v>
      </c>
      <c r="F37">
        <v>0</v>
      </c>
      <c r="G37">
        <v>0</v>
      </c>
      <c r="H37">
        <v>0</v>
      </c>
      <c r="I37">
        <v>0</v>
      </c>
      <c r="J37" s="92">
        <v>0</v>
      </c>
    </row>
    <row r="38" spans="1:10" x14ac:dyDescent="0.3">
      <c r="A38" s="92">
        <v>2450</v>
      </c>
      <c r="B38">
        <v>2450</v>
      </c>
      <c r="C38">
        <v>0</v>
      </c>
      <c r="D38">
        <v>0</v>
      </c>
      <c r="E38">
        <v>0</v>
      </c>
      <c r="F38">
        <v>0</v>
      </c>
      <c r="G38">
        <v>0</v>
      </c>
      <c r="H38">
        <v>0</v>
      </c>
      <c r="I38">
        <v>0</v>
      </c>
      <c r="J38" s="92">
        <v>0</v>
      </c>
    </row>
    <row r="39" spans="1:10" x14ac:dyDescent="0.3">
      <c r="A39" s="92">
        <v>2475</v>
      </c>
      <c r="B39">
        <v>2475</v>
      </c>
      <c r="C39">
        <v>0</v>
      </c>
      <c r="D39">
        <v>0</v>
      </c>
      <c r="E39">
        <v>54</v>
      </c>
      <c r="F39">
        <v>0</v>
      </c>
      <c r="G39">
        <v>0</v>
      </c>
      <c r="H39">
        <v>0</v>
      </c>
      <c r="I39">
        <v>0</v>
      </c>
      <c r="J39" s="92">
        <v>54</v>
      </c>
    </row>
    <row r="40" spans="1:10" x14ac:dyDescent="0.3">
      <c r="A40" s="92">
        <v>2500</v>
      </c>
      <c r="B40">
        <v>2500</v>
      </c>
      <c r="C40">
        <v>0</v>
      </c>
      <c r="D40">
        <v>0</v>
      </c>
      <c r="E40">
        <v>610</v>
      </c>
      <c r="F40">
        <v>0</v>
      </c>
      <c r="G40">
        <v>0</v>
      </c>
      <c r="H40">
        <v>0</v>
      </c>
      <c r="I40">
        <v>0</v>
      </c>
      <c r="J40" s="92">
        <v>610</v>
      </c>
    </row>
    <row r="41" spans="1:10" x14ac:dyDescent="0.3">
      <c r="A41" s="92">
        <v>2525</v>
      </c>
      <c r="B41">
        <v>2525</v>
      </c>
      <c r="C41">
        <v>0</v>
      </c>
      <c r="D41">
        <v>0</v>
      </c>
      <c r="E41">
        <v>171</v>
      </c>
      <c r="F41">
        <v>0</v>
      </c>
      <c r="G41">
        <v>0</v>
      </c>
      <c r="H41">
        <v>0</v>
      </c>
      <c r="I41">
        <v>0</v>
      </c>
      <c r="J41" s="92">
        <v>171</v>
      </c>
    </row>
    <row r="42" spans="1:10" x14ac:dyDescent="0.3">
      <c r="A42" s="92">
        <v>2550</v>
      </c>
      <c r="B42">
        <v>2550</v>
      </c>
      <c r="C42">
        <v>0</v>
      </c>
      <c r="D42">
        <v>0</v>
      </c>
      <c r="E42">
        <v>0</v>
      </c>
      <c r="F42">
        <v>0</v>
      </c>
      <c r="G42">
        <v>0</v>
      </c>
      <c r="H42">
        <v>0</v>
      </c>
      <c r="I42">
        <v>0</v>
      </c>
      <c r="J42" s="92">
        <v>0</v>
      </c>
    </row>
    <row r="43" spans="1:10" x14ac:dyDescent="0.3">
      <c r="A43" s="92">
        <v>2575</v>
      </c>
      <c r="B43">
        <v>2575</v>
      </c>
      <c r="C43">
        <v>0</v>
      </c>
      <c r="D43">
        <v>0</v>
      </c>
      <c r="E43">
        <v>0</v>
      </c>
      <c r="F43">
        <v>0</v>
      </c>
      <c r="G43">
        <v>0</v>
      </c>
      <c r="H43">
        <v>0</v>
      </c>
      <c r="I43">
        <v>0</v>
      </c>
      <c r="J43" s="92">
        <v>0</v>
      </c>
    </row>
    <row r="44" spans="1:10" x14ac:dyDescent="0.3">
      <c r="A44" s="92">
        <v>2600</v>
      </c>
      <c r="B44">
        <v>2600</v>
      </c>
      <c r="C44">
        <v>0</v>
      </c>
      <c r="D44">
        <v>0</v>
      </c>
      <c r="E44">
        <v>1850</v>
      </c>
      <c r="F44">
        <v>0</v>
      </c>
      <c r="G44">
        <v>0</v>
      </c>
      <c r="H44">
        <v>0</v>
      </c>
      <c r="I44">
        <v>0</v>
      </c>
      <c r="J44" s="92">
        <v>1850</v>
      </c>
    </row>
    <row r="45" spans="1:10" x14ac:dyDescent="0.3">
      <c r="A45" s="92">
        <v>2625</v>
      </c>
      <c r="B45">
        <v>2625</v>
      </c>
      <c r="C45">
        <v>0</v>
      </c>
      <c r="D45">
        <v>0</v>
      </c>
      <c r="E45">
        <v>20</v>
      </c>
      <c r="F45">
        <v>0</v>
      </c>
      <c r="G45">
        <v>0</v>
      </c>
      <c r="H45">
        <v>0</v>
      </c>
      <c r="I45">
        <v>0</v>
      </c>
      <c r="J45" s="92">
        <v>20</v>
      </c>
    </row>
    <row r="46" spans="1:10" x14ac:dyDescent="0.3">
      <c r="A46" s="92">
        <v>2650</v>
      </c>
      <c r="B46">
        <v>2650</v>
      </c>
      <c r="C46">
        <v>0</v>
      </c>
      <c r="D46">
        <v>0</v>
      </c>
      <c r="E46">
        <v>60</v>
      </c>
      <c r="F46">
        <v>0</v>
      </c>
      <c r="G46">
        <v>0</v>
      </c>
      <c r="H46">
        <v>0</v>
      </c>
      <c r="I46">
        <v>0</v>
      </c>
      <c r="J46" s="92">
        <v>60</v>
      </c>
    </row>
    <row r="47" spans="1:10" x14ac:dyDescent="0.3">
      <c r="A47" s="92">
        <v>2675</v>
      </c>
      <c r="B47">
        <v>2675</v>
      </c>
      <c r="C47">
        <v>0</v>
      </c>
      <c r="D47">
        <v>0</v>
      </c>
      <c r="E47">
        <v>20</v>
      </c>
      <c r="F47">
        <v>0</v>
      </c>
      <c r="G47">
        <v>0</v>
      </c>
      <c r="H47">
        <v>0</v>
      </c>
      <c r="I47">
        <v>0</v>
      </c>
      <c r="J47" s="92">
        <v>20</v>
      </c>
    </row>
    <row r="48" spans="1:10" x14ac:dyDescent="0.3">
      <c r="A48" s="92">
        <v>2700</v>
      </c>
      <c r="B48">
        <v>2700</v>
      </c>
      <c r="C48">
        <v>0</v>
      </c>
      <c r="D48">
        <v>0</v>
      </c>
      <c r="E48">
        <v>1112</v>
      </c>
      <c r="F48">
        <v>0</v>
      </c>
      <c r="G48">
        <v>0</v>
      </c>
      <c r="H48">
        <v>0</v>
      </c>
      <c r="I48">
        <v>0</v>
      </c>
      <c r="J48" s="92">
        <v>1112</v>
      </c>
    </row>
    <row r="49" spans="1:10" x14ac:dyDescent="0.3">
      <c r="A49" s="92">
        <v>2725</v>
      </c>
      <c r="B49">
        <v>2725</v>
      </c>
      <c r="C49">
        <v>0</v>
      </c>
      <c r="D49">
        <v>0</v>
      </c>
      <c r="E49">
        <v>0</v>
      </c>
      <c r="F49">
        <v>0</v>
      </c>
      <c r="G49">
        <v>0</v>
      </c>
      <c r="H49">
        <v>0</v>
      </c>
      <c r="I49">
        <v>0</v>
      </c>
      <c r="J49" s="92">
        <v>0</v>
      </c>
    </row>
    <row r="50" spans="1:10" x14ac:dyDescent="0.3">
      <c r="A50" s="92">
        <v>2750</v>
      </c>
      <c r="B50">
        <v>2750</v>
      </c>
      <c r="C50">
        <v>0</v>
      </c>
      <c r="D50">
        <v>0</v>
      </c>
      <c r="E50">
        <v>0</v>
      </c>
      <c r="F50">
        <v>0</v>
      </c>
      <c r="G50">
        <v>0</v>
      </c>
      <c r="H50">
        <v>0</v>
      </c>
      <c r="I50">
        <v>0</v>
      </c>
      <c r="J50" s="92">
        <v>0</v>
      </c>
    </row>
    <row r="51" spans="1:10" x14ac:dyDescent="0.3">
      <c r="A51" s="92">
        <v>2775</v>
      </c>
      <c r="B51">
        <v>2775</v>
      </c>
      <c r="C51">
        <v>0</v>
      </c>
      <c r="D51">
        <v>0</v>
      </c>
      <c r="E51">
        <v>80</v>
      </c>
      <c r="F51">
        <v>0</v>
      </c>
      <c r="G51">
        <v>0</v>
      </c>
      <c r="H51">
        <v>0</v>
      </c>
      <c r="I51">
        <v>0</v>
      </c>
      <c r="J51" s="92">
        <v>80</v>
      </c>
    </row>
    <row r="52" spans="1:10" x14ac:dyDescent="0.3">
      <c r="A52" s="92">
        <v>2800</v>
      </c>
      <c r="B52">
        <v>2800</v>
      </c>
      <c r="C52">
        <v>0</v>
      </c>
      <c r="D52">
        <v>0</v>
      </c>
      <c r="E52">
        <v>404</v>
      </c>
      <c r="F52">
        <v>0</v>
      </c>
      <c r="G52">
        <v>0</v>
      </c>
      <c r="H52">
        <v>0</v>
      </c>
      <c r="I52">
        <v>0</v>
      </c>
      <c r="J52" s="92">
        <v>404</v>
      </c>
    </row>
    <row r="53" spans="1:10" x14ac:dyDescent="0.3">
      <c r="A53" s="92">
        <v>2825</v>
      </c>
      <c r="B53">
        <v>2825</v>
      </c>
      <c r="C53">
        <v>0</v>
      </c>
      <c r="D53">
        <v>0</v>
      </c>
      <c r="E53">
        <v>0</v>
      </c>
      <c r="F53">
        <v>0</v>
      </c>
      <c r="G53">
        <v>0</v>
      </c>
      <c r="H53">
        <v>0</v>
      </c>
      <c r="I53">
        <v>0</v>
      </c>
      <c r="J53" s="92">
        <v>0</v>
      </c>
    </row>
    <row r="54" spans="1:10" x14ac:dyDescent="0.3">
      <c r="A54" s="92">
        <v>2850</v>
      </c>
      <c r="B54">
        <v>2850</v>
      </c>
      <c r="C54">
        <v>0</v>
      </c>
      <c r="D54">
        <v>0</v>
      </c>
      <c r="E54">
        <v>0</v>
      </c>
      <c r="F54">
        <v>0</v>
      </c>
      <c r="G54">
        <v>0</v>
      </c>
      <c r="H54">
        <v>0</v>
      </c>
      <c r="I54">
        <v>0</v>
      </c>
      <c r="J54" s="92">
        <v>0</v>
      </c>
    </row>
    <row r="55" spans="1:10" x14ac:dyDescent="0.3">
      <c r="A55" s="92">
        <v>2875</v>
      </c>
      <c r="B55">
        <v>2875</v>
      </c>
      <c r="C55">
        <v>0</v>
      </c>
      <c r="D55">
        <v>0</v>
      </c>
      <c r="E55">
        <v>301</v>
      </c>
      <c r="F55">
        <v>0</v>
      </c>
      <c r="G55">
        <v>0</v>
      </c>
      <c r="H55">
        <v>0</v>
      </c>
      <c r="I55">
        <v>0</v>
      </c>
      <c r="J55" s="92">
        <v>301</v>
      </c>
    </row>
    <row r="56" spans="1:10" x14ac:dyDescent="0.3">
      <c r="A56" s="92">
        <v>2900</v>
      </c>
      <c r="B56">
        <v>2900</v>
      </c>
      <c r="C56">
        <v>0</v>
      </c>
      <c r="D56">
        <v>0</v>
      </c>
      <c r="E56">
        <v>280</v>
      </c>
      <c r="F56">
        <v>0</v>
      </c>
      <c r="G56">
        <v>0</v>
      </c>
      <c r="H56">
        <v>0</v>
      </c>
      <c r="I56">
        <v>0</v>
      </c>
      <c r="J56" s="92">
        <v>280</v>
      </c>
    </row>
    <row r="57" spans="1:10" x14ac:dyDescent="0.3">
      <c r="A57" s="92">
        <v>2925</v>
      </c>
      <c r="B57">
        <v>2925</v>
      </c>
      <c r="C57">
        <v>0</v>
      </c>
      <c r="D57">
        <v>0</v>
      </c>
      <c r="E57">
        <v>0</v>
      </c>
      <c r="F57">
        <v>0</v>
      </c>
      <c r="G57">
        <v>0</v>
      </c>
      <c r="H57">
        <v>0</v>
      </c>
      <c r="I57">
        <v>0</v>
      </c>
      <c r="J57" s="92">
        <v>0</v>
      </c>
    </row>
    <row r="58" spans="1:10" x14ac:dyDescent="0.3">
      <c r="A58" s="92">
        <v>2950</v>
      </c>
      <c r="B58">
        <v>2950</v>
      </c>
      <c r="C58">
        <v>0</v>
      </c>
      <c r="D58">
        <v>0</v>
      </c>
      <c r="E58">
        <v>20</v>
      </c>
      <c r="F58">
        <v>0</v>
      </c>
      <c r="G58">
        <v>0</v>
      </c>
      <c r="H58">
        <v>0</v>
      </c>
      <c r="I58">
        <v>0</v>
      </c>
      <c r="J58" s="92">
        <v>20</v>
      </c>
    </row>
    <row r="59" spans="1:10" x14ac:dyDescent="0.3">
      <c r="A59" s="92">
        <v>2975</v>
      </c>
      <c r="B59">
        <v>2975</v>
      </c>
      <c r="C59">
        <v>0</v>
      </c>
      <c r="D59">
        <v>0</v>
      </c>
      <c r="E59">
        <v>0</v>
      </c>
      <c r="F59">
        <v>0</v>
      </c>
      <c r="G59">
        <v>0</v>
      </c>
      <c r="H59">
        <v>0</v>
      </c>
      <c r="I59">
        <v>0</v>
      </c>
      <c r="J59" s="92">
        <v>0</v>
      </c>
    </row>
    <row r="60" spans="1:10" x14ac:dyDescent="0.3">
      <c r="A60" s="92">
        <v>3000</v>
      </c>
      <c r="B60">
        <v>3000</v>
      </c>
      <c r="C60">
        <v>0</v>
      </c>
      <c r="D60">
        <v>0</v>
      </c>
      <c r="E60">
        <v>1485</v>
      </c>
      <c r="F60">
        <v>0</v>
      </c>
      <c r="G60">
        <v>0</v>
      </c>
      <c r="H60">
        <v>0</v>
      </c>
      <c r="I60">
        <v>0</v>
      </c>
      <c r="J60" s="92">
        <v>1485</v>
      </c>
    </row>
    <row r="61" spans="1:10" x14ac:dyDescent="0.3">
      <c r="A61" s="92">
        <v>3025</v>
      </c>
      <c r="B61">
        <v>3025</v>
      </c>
      <c r="C61">
        <v>0</v>
      </c>
      <c r="D61">
        <v>0</v>
      </c>
      <c r="E61">
        <v>0</v>
      </c>
      <c r="F61">
        <v>0</v>
      </c>
      <c r="G61">
        <v>0</v>
      </c>
      <c r="H61">
        <v>0</v>
      </c>
      <c r="I61">
        <v>0</v>
      </c>
      <c r="J61" s="92">
        <v>0</v>
      </c>
    </row>
    <row r="62" spans="1:10" x14ac:dyDescent="0.3">
      <c r="A62" s="92">
        <v>3050</v>
      </c>
      <c r="B62">
        <v>3050</v>
      </c>
      <c r="C62">
        <v>0</v>
      </c>
      <c r="D62">
        <v>0</v>
      </c>
      <c r="E62">
        <v>250</v>
      </c>
      <c r="F62">
        <v>0</v>
      </c>
      <c r="G62">
        <v>0</v>
      </c>
      <c r="H62">
        <v>0</v>
      </c>
      <c r="I62">
        <v>0</v>
      </c>
      <c r="J62" s="92">
        <v>250</v>
      </c>
    </row>
    <row r="63" spans="1:10" x14ac:dyDescent="0.3">
      <c r="A63" s="92">
        <v>3075</v>
      </c>
      <c r="B63">
        <v>3075</v>
      </c>
      <c r="C63">
        <v>0</v>
      </c>
      <c r="D63">
        <v>0</v>
      </c>
      <c r="E63">
        <v>0</v>
      </c>
      <c r="F63">
        <v>0</v>
      </c>
      <c r="G63">
        <v>0</v>
      </c>
      <c r="H63">
        <v>0</v>
      </c>
      <c r="I63">
        <v>0</v>
      </c>
      <c r="J63" s="92">
        <v>0</v>
      </c>
    </row>
    <row r="64" spans="1:10" x14ac:dyDescent="0.3">
      <c r="A64" s="92">
        <v>3100</v>
      </c>
      <c r="B64">
        <v>3100</v>
      </c>
      <c r="C64">
        <v>0</v>
      </c>
      <c r="D64">
        <v>0</v>
      </c>
      <c r="E64">
        <v>361</v>
      </c>
      <c r="F64">
        <v>0</v>
      </c>
      <c r="G64">
        <v>0</v>
      </c>
      <c r="H64">
        <v>0</v>
      </c>
      <c r="I64">
        <v>0</v>
      </c>
      <c r="J64" s="92">
        <v>361</v>
      </c>
    </row>
    <row r="65" spans="1:10" x14ac:dyDescent="0.3">
      <c r="A65" s="92">
        <v>3125</v>
      </c>
      <c r="B65">
        <v>3125</v>
      </c>
      <c r="C65">
        <v>0</v>
      </c>
      <c r="D65">
        <v>0</v>
      </c>
      <c r="E65">
        <v>40</v>
      </c>
      <c r="F65">
        <v>0</v>
      </c>
      <c r="G65">
        <v>0</v>
      </c>
      <c r="H65">
        <v>0</v>
      </c>
      <c r="I65">
        <v>0</v>
      </c>
      <c r="J65" s="92">
        <v>40</v>
      </c>
    </row>
    <row r="66" spans="1:10" x14ac:dyDescent="0.3">
      <c r="A66" s="92">
        <v>3150</v>
      </c>
      <c r="B66">
        <v>3150</v>
      </c>
      <c r="C66">
        <v>0</v>
      </c>
      <c r="D66">
        <v>0</v>
      </c>
      <c r="E66">
        <v>224</v>
      </c>
      <c r="F66">
        <v>0</v>
      </c>
      <c r="G66">
        <v>0</v>
      </c>
      <c r="H66">
        <v>0</v>
      </c>
      <c r="I66">
        <v>0</v>
      </c>
      <c r="J66" s="92">
        <v>224</v>
      </c>
    </row>
    <row r="67" spans="1:10" x14ac:dyDescent="0.3">
      <c r="A67" s="92">
        <v>3175</v>
      </c>
      <c r="B67">
        <v>3175</v>
      </c>
      <c r="C67">
        <v>0</v>
      </c>
      <c r="D67">
        <v>0</v>
      </c>
      <c r="E67">
        <v>0</v>
      </c>
      <c r="F67">
        <v>0</v>
      </c>
      <c r="G67">
        <v>0</v>
      </c>
      <c r="H67">
        <v>0</v>
      </c>
      <c r="I67">
        <v>0</v>
      </c>
      <c r="J67" s="92">
        <v>0</v>
      </c>
    </row>
    <row r="68" spans="1:10" x14ac:dyDescent="0.3">
      <c r="A68" s="92">
        <v>3200</v>
      </c>
      <c r="B68">
        <v>3200</v>
      </c>
      <c r="C68">
        <v>0</v>
      </c>
      <c r="D68">
        <v>0</v>
      </c>
      <c r="E68">
        <v>763</v>
      </c>
      <c r="F68">
        <v>0</v>
      </c>
      <c r="G68">
        <v>0</v>
      </c>
      <c r="H68">
        <v>0</v>
      </c>
      <c r="I68">
        <v>0</v>
      </c>
      <c r="J68" s="92">
        <v>763</v>
      </c>
    </row>
    <row r="69" spans="1:10" x14ac:dyDescent="0.3">
      <c r="A69" s="92">
        <v>3225</v>
      </c>
      <c r="B69">
        <v>3225</v>
      </c>
      <c r="C69">
        <v>0</v>
      </c>
      <c r="D69">
        <v>0</v>
      </c>
      <c r="E69">
        <v>0</v>
      </c>
      <c r="F69">
        <v>0</v>
      </c>
      <c r="G69">
        <v>0</v>
      </c>
      <c r="H69">
        <v>0</v>
      </c>
      <c r="I69">
        <v>0</v>
      </c>
      <c r="J69" s="92">
        <v>0</v>
      </c>
    </row>
    <row r="70" spans="1:10" x14ac:dyDescent="0.3">
      <c r="A70" s="92">
        <v>3250</v>
      </c>
      <c r="B70">
        <v>3250</v>
      </c>
      <c r="C70">
        <v>0</v>
      </c>
      <c r="D70">
        <v>0</v>
      </c>
      <c r="E70">
        <v>4143</v>
      </c>
      <c r="F70">
        <v>0</v>
      </c>
      <c r="G70">
        <v>0</v>
      </c>
      <c r="H70">
        <v>0</v>
      </c>
      <c r="I70">
        <v>0</v>
      </c>
      <c r="J70" s="92">
        <v>4143</v>
      </c>
    </row>
    <row r="71" spans="1:10" x14ac:dyDescent="0.3">
      <c r="A71" s="92">
        <v>3275</v>
      </c>
      <c r="B71">
        <v>3275</v>
      </c>
      <c r="C71">
        <v>0</v>
      </c>
      <c r="D71">
        <v>0</v>
      </c>
      <c r="E71">
        <v>0</v>
      </c>
      <c r="F71">
        <v>0</v>
      </c>
      <c r="G71">
        <v>0</v>
      </c>
      <c r="H71">
        <v>0</v>
      </c>
      <c r="I71">
        <v>0</v>
      </c>
      <c r="J71" s="92">
        <v>0</v>
      </c>
    </row>
    <row r="72" spans="1:10" x14ac:dyDescent="0.3">
      <c r="A72" s="92">
        <v>3300</v>
      </c>
      <c r="B72">
        <v>3300</v>
      </c>
      <c r="C72">
        <v>0</v>
      </c>
      <c r="D72">
        <v>0</v>
      </c>
      <c r="E72">
        <v>3141</v>
      </c>
      <c r="F72">
        <v>0</v>
      </c>
      <c r="G72">
        <v>0</v>
      </c>
      <c r="H72">
        <v>0</v>
      </c>
      <c r="I72">
        <v>0</v>
      </c>
      <c r="J72" s="92">
        <v>3141</v>
      </c>
    </row>
    <row r="73" spans="1:10" x14ac:dyDescent="0.3">
      <c r="A73" s="92">
        <v>3325</v>
      </c>
      <c r="B73">
        <v>3325</v>
      </c>
      <c r="C73">
        <v>0</v>
      </c>
      <c r="D73">
        <v>0</v>
      </c>
      <c r="E73">
        <v>33</v>
      </c>
      <c r="F73">
        <v>0</v>
      </c>
      <c r="G73">
        <v>0</v>
      </c>
      <c r="H73">
        <v>0</v>
      </c>
      <c r="I73">
        <v>0</v>
      </c>
      <c r="J73" s="92">
        <v>33</v>
      </c>
    </row>
    <row r="74" spans="1:10" x14ac:dyDescent="0.3">
      <c r="A74" s="92">
        <v>3350</v>
      </c>
      <c r="B74">
        <v>3350</v>
      </c>
      <c r="C74">
        <v>0</v>
      </c>
      <c r="D74">
        <v>0</v>
      </c>
      <c r="E74">
        <v>5651</v>
      </c>
      <c r="F74">
        <v>0</v>
      </c>
      <c r="G74">
        <v>0</v>
      </c>
      <c r="H74">
        <v>0</v>
      </c>
      <c r="I74">
        <v>0</v>
      </c>
      <c r="J74" s="92">
        <v>5651</v>
      </c>
    </row>
    <row r="75" spans="1:10" x14ac:dyDescent="0.3">
      <c r="A75" s="92">
        <v>3375</v>
      </c>
      <c r="B75">
        <v>3375</v>
      </c>
      <c r="C75">
        <v>0</v>
      </c>
      <c r="D75">
        <v>0</v>
      </c>
      <c r="E75">
        <v>4</v>
      </c>
      <c r="F75">
        <v>0</v>
      </c>
      <c r="G75">
        <v>0</v>
      </c>
      <c r="H75">
        <v>0</v>
      </c>
      <c r="I75">
        <v>0</v>
      </c>
      <c r="J75" s="92">
        <v>4</v>
      </c>
    </row>
    <row r="76" spans="1:10" x14ac:dyDescent="0.3">
      <c r="A76" s="92">
        <v>3400</v>
      </c>
      <c r="B76">
        <v>3400</v>
      </c>
      <c r="C76">
        <v>0</v>
      </c>
      <c r="D76">
        <v>0</v>
      </c>
      <c r="E76">
        <v>12105</v>
      </c>
      <c r="F76">
        <v>0</v>
      </c>
      <c r="G76">
        <v>0</v>
      </c>
      <c r="H76">
        <v>0</v>
      </c>
      <c r="I76">
        <v>0</v>
      </c>
      <c r="J76" s="92">
        <v>12105</v>
      </c>
    </row>
    <row r="77" spans="1:10" x14ac:dyDescent="0.3">
      <c r="A77" s="92">
        <v>3425</v>
      </c>
      <c r="B77">
        <v>3425</v>
      </c>
      <c r="C77">
        <v>0</v>
      </c>
      <c r="D77">
        <v>0</v>
      </c>
      <c r="E77">
        <v>1</v>
      </c>
      <c r="F77">
        <v>0</v>
      </c>
      <c r="G77">
        <v>0</v>
      </c>
      <c r="H77">
        <v>0</v>
      </c>
      <c r="I77">
        <v>0</v>
      </c>
      <c r="J77" s="92">
        <v>1</v>
      </c>
    </row>
    <row r="78" spans="1:10" x14ac:dyDescent="0.3">
      <c r="A78" s="92">
        <v>3450</v>
      </c>
      <c r="B78">
        <v>3450</v>
      </c>
      <c r="C78">
        <v>0</v>
      </c>
      <c r="D78">
        <v>0</v>
      </c>
      <c r="E78">
        <v>385</v>
      </c>
      <c r="F78">
        <v>0</v>
      </c>
      <c r="G78">
        <v>0</v>
      </c>
      <c r="H78">
        <v>0</v>
      </c>
      <c r="I78">
        <v>0</v>
      </c>
      <c r="J78" s="92">
        <v>385</v>
      </c>
    </row>
    <row r="79" spans="1:10" x14ac:dyDescent="0.3">
      <c r="A79" s="92">
        <v>3475</v>
      </c>
      <c r="B79">
        <v>3475</v>
      </c>
      <c r="C79">
        <v>0</v>
      </c>
      <c r="D79">
        <v>0</v>
      </c>
      <c r="E79">
        <v>0</v>
      </c>
      <c r="F79">
        <v>0</v>
      </c>
      <c r="G79">
        <v>0</v>
      </c>
      <c r="H79">
        <v>0</v>
      </c>
      <c r="I79">
        <v>0</v>
      </c>
      <c r="J79" s="92">
        <v>0</v>
      </c>
    </row>
    <row r="80" spans="1:10" x14ac:dyDescent="0.3">
      <c r="A80" s="92">
        <v>3500</v>
      </c>
      <c r="B80">
        <v>3500</v>
      </c>
      <c r="C80">
        <v>0</v>
      </c>
      <c r="D80">
        <v>0</v>
      </c>
      <c r="E80">
        <v>15586</v>
      </c>
      <c r="F80">
        <v>0</v>
      </c>
      <c r="G80">
        <v>0</v>
      </c>
      <c r="H80">
        <v>0</v>
      </c>
      <c r="I80">
        <v>0</v>
      </c>
      <c r="J80" s="92">
        <v>15586</v>
      </c>
    </row>
    <row r="81" spans="1:10" x14ac:dyDescent="0.3">
      <c r="A81" s="92">
        <v>3525</v>
      </c>
      <c r="B81">
        <v>3525</v>
      </c>
      <c r="C81">
        <v>0</v>
      </c>
      <c r="D81">
        <v>0</v>
      </c>
      <c r="E81">
        <v>98</v>
      </c>
      <c r="F81">
        <v>0</v>
      </c>
      <c r="G81">
        <v>0</v>
      </c>
      <c r="H81">
        <v>0</v>
      </c>
      <c r="I81">
        <v>0</v>
      </c>
      <c r="J81" s="92">
        <v>98</v>
      </c>
    </row>
    <row r="82" spans="1:10" x14ac:dyDescent="0.3">
      <c r="A82" s="92">
        <v>3550</v>
      </c>
      <c r="B82">
        <v>3550</v>
      </c>
      <c r="C82">
        <v>0</v>
      </c>
      <c r="D82">
        <v>0</v>
      </c>
      <c r="E82">
        <v>646</v>
      </c>
      <c r="F82">
        <v>0</v>
      </c>
      <c r="G82">
        <v>0</v>
      </c>
      <c r="H82">
        <v>0</v>
      </c>
      <c r="I82">
        <v>0</v>
      </c>
      <c r="J82" s="92">
        <v>646</v>
      </c>
    </row>
    <row r="83" spans="1:10" x14ac:dyDescent="0.3">
      <c r="A83" s="92">
        <v>3575</v>
      </c>
      <c r="B83">
        <v>3575</v>
      </c>
      <c r="C83">
        <v>0</v>
      </c>
      <c r="D83">
        <v>0</v>
      </c>
      <c r="E83">
        <v>625</v>
      </c>
      <c r="F83">
        <v>0</v>
      </c>
      <c r="G83">
        <v>0</v>
      </c>
      <c r="H83">
        <v>0</v>
      </c>
      <c r="I83">
        <v>0</v>
      </c>
      <c r="J83" s="92">
        <v>625</v>
      </c>
    </row>
    <row r="84" spans="1:10" x14ac:dyDescent="0.3">
      <c r="A84" s="92">
        <v>3600</v>
      </c>
      <c r="B84">
        <v>3600</v>
      </c>
      <c r="C84">
        <v>0</v>
      </c>
      <c r="D84">
        <v>0</v>
      </c>
      <c r="E84">
        <v>11855</v>
      </c>
      <c r="F84">
        <v>0</v>
      </c>
      <c r="G84">
        <v>0</v>
      </c>
      <c r="H84">
        <v>0</v>
      </c>
      <c r="I84">
        <v>0</v>
      </c>
      <c r="J84" s="92">
        <v>11855</v>
      </c>
    </row>
    <row r="85" spans="1:10" x14ac:dyDescent="0.3">
      <c r="A85" s="92">
        <v>3625</v>
      </c>
      <c r="B85">
        <v>3625</v>
      </c>
      <c r="C85">
        <v>0</v>
      </c>
      <c r="D85">
        <v>0</v>
      </c>
      <c r="E85">
        <v>52</v>
      </c>
      <c r="F85">
        <v>0</v>
      </c>
      <c r="G85">
        <v>0</v>
      </c>
      <c r="H85">
        <v>0</v>
      </c>
      <c r="I85">
        <v>0</v>
      </c>
      <c r="J85" s="92">
        <v>52</v>
      </c>
    </row>
    <row r="86" spans="1:10" x14ac:dyDescent="0.3">
      <c r="A86" s="92">
        <v>3650</v>
      </c>
      <c r="B86">
        <v>3650</v>
      </c>
      <c r="C86">
        <v>0</v>
      </c>
      <c r="D86">
        <v>0</v>
      </c>
      <c r="E86">
        <v>745</v>
      </c>
      <c r="F86">
        <v>0</v>
      </c>
      <c r="G86">
        <v>0</v>
      </c>
      <c r="H86">
        <v>0</v>
      </c>
      <c r="I86">
        <v>0</v>
      </c>
      <c r="J86" s="92">
        <v>745</v>
      </c>
    </row>
    <row r="87" spans="1:10" x14ac:dyDescent="0.3">
      <c r="A87" s="92">
        <v>3675</v>
      </c>
      <c r="B87">
        <v>3675</v>
      </c>
      <c r="C87">
        <v>0</v>
      </c>
      <c r="D87">
        <v>0</v>
      </c>
      <c r="E87">
        <v>0</v>
      </c>
      <c r="F87">
        <v>0</v>
      </c>
      <c r="G87">
        <v>0</v>
      </c>
      <c r="H87">
        <v>0</v>
      </c>
      <c r="I87">
        <v>0</v>
      </c>
      <c r="J87" s="92">
        <v>0</v>
      </c>
    </row>
    <row r="88" spans="1:10" x14ac:dyDescent="0.3">
      <c r="A88" s="92">
        <v>3700</v>
      </c>
      <c r="B88">
        <v>3700</v>
      </c>
      <c r="C88">
        <v>0</v>
      </c>
      <c r="D88">
        <v>0</v>
      </c>
      <c r="E88">
        <v>14829</v>
      </c>
      <c r="F88">
        <v>0</v>
      </c>
      <c r="G88">
        <v>0</v>
      </c>
      <c r="H88">
        <v>0</v>
      </c>
      <c r="I88">
        <v>0</v>
      </c>
      <c r="J88" s="92">
        <v>14829</v>
      </c>
    </row>
    <row r="89" spans="1:10" x14ac:dyDescent="0.3">
      <c r="A89" s="92">
        <v>3725</v>
      </c>
      <c r="B89">
        <v>3725</v>
      </c>
      <c r="C89">
        <v>0</v>
      </c>
      <c r="D89">
        <v>0</v>
      </c>
      <c r="E89">
        <v>42</v>
      </c>
      <c r="F89">
        <v>0</v>
      </c>
      <c r="G89">
        <v>0</v>
      </c>
      <c r="H89">
        <v>0</v>
      </c>
      <c r="I89">
        <v>0</v>
      </c>
      <c r="J89" s="92">
        <v>42</v>
      </c>
    </row>
    <row r="90" spans="1:10" x14ac:dyDescent="0.3">
      <c r="A90" s="92">
        <v>3750</v>
      </c>
      <c r="B90">
        <v>3750</v>
      </c>
      <c r="C90">
        <v>0</v>
      </c>
      <c r="D90">
        <v>1</v>
      </c>
      <c r="E90">
        <v>9536</v>
      </c>
      <c r="F90">
        <v>0</v>
      </c>
      <c r="G90">
        <v>0</v>
      </c>
      <c r="H90">
        <v>0</v>
      </c>
      <c r="I90">
        <v>0</v>
      </c>
      <c r="J90" s="92">
        <v>9536</v>
      </c>
    </row>
    <row r="91" spans="1:10" x14ac:dyDescent="0.3">
      <c r="A91" s="92">
        <v>3775</v>
      </c>
      <c r="B91">
        <v>3775</v>
      </c>
      <c r="C91">
        <v>0</v>
      </c>
      <c r="D91">
        <v>0</v>
      </c>
      <c r="E91">
        <v>138</v>
      </c>
      <c r="F91">
        <v>0</v>
      </c>
      <c r="G91">
        <v>0</v>
      </c>
      <c r="H91">
        <v>0</v>
      </c>
      <c r="I91">
        <v>0</v>
      </c>
      <c r="J91" s="92">
        <v>138</v>
      </c>
    </row>
    <row r="92" spans="1:10" x14ac:dyDescent="0.3">
      <c r="A92" s="92">
        <v>3800</v>
      </c>
      <c r="B92">
        <v>3800</v>
      </c>
      <c r="C92">
        <v>0</v>
      </c>
      <c r="D92">
        <v>0</v>
      </c>
      <c r="E92">
        <v>10560</v>
      </c>
      <c r="F92">
        <v>0</v>
      </c>
      <c r="G92">
        <v>0</v>
      </c>
      <c r="H92">
        <v>0</v>
      </c>
      <c r="I92">
        <v>0</v>
      </c>
      <c r="J92" s="92">
        <v>10560</v>
      </c>
    </row>
    <row r="93" spans="1:10" x14ac:dyDescent="0.3">
      <c r="A93" s="92">
        <v>3825</v>
      </c>
      <c r="B93">
        <v>3825</v>
      </c>
      <c r="C93">
        <v>0</v>
      </c>
      <c r="D93">
        <v>0</v>
      </c>
      <c r="E93">
        <v>44</v>
      </c>
      <c r="F93">
        <v>0</v>
      </c>
      <c r="G93">
        <v>0</v>
      </c>
      <c r="H93">
        <v>0</v>
      </c>
      <c r="I93">
        <v>0</v>
      </c>
      <c r="J93" s="92">
        <v>44</v>
      </c>
    </row>
    <row r="94" spans="1:10" x14ac:dyDescent="0.3">
      <c r="A94" s="92">
        <v>3850</v>
      </c>
      <c r="B94">
        <v>3850</v>
      </c>
      <c r="C94">
        <v>0</v>
      </c>
      <c r="D94">
        <v>0</v>
      </c>
      <c r="E94">
        <v>13234</v>
      </c>
      <c r="F94">
        <v>0</v>
      </c>
      <c r="G94">
        <v>0</v>
      </c>
      <c r="H94">
        <v>0</v>
      </c>
      <c r="I94">
        <v>0</v>
      </c>
      <c r="J94" s="92">
        <v>13234</v>
      </c>
    </row>
    <row r="95" spans="1:10" x14ac:dyDescent="0.3">
      <c r="A95" s="92">
        <v>3875</v>
      </c>
      <c r="B95">
        <v>3875</v>
      </c>
      <c r="C95">
        <v>0</v>
      </c>
      <c r="D95">
        <v>0</v>
      </c>
      <c r="E95">
        <v>490</v>
      </c>
      <c r="F95">
        <v>0</v>
      </c>
      <c r="G95">
        <v>0</v>
      </c>
      <c r="H95">
        <v>0</v>
      </c>
      <c r="I95">
        <v>0</v>
      </c>
      <c r="J95" s="92">
        <v>490</v>
      </c>
    </row>
    <row r="96" spans="1:10" x14ac:dyDescent="0.3">
      <c r="A96" s="92">
        <v>3900</v>
      </c>
      <c r="B96">
        <v>3900</v>
      </c>
      <c r="C96">
        <v>0</v>
      </c>
      <c r="D96">
        <v>0</v>
      </c>
      <c r="E96">
        <v>26935</v>
      </c>
      <c r="F96">
        <v>0</v>
      </c>
      <c r="G96">
        <v>0</v>
      </c>
      <c r="H96">
        <v>0</v>
      </c>
      <c r="I96">
        <v>0</v>
      </c>
      <c r="J96" s="92">
        <v>26935</v>
      </c>
    </row>
    <row r="97" spans="1:10" x14ac:dyDescent="0.3">
      <c r="A97" s="92">
        <v>3925</v>
      </c>
      <c r="B97">
        <v>3925</v>
      </c>
      <c r="C97">
        <v>0</v>
      </c>
      <c r="D97">
        <v>0</v>
      </c>
      <c r="E97">
        <v>398</v>
      </c>
      <c r="F97">
        <v>0</v>
      </c>
      <c r="G97">
        <v>0</v>
      </c>
      <c r="H97">
        <v>0</v>
      </c>
      <c r="I97">
        <v>0</v>
      </c>
      <c r="J97" s="92">
        <v>398</v>
      </c>
    </row>
    <row r="98" spans="1:10" x14ac:dyDescent="0.3">
      <c r="A98" s="92">
        <v>3950</v>
      </c>
      <c r="B98">
        <v>3950</v>
      </c>
      <c r="C98">
        <v>0</v>
      </c>
      <c r="D98">
        <v>0</v>
      </c>
      <c r="E98">
        <v>12490</v>
      </c>
      <c r="F98">
        <v>0</v>
      </c>
      <c r="G98">
        <v>0</v>
      </c>
      <c r="H98">
        <v>0</v>
      </c>
      <c r="I98">
        <v>0</v>
      </c>
      <c r="J98" s="92">
        <v>12490</v>
      </c>
    </row>
    <row r="99" spans="1:10" x14ac:dyDescent="0.3">
      <c r="A99" s="92">
        <v>3975</v>
      </c>
      <c r="B99">
        <v>3975</v>
      </c>
      <c r="C99">
        <v>0</v>
      </c>
      <c r="D99">
        <v>0</v>
      </c>
      <c r="E99">
        <v>266</v>
      </c>
      <c r="F99">
        <v>0</v>
      </c>
      <c r="G99">
        <v>0</v>
      </c>
      <c r="H99">
        <v>0</v>
      </c>
      <c r="I99">
        <v>0</v>
      </c>
      <c r="J99" s="92">
        <v>266</v>
      </c>
    </row>
    <row r="100" spans="1:10" x14ac:dyDescent="0.3">
      <c r="A100" s="92">
        <v>4000</v>
      </c>
      <c r="B100">
        <v>4000</v>
      </c>
      <c r="C100">
        <v>0</v>
      </c>
      <c r="D100">
        <v>0</v>
      </c>
      <c r="E100">
        <v>53624</v>
      </c>
      <c r="F100">
        <v>0</v>
      </c>
      <c r="G100">
        <v>0</v>
      </c>
      <c r="H100">
        <v>0</v>
      </c>
      <c r="I100">
        <v>0</v>
      </c>
      <c r="J100" s="92">
        <v>53624</v>
      </c>
    </row>
    <row r="101" spans="1:10" x14ac:dyDescent="0.3">
      <c r="A101" s="92">
        <v>4025</v>
      </c>
      <c r="B101">
        <v>4025</v>
      </c>
      <c r="C101">
        <v>0</v>
      </c>
      <c r="D101">
        <v>20</v>
      </c>
      <c r="E101">
        <v>1095</v>
      </c>
      <c r="F101">
        <v>211</v>
      </c>
      <c r="G101">
        <v>211</v>
      </c>
      <c r="H101">
        <v>211</v>
      </c>
      <c r="I101">
        <v>211</v>
      </c>
      <c r="J101" s="92">
        <v>1095</v>
      </c>
    </row>
    <row r="102" spans="1:10" x14ac:dyDescent="0.3">
      <c r="A102" s="92">
        <v>4050</v>
      </c>
      <c r="B102">
        <v>4050</v>
      </c>
      <c r="C102">
        <v>0</v>
      </c>
      <c r="D102">
        <v>5</v>
      </c>
      <c r="E102">
        <v>12109</v>
      </c>
      <c r="F102">
        <v>0</v>
      </c>
      <c r="G102">
        <v>0</v>
      </c>
      <c r="H102">
        <v>0</v>
      </c>
      <c r="I102">
        <v>0</v>
      </c>
      <c r="J102" s="92">
        <v>12109</v>
      </c>
    </row>
    <row r="103" spans="1:10" x14ac:dyDescent="0.3">
      <c r="A103" s="92">
        <v>4075</v>
      </c>
      <c r="B103">
        <v>4075</v>
      </c>
      <c r="C103">
        <v>0</v>
      </c>
      <c r="D103">
        <v>100</v>
      </c>
      <c r="E103">
        <v>1792</v>
      </c>
      <c r="F103">
        <v>0</v>
      </c>
      <c r="G103">
        <v>0</v>
      </c>
      <c r="H103">
        <v>0</v>
      </c>
      <c r="I103">
        <v>0</v>
      </c>
      <c r="J103" s="92">
        <v>1792</v>
      </c>
    </row>
    <row r="104" spans="1:10" x14ac:dyDescent="0.3">
      <c r="A104" s="92">
        <v>4100</v>
      </c>
      <c r="B104">
        <v>4100</v>
      </c>
      <c r="C104">
        <v>0</v>
      </c>
      <c r="D104">
        <v>1</v>
      </c>
      <c r="E104">
        <v>29670</v>
      </c>
      <c r="F104">
        <v>133.19999999999999</v>
      </c>
      <c r="G104">
        <v>133.19999999999999</v>
      </c>
      <c r="H104">
        <v>133.19999999999999</v>
      </c>
      <c r="I104">
        <v>133.19999999999999</v>
      </c>
      <c r="J104" s="92">
        <v>29670</v>
      </c>
    </row>
    <row r="105" spans="1:10" x14ac:dyDescent="0.3">
      <c r="A105" s="92">
        <v>4125</v>
      </c>
      <c r="B105">
        <v>4125</v>
      </c>
      <c r="C105">
        <v>0</v>
      </c>
      <c r="D105">
        <v>0</v>
      </c>
      <c r="E105">
        <v>6520</v>
      </c>
      <c r="F105">
        <v>0</v>
      </c>
      <c r="G105">
        <v>0</v>
      </c>
      <c r="H105">
        <v>0</v>
      </c>
      <c r="I105">
        <v>0</v>
      </c>
      <c r="J105" s="92">
        <v>6520</v>
      </c>
    </row>
    <row r="106" spans="1:10" x14ac:dyDescent="0.3">
      <c r="A106" s="92">
        <v>4150</v>
      </c>
      <c r="B106">
        <v>4150</v>
      </c>
      <c r="C106">
        <v>0</v>
      </c>
      <c r="D106">
        <v>103</v>
      </c>
      <c r="E106">
        <v>12801</v>
      </c>
      <c r="F106">
        <v>89.4</v>
      </c>
      <c r="G106">
        <v>96</v>
      </c>
      <c r="H106">
        <v>89.4</v>
      </c>
      <c r="I106">
        <v>96</v>
      </c>
      <c r="J106" s="92">
        <v>12801</v>
      </c>
    </row>
    <row r="107" spans="1:10" x14ac:dyDescent="0.3">
      <c r="A107" s="92">
        <v>4175</v>
      </c>
      <c r="B107">
        <v>4175</v>
      </c>
      <c r="C107">
        <v>0</v>
      </c>
      <c r="D107">
        <v>337</v>
      </c>
      <c r="E107">
        <v>2507</v>
      </c>
      <c r="F107">
        <v>73.3</v>
      </c>
      <c r="G107">
        <v>80.400000000000006</v>
      </c>
      <c r="H107">
        <v>65.599999999999994</v>
      </c>
      <c r="I107">
        <v>69.400000000000006</v>
      </c>
      <c r="J107" s="92">
        <v>2507</v>
      </c>
    </row>
    <row r="108" spans="1:10" x14ac:dyDescent="0.3">
      <c r="A108" s="92">
        <v>4200</v>
      </c>
      <c r="B108">
        <v>4200</v>
      </c>
      <c r="C108">
        <v>0</v>
      </c>
      <c r="D108">
        <v>141</v>
      </c>
      <c r="E108">
        <v>53347</v>
      </c>
      <c r="F108">
        <v>54.6</v>
      </c>
      <c r="G108">
        <v>58.4</v>
      </c>
      <c r="H108">
        <v>47.7</v>
      </c>
      <c r="I108">
        <v>53</v>
      </c>
      <c r="J108" s="92">
        <v>53347</v>
      </c>
    </row>
    <row r="109" spans="1:10" x14ac:dyDescent="0.3">
      <c r="A109" s="92">
        <v>4225</v>
      </c>
      <c r="B109">
        <v>4225</v>
      </c>
      <c r="C109">
        <v>0</v>
      </c>
      <c r="D109">
        <v>2476</v>
      </c>
      <c r="E109">
        <v>10362</v>
      </c>
      <c r="F109">
        <v>41.7</v>
      </c>
      <c r="G109">
        <v>51.2</v>
      </c>
      <c r="H109">
        <v>34.4</v>
      </c>
      <c r="I109">
        <v>36.9</v>
      </c>
      <c r="J109" s="92">
        <v>10362</v>
      </c>
    </row>
    <row r="110" spans="1:10" x14ac:dyDescent="0.3">
      <c r="A110" s="92">
        <v>4250</v>
      </c>
      <c r="B110">
        <v>4250</v>
      </c>
      <c r="C110">
        <v>0</v>
      </c>
      <c r="D110">
        <v>11833</v>
      </c>
      <c r="E110">
        <v>35667</v>
      </c>
      <c r="F110">
        <v>27</v>
      </c>
      <c r="G110">
        <v>42</v>
      </c>
      <c r="H110">
        <v>23</v>
      </c>
      <c r="I110">
        <v>25.1</v>
      </c>
      <c r="J110" s="92">
        <v>35667</v>
      </c>
    </row>
    <row r="111" spans="1:10" x14ac:dyDescent="0.3">
      <c r="A111" s="92">
        <v>4275</v>
      </c>
      <c r="B111">
        <v>4275</v>
      </c>
      <c r="C111">
        <v>0</v>
      </c>
      <c r="D111">
        <v>3588</v>
      </c>
      <c r="E111">
        <v>25510</v>
      </c>
      <c r="F111">
        <v>19.600000000000001</v>
      </c>
      <c r="G111">
        <v>27.6</v>
      </c>
      <c r="H111">
        <v>15.8</v>
      </c>
      <c r="I111">
        <v>16.2</v>
      </c>
      <c r="J111" s="92">
        <v>25510</v>
      </c>
    </row>
    <row r="112" spans="1:10" x14ac:dyDescent="0.3">
      <c r="A112" s="92">
        <v>4300</v>
      </c>
      <c r="B112">
        <v>4300</v>
      </c>
      <c r="C112">
        <v>0</v>
      </c>
      <c r="D112">
        <v>12685</v>
      </c>
      <c r="E112">
        <v>102813</v>
      </c>
      <c r="F112">
        <v>13.1</v>
      </c>
      <c r="G112">
        <v>19.100000000000001</v>
      </c>
      <c r="H112">
        <v>8.8000000000000007</v>
      </c>
      <c r="I112">
        <v>9.6</v>
      </c>
      <c r="J112" s="92">
        <v>102813</v>
      </c>
    </row>
    <row r="113" spans="1:10" x14ac:dyDescent="0.3">
      <c r="A113" s="92">
        <v>4325</v>
      </c>
      <c r="B113">
        <v>4325</v>
      </c>
      <c r="C113">
        <v>0</v>
      </c>
      <c r="D113">
        <v>11591</v>
      </c>
      <c r="E113">
        <v>24058</v>
      </c>
      <c r="F113">
        <v>7.7</v>
      </c>
      <c r="G113">
        <v>11.4</v>
      </c>
      <c r="H113">
        <v>5.4</v>
      </c>
      <c r="I113">
        <v>5.9</v>
      </c>
      <c r="J113" s="92">
        <v>24058</v>
      </c>
    </row>
    <row r="114" spans="1:10" x14ac:dyDescent="0.3">
      <c r="A114" s="92">
        <v>4350</v>
      </c>
      <c r="B114">
        <v>4350</v>
      </c>
      <c r="C114">
        <v>0</v>
      </c>
      <c r="D114">
        <v>9008</v>
      </c>
      <c r="E114">
        <v>71403</v>
      </c>
      <c r="F114">
        <v>4.5999999999999996</v>
      </c>
      <c r="G114">
        <v>6.9</v>
      </c>
      <c r="H114">
        <v>2.9</v>
      </c>
      <c r="I114">
        <v>3</v>
      </c>
      <c r="J114" s="92">
        <v>71403</v>
      </c>
    </row>
    <row r="115" spans="1:10" x14ac:dyDescent="0.3">
      <c r="A115" s="92">
        <v>4375</v>
      </c>
      <c r="B115">
        <v>4375</v>
      </c>
      <c r="C115">
        <v>0</v>
      </c>
      <c r="D115">
        <v>10687</v>
      </c>
      <c r="E115">
        <v>27057</v>
      </c>
      <c r="F115">
        <v>2.8</v>
      </c>
      <c r="G115">
        <v>3.9</v>
      </c>
      <c r="H115">
        <v>1.5</v>
      </c>
      <c r="I115">
        <v>1.7</v>
      </c>
      <c r="J115" s="92">
        <v>27057</v>
      </c>
    </row>
    <row r="116" spans="1:10" x14ac:dyDescent="0.3">
      <c r="A116" s="92">
        <v>4400</v>
      </c>
      <c r="B116">
        <v>4400</v>
      </c>
      <c r="C116">
        <v>0</v>
      </c>
      <c r="D116">
        <v>11016</v>
      </c>
      <c r="E116">
        <v>72717</v>
      </c>
      <c r="F116">
        <v>1.8</v>
      </c>
      <c r="G116">
        <v>2</v>
      </c>
      <c r="H116">
        <v>0.8</v>
      </c>
      <c r="I116">
        <v>1</v>
      </c>
      <c r="J116" s="92">
        <v>72717</v>
      </c>
    </row>
    <row r="117" spans="1:10" x14ac:dyDescent="0.3">
      <c r="A117" s="92">
        <v>4425</v>
      </c>
      <c r="B117">
        <v>4425</v>
      </c>
      <c r="C117">
        <v>0</v>
      </c>
      <c r="D117">
        <v>384</v>
      </c>
      <c r="E117">
        <v>14285</v>
      </c>
      <c r="F117">
        <v>1</v>
      </c>
      <c r="G117">
        <v>1</v>
      </c>
      <c r="H117">
        <v>0.6</v>
      </c>
      <c r="I117">
        <v>0.6</v>
      </c>
      <c r="J117" s="92">
        <v>14285</v>
      </c>
    </row>
    <row r="118" spans="1:10" x14ac:dyDescent="0.3">
      <c r="A118" s="92">
        <v>4450</v>
      </c>
      <c r="B118">
        <v>4450</v>
      </c>
      <c r="C118">
        <v>0</v>
      </c>
      <c r="D118">
        <v>7434</v>
      </c>
      <c r="E118">
        <v>58975</v>
      </c>
      <c r="F118">
        <v>0.9</v>
      </c>
      <c r="G118">
        <v>0.9</v>
      </c>
      <c r="H118">
        <v>0.4</v>
      </c>
      <c r="I118">
        <v>0.4</v>
      </c>
      <c r="J118" s="92">
        <v>58975</v>
      </c>
    </row>
    <row r="119" spans="1:10" x14ac:dyDescent="0.3">
      <c r="A119" s="92">
        <v>4475</v>
      </c>
      <c r="B119">
        <v>4475</v>
      </c>
      <c r="C119">
        <v>0</v>
      </c>
      <c r="D119">
        <v>6</v>
      </c>
      <c r="E119">
        <v>32858</v>
      </c>
      <c r="F119">
        <v>0.5</v>
      </c>
      <c r="G119">
        <v>0.5</v>
      </c>
      <c r="H119">
        <v>0.5</v>
      </c>
      <c r="I119">
        <v>0.5</v>
      </c>
      <c r="J119" s="92">
        <v>32858</v>
      </c>
    </row>
    <row r="120" spans="1:10" x14ac:dyDescent="0.3">
      <c r="A120" s="92">
        <v>4500</v>
      </c>
      <c r="B120">
        <v>4500</v>
      </c>
      <c r="C120">
        <v>0</v>
      </c>
      <c r="D120">
        <v>2506</v>
      </c>
      <c r="E120">
        <v>158172</v>
      </c>
      <c r="F120">
        <v>0.2</v>
      </c>
      <c r="G120">
        <v>0.3</v>
      </c>
      <c r="H120">
        <v>0.2</v>
      </c>
      <c r="I120">
        <v>0.3</v>
      </c>
      <c r="J120" s="92">
        <v>158172</v>
      </c>
    </row>
    <row r="121" spans="1:10" x14ac:dyDescent="0.3">
      <c r="A121" s="92">
        <v>4525</v>
      </c>
      <c r="B121">
        <v>4525</v>
      </c>
      <c r="C121">
        <v>0</v>
      </c>
      <c r="D121">
        <v>100</v>
      </c>
      <c r="E121">
        <v>22618</v>
      </c>
      <c r="F121">
        <v>0.2</v>
      </c>
      <c r="G121">
        <v>0.2</v>
      </c>
      <c r="H121">
        <v>0.2</v>
      </c>
      <c r="I121">
        <v>0.2</v>
      </c>
      <c r="J121" s="92">
        <v>22618</v>
      </c>
    </row>
    <row r="122" spans="1:10" x14ac:dyDescent="0.3">
      <c r="A122" s="92">
        <v>4550</v>
      </c>
      <c r="B122">
        <v>4550</v>
      </c>
      <c r="C122">
        <v>0</v>
      </c>
      <c r="D122">
        <v>354</v>
      </c>
      <c r="E122">
        <v>112143</v>
      </c>
      <c r="F122">
        <v>0.3</v>
      </c>
      <c r="G122">
        <v>0.3</v>
      </c>
      <c r="H122">
        <v>0.2</v>
      </c>
      <c r="I122">
        <v>0.2</v>
      </c>
      <c r="J122" s="92">
        <v>112143</v>
      </c>
    </row>
    <row r="123" spans="1:10" x14ac:dyDescent="0.3">
      <c r="A123" s="92">
        <v>4575</v>
      </c>
      <c r="B123">
        <v>4575</v>
      </c>
      <c r="C123">
        <v>0</v>
      </c>
      <c r="D123">
        <v>0</v>
      </c>
      <c r="E123">
        <v>9561</v>
      </c>
      <c r="F123">
        <v>0</v>
      </c>
      <c r="G123">
        <v>0</v>
      </c>
      <c r="H123">
        <v>0</v>
      </c>
      <c r="I123">
        <v>0</v>
      </c>
      <c r="J123" s="92">
        <v>9561</v>
      </c>
    </row>
    <row r="124" spans="1:10" x14ac:dyDescent="0.3">
      <c r="A124" s="92">
        <v>4600</v>
      </c>
      <c r="B124">
        <v>4600</v>
      </c>
      <c r="C124">
        <v>0</v>
      </c>
      <c r="D124">
        <v>1601</v>
      </c>
      <c r="E124">
        <v>122477</v>
      </c>
      <c r="F124">
        <v>0.2</v>
      </c>
      <c r="G124">
        <v>0.2</v>
      </c>
      <c r="H124">
        <v>0.1</v>
      </c>
      <c r="I124">
        <v>0.1</v>
      </c>
      <c r="J124" s="92">
        <v>122477</v>
      </c>
    </row>
    <row r="125" spans="1:10" x14ac:dyDescent="0.3">
      <c r="A125" s="92">
        <v>4625</v>
      </c>
      <c r="B125">
        <v>4625</v>
      </c>
      <c r="C125">
        <v>0</v>
      </c>
      <c r="D125">
        <v>0</v>
      </c>
      <c r="E125">
        <v>34669</v>
      </c>
      <c r="F125">
        <v>0</v>
      </c>
      <c r="G125">
        <v>0</v>
      </c>
      <c r="H125">
        <v>0</v>
      </c>
      <c r="I125">
        <v>0</v>
      </c>
      <c r="J125" s="92">
        <v>34669</v>
      </c>
    </row>
    <row r="126" spans="1:10" x14ac:dyDescent="0.3">
      <c r="A126" s="92">
        <v>4650</v>
      </c>
      <c r="B126">
        <v>4650</v>
      </c>
      <c r="C126">
        <v>0</v>
      </c>
      <c r="D126">
        <v>256</v>
      </c>
      <c r="E126">
        <v>134175</v>
      </c>
      <c r="F126">
        <v>0.1</v>
      </c>
      <c r="G126">
        <v>0.1</v>
      </c>
      <c r="H126">
        <v>0.1</v>
      </c>
      <c r="I126">
        <v>0.1</v>
      </c>
      <c r="J126" s="92">
        <v>134175</v>
      </c>
    </row>
    <row r="127" spans="1:10" x14ac:dyDescent="0.3">
      <c r="A127" s="92">
        <v>4675</v>
      </c>
      <c r="B127">
        <v>4675</v>
      </c>
      <c r="C127">
        <v>0</v>
      </c>
      <c r="D127">
        <v>0</v>
      </c>
      <c r="E127">
        <v>10311</v>
      </c>
      <c r="F127">
        <v>0</v>
      </c>
      <c r="G127">
        <v>0</v>
      </c>
      <c r="H127">
        <v>0</v>
      </c>
      <c r="I127">
        <v>0</v>
      </c>
      <c r="J127" s="92">
        <v>10311</v>
      </c>
    </row>
    <row r="128" spans="1:10" x14ac:dyDescent="0.3">
      <c r="A128" s="92">
        <v>4700</v>
      </c>
      <c r="B128">
        <v>4700</v>
      </c>
      <c r="C128">
        <v>0</v>
      </c>
      <c r="D128">
        <v>1503</v>
      </c>
      <c r="E128">
        <v>92115</v>
      </c>
      <c r="F128">
        <v>0.1</v>
      </c>
      <c r="G128">
        <v>0.1</v>
      </c>
      <c r="H128">
        <v>0.1</v>
      </c>
      <c r="I128">
        <v>0.1</v>
      </c>
      <c r="J128" s="92">
        <v>92115</v>
      </c>
    </row>
    <row r="129" spans="1:10" x14ac:dyDescent="0.3">
      <c r="A129" s="92">
        <v>4725</v>
      </c>
      <c r="B129">
        <v>4725</v>
      </c>
      <c r="C129">
        <v>0</v>
      </c>
      <c r="D129">
        <v>0</v>
      </c>
      <c r="E129">
        <v>6041</v>
      </c>
      <c r="F129">
        <v>0</v>
      </c>
      <c r="G129">
        <v>0</v>
      </c>
      <c r="H129">
        <v>0</v>
      </c>
      <c r="I129">
        <v>0</v>
      </c>
      <c r="J129" s="92">
        <v>6041</v>
      </c>
    </row>
    <row r="130" spans="1:10" x14ac:dyDescent="0.3">
      <c r="A130" s="92">
        <v>4750</v>
      </c>
      <c r="B130">
        <v>4750</v>
      </c>
      <c r="C130">
        <v>0</v>
      </c>
      <c r="D130">
        <v>0</v>
      </c>
      <c r="E130">
        <v>34105</v>
      </c>
      <c r="F130">
        <v>0</v>
      </c>
      <c r="G130">
        <v>0</v>
      </c>
      <c r="H130">
        <v>0</v>
      </c>
      <c r="I130">
        <v>0</v>
      </c>
      <c r="J130" s="92">
        <v>34105</v>
      </c>
    </row>
    <row r="131" spans="1:10" x14ac:dyDescent="0.3">
      <c r="A131" s="92">
        <v>4775</v>
      </c>
      <c r="B131">
        <v>4775</v>
      </c>
      <c r="C131">
        <v>0</v>
      </c>
      <c r="D131">
        <v>0</v>
      </c>
      <c r="E131">
        <v>3492</v>
      </c>
      <c r="F131">
        <v>0</v>
      </c>
      <c r="G131">
        <v>0</v>
      </c>
      <c r="H131">
        <v>0</v>
      </c>
      <c r="I131">
        <v>0</v>
      </c>
      <c r="J131" s="92">
        <v>3492</v>
      </c>
    </row>
    <row r="132" spans="1:10" x14ac:dyDescent="0.3">
      <c r="A132" s="92">
        <v>4800</v>
      </c>
      <c r="B132">
        <v>4800</v>
      </c>
      <c r="C132">
        <v>0</v>
      </c>
      <c r="D132">
        <v>0</v>
      </c>
      <c r="E132">
        <v>53798</v>
      </c>
      <c r="F132">
        <v>0</v>
      </c>
      <c r="G132">
        <v>0</v>
      </c>
      <c r="H132">
        <v>0</v>
      </c>
      <c r="I132">
        <v>0</v>
      </c>
      <c r="J132" s="92">
        <v>53798</v>
      </c>
    </row>
    <row r="133" spans="1:10" x14ac:dyDescent="0.3">
      <c r="A133" s="92">
        <v>4825</v>
      </c>
      <c r="B133">
        <v>4825</v>
      </c>
      <c r="C133">
        <v>0</v>
      </c>
      <c r="D133">
        <v>0</v>
      </c>
      <c r="E133">
        <v>1477</v>
      </c>
      <c r="F133">
        <v>0</v>
      </c>
      <c r="G133">
        <v>0</v>
      </c>
      <c r="H133">
        <v>0</v>
      </c>
      <c r="I133">
        <v>0</v>
      </c>
      <c r="J133" s="92">
        <v>1477</v>
      </c>
    </row>
    <row r="134" spans="1:10" x14ac:dyDescent="0.3">
      <c r="A134" s="92">
        <v>4850</v>
      </c>
      <c r="B134">
        <v>4850</v>
      </c>
      <c r="C134">
        <v>0</v>
      </c>
      <c r="D134">
        <v>2</v>
      </c>
      <c r="E134">
        <v>4978</v>
      </c>
      <c r="F134">
        <v>0.1</v>
      </c>
      <c r="G134">
        <v>0.1</v>
      </c>
      <c r="H134">
        <v>0.1</v>
      </c>
      <c r="I134">
        <v>0.1</v>
      </c>
      <c r="J134" s="92">
        <v>4978</v>
      </c>
    </row>
    <row r="135" spans="1:10" x14ac:dyDescent="0.3">
      <c r="A135" s="92">
        <v>4875</v>
      </c>
      <c r="B135">
        <v>4875</v>
      </c>
      <c r="C135">
        <v>0</v>
      </c>
      <c r="D135">
        <v>0</v>
      </c>
      <c r="E135">
        <v>1061</v>
      </c>
      <c r="F135">
        <v>0</v>
      </c>
      <c r="G135">
        <v>0</v>
      </c>
      <c r="H135">
        <v>0</v>
      </c>
      <c r="I135">
        <v>0</v>
      </c>
      <c r="J135" s="92">
        <v>1061</v>
      </c>
    </row>
    <row r="136" spans="1:10" x14ac:dyDescent="0.3">
      <c r="A136" s="92">
        <v>4900</v>
      </c>
      <c r="B136">
        <v>4900</v>
      </c>
      <c r="C136">
        <v>0</v>
      </c>
      <c r="D136">
        <v>0</v>
      </c>
      <c r="E136">
        <v>5835</v>
      </c>
      <c r="F136">
        <v>0</v>
      </c>
      <c r="G136">
        <v>0</v>
      </c>
      <c r="H136">
        <v>0</v>
      </c>
      <c r="I136">
        <v>0</v>
      </c>
      <c r="J136" s="92">
        <v>5835</v>
      </c>
    </row>
    <row r="137" spans="1:10" x14ac:dyDescent="0.3">
      <c r="A137" s="92">
        <v>4925</v>
      </c>
      <c r="B137">
        <v>4925</v>
      </c>
      <c r="C137">
        <v>0</v>
      </c>
      <c r="D137">
        <v>0</v>
      </c>
      <c r="E137">
        <v>481</v>
      </c>
      <c r="F137">
        <v>0</v>
      </c>
      <c r="G137">
        <v>0</v>
      </c>
      <c r="H137">
        <v>0</v>
      </c>
      <c r="I137">
        <v>0</v>
      </c>
      <c r="J137" s="92">
        <v>481</v>
      </c>
    </row>
    <row r="138" spans="1:10" x14ac:dyDescent="0.3">
      <c r="A138" s="92">
        <v>4950</v>
      </c>
      <c r="B138">
        <v>4950</v>
      </c>
      <c r="C138">
        <v>0</v>
      </c>
      <c r="D138">
        <v>0</v>
      </c>
      <c r="E138">
        <v>390</v>
      </c>
      <c r="F138">
        <v>0</v>
      </c>
      <c r="G138">
        <v>0</v>
      </c>
      <c r="H138">
        <v>0</v>
      </c>
      <c r="I138">
        <v>0</v>
      </c>
      <c r="J138" s="92">
        <v>390</v>
      </c>
    </row>
    <row r="139" spans="1:10" x14ac:dyDescent="0.3">
      <c r="A139" s="92">
        <v>4975</v>
      </c>
      <c r="B139">
        <v>4975</v>
      </c>
      <c r="C139">
        <v>0</v>
      </c>
      <c r="D139">
        <v>0</v>
      </c>
      <c r="E139">
        <v>851</v>
      </c>
      <c r="F139">
        <v>0</v>
      </c>
      <c r="G139">
        <v>0</v>
      </c>
      <c r="H139">
        <v>0</v>
      </c>
      <c r="I139">
        <v>0</v>
      </c>
      <c r="J139" s="92">
        <v>851</v>
      </c>
    </row>
    <row r="140" spans="1:10" x14ac:dyDescent="0.3">
      <c r="A140" s="92">
        <v>5000</v>
      </c>
      <c r="B140">
        <v>5000</v>
      </c>
      <c r="C140">
        <v>0</v>
      </c>
      <c r="D140">
        <v>0</v>
      </c>
      <c r="E140">
        <v>17560</v>
      </c>
      <c r="F140">
        <v>0</v>
      </c>
      <c r="G140">
        <v>0</v>
      </c>
      <c r="H140">
        <v>0</v>
      </c>
      <c r="I140">
        <v>0</v>
      </c>
      <c r="J140" s="92">
        <v>17560</v>
      </c>
    </row>
    <row r="141" spans="1:10" x14ac:dyDescent="0.3">
      <c r="A141" s="92">
        <v>5025</v>
      </c>
      <c r="B141">
        <v>5025</v>
      </c>
      <c r="C141">
        <v>0</v>
      </c>
      <c r="D141">
        <v>0</v>
      </c>
      <c r="E141">
        <v>346</v>
      </c>
      <c r="F141">
        <v>0</v>
      </c>
      <c r="G141">
        <v>0</v>
      </c>
      <c r="H141">
        <v>0</v>
      </c>
      <c r="I141">
        <v>0</v>
      </c>
      <c r="J141" s="92">
        <v>346</v>
      </c>
    </row>
    <row r="142" spans="1:10" x14ac:dyDescent="0.3">
      <c r="A142" s="92">
        <v>5050</v>
      </c>
      <c r="B142">
        <v>5050</v>
      </c>
      <c r="C142">
        <v>0</v>
      </c>
      <c r="D142">
        <v>0</v>
      </c>
      <c r="E142">
        <v>13</v>
      </c>
      <c r="F142">
        <v>0</v>
      </c>
      <c r="G142">
        <v>0</v>
      </c>
      <c r="H142">
        <v>0</v>
      </c>
      <c r="I142">
        <v>0</v>
      </c>
      <c r="J142" s="92">
        <v>13</v>
      </c>
    </row>
    <row r="143" spans="1:10" x14ac:dyDescent="0.3">
      <c r="A143" s="92">
        <v>5075</v>
      </c>
      <c r="B143">
        <v>5075</v>
      </c>
      <c r="C143">
        <v>0</v>
      </c>
      <c r="D143">
        <v>0</v>
      </c>
      <c r="E143">
        <v>520</v>
      </c>
      <c r="F143">
        <v>0</v>
      </c>
      <c r="G143">
        <v>0</v>
      </c>
      <c r="H143">
        <v>0</v>
      </c>
      <c r="I143">
        <v>0</v>
      </c>
      <c r="J143" s="92">
        <v>520</v>
      </c>
    </row>
    <row r="144" spans="1:10" x14ac:dyDescent="0.3">
      <c r="A144" s="92">
        <v>5100</v>
      </c>
      <c r="B144">
        <v>5100</v>
      </c>
      <c r="C144">
        <v>0</v>
      </c>
      <c r="D144">
        <v>0</v>
      </c>
      <c r="E144">
        <v>4029</v>
      </c>
      <c r="F144">
        <v>0</v>
      </c>
      <c r="G144">
        <v>0</v>
      </c>
      <c r="H144">
        <v>0</v>
      </c>
      <c r="I144">
        <v>0</v>
      </c>
      <c r="J144" s="92">
        <v>4029</v>
      </c>
    </row>
    <row r="145" spans="1:10" x14ac:dyDescent="0.3">
      <c r="A145" s="92">
        <v>5125</v>
      </c>
      <c r="B145">
        <v>5125</v>
      </c>
      <c r="C145">
        <v>0</v>
      </c>
      <c r="D145">
        <v>0</v>
      </c>
      <c r="E145">
        <v>0</v>
      </c>
      <c r="F145">
        <v>0</v>
      </c>
      <c r="G145">
        <v>0</v>
      </c>
      <c r="H145">
        <v>0</v>
      </c>
      <c r="I145">
        <v>0</v>
      </c>
      <c r="J145" s="92">
        <v>0</v>
      </c>
    </row>
    <row r="146" spans="1:10" x14ac:dyDescent="0.3">
      <c r="A146" s="92">
        <v>5150</v>
      </c>
      <c r="B146">
        <v>5150</v>
      </c>
      <c r="C146">
        <v>0</v>
      </c>
      <c r="D146">
        <v>0</v>
      </c>
      <c r="E146">
        <v>505</v>
      </c>
      <c r="F146">
        <v>0</v>
      </c>
      <c r="G146">
        <v>0</v>
      </c>
      <c r="H146">
        <v>0</v>
      </c>
      <c r="I146">
        <v>0</v>
      </c>
      <c r="J146" s="92">
        <v>505</v>
      </c>
    </row>
    <row r="147" spans="1:10" x14ac:dyDescent="0.3">
      <c r="A147" s="92">
        <v>5175</v>
      </c>
      <c r="B147">
        <v>5175</v>
      </c>
      <c r="C147">
        <v>0</v>
      </c>
      <c r="D147">
        <v>0</v>
      </c>
      <c r="E147">
        <v>854</v>
      </c>
      <c r="F147">
        <v>0</v>
      </c>
      <c r="G147">
        <v>0</v>
      </c>
      <c r="H147">
        <v>0</v>
      </c>
      <c r="I147">
        <v>0</v>
      </c>
      <c r="J147" s="92">
        <v>854</v>
      </c>
    </row>
    <row r="148" spans="1:10" x14ac:dyDescent="0.3">
      <c r="A148" s="92">
        <v>5200</v>
      </c>
      <c r="B148">
        <v>5200</v>
      </c>
      <c r="C148">
        <v>0</v>
      </c>
      <c r="D148">
        <v>0</v>
      </c>
      <c r="E148">
        <v>2423</v>
      </c>
      <c r="F148">
        <v>0</v>
      </c>
      <c r="G148">
        <v>0</v>
      </c>
      <c r="H148">
        <v>0</v>
      </c>
      <c r="I148">
        <v>0</v>
      </c>
      <c r="J148" s="92">
        <v>2423</v>
      </c>
    </row>
    <row r="149" spans="1:10" x14ac:dyDescent="0.3">
      <c r="A149" s="92">
        <v>5225</v>
      </c>
      <c r="B149">
        <v>5225</v>
      </c>
      <c r="C149">
        <v>0</v>
      </c>
      <c r="D149">
        <v>0</v>
      </c>
      <c r="E149">
        <v>600</v>
      </c>
      <c r="F149">
        <v>0</v>
      </c>
      <c r="G149">
        <v>0</v>
      </c>
      <c r="H149">
        <v>0</v>
      </c>
      <c r="I149">
        <v>0</v>
      </c>
      <c r="J149" s="92">
        <v>600</v>
      </c>
    </row>
    <row r="150" spans="1:10" x14ac:dyDescent="0.3">
      <c r="A150" s="92">
        <v>5250</v>
      </c>
      <c r="B150">
        <v>5250</v>
      </c>
      <c r="C150">
        <v>0</v>
      </c>
      <c r="D150">
        <v>0</v>
      </c>
      <c r="E150">
        <v>1500</v>
      </c>
      <c r="F150">
        <v>0</v>
      </c>
      <c r="G150">
        <v>0</v>
      </c>
      <c r="H150">
        <v>0</v>
      </c>
      <c r="I150">
        <v>0</v>
      </c>
      <c r="J150" s="92">
        <v>1500</v>
      </c>
    </row>
    <row r="151" spans="1:10" x14ac:dyDescent="0.3">
      <c r="A151" s="92">
        <v>5275</v>
      </c>
      <c r="B151">
        <v>5275</v>
      </c>
      <c r="C151">
        <v>0</v>
      </c>
      <c r="D151">
        <v>0</v>
      </c>
      <c r="E151">
        <v>314</v>
      </c>
      <c r="F151">
        <v>0</v>
      </c>
      <c r="G151">
        <v>0</v>
      </c>
      <c r="H151">
        <v>0</v>
      </c>
      <c r="I151">
        <v>0</v>
      </c>
      <c r="J151" s="92">
        <v>314</v>
      </c>
    </row>
    <row r="152" spans="1:10" x14ac:dyDescent="0.3">
      <c r="A152" s="92">
        <v>5300</v>
      </c>
      <c r="B152">
        <v>5300</v>
      </c>
      <c r="C152">
        <v>0</v>
      </c>
      <c r="D152">
        <v>0</v>
      </c>
      <c r="E152">
        <v>417</v>
      </c>
      <c r="F152">
        <v>0</v>
      </c>
      <c r="G152">
        <v>0</v>
      </c>
      <c r="H152">
        <v>0</v>
      </c>
      <c r="I152">
        <v>0</v>
      </c>
      <c r="J152" s="92">
        <v>417</v>
      </c>
    </row>
    <row r="153" spans="1:10" x14ac:dyDescent="0.3">
      <c r="A153" s="92">
        <v>5325</v>
      </c>
      <c r="B153">
        <v>5325</v>
      </c>
      <c r="C153">
        <v>0</v>
      </c>
      <c r="D153">
        <v>0</v>
      </c>
      <c r="E153">
        <v>1758</v>
      </c>
      <c r="F153">
        <v>0</v>
      </c>
      <c r="G153">
        <v>0</v>
      </c>
      <c r="H153">
        <v>0</v>
      </c>
      <c r="I153">
        <v>0</v>
      </c>
      <c r="J153" s="92">
        <v>1758</v>
      </c>
    </row>
    <row r="154" spans="1:10" x14ac:dyDescent="0.3">
      <c r="A154" s="92">
        <v>5375</v>
      </c>
      <c r="B154">
        <v>5375</v>
      </c>
      <c r="C154">
        <v>0</v>
      </c>
      <c r="D154">
        <v>0</v>
      </c>
      <c r="E154">
        <v>624</v>
      </c>
      <c r="F154">
        <v>0</v>
      </c>
      <c r="G154">
        <v>0</v>
      </c>
      <c r="H154">
        <v>0</v>
      </c>
      <c r="I154">
        <v>0</v>
      </c>
      <c r="J154" s="92">
        <v>624</v>
      </c>
    </row>
    <row r="155" spans="1:10" x14ac:dyDescent="0.3">
      <c r="A155" s="92">
        <v>5400</v>
      </c>
      <c r="B155">
        <v>5400</v>
      </c>
      <c r="C155">
        <v>0</v>
      </c>
      <c r="D155">
        <v>0</v>
      </c>
      <c r="E155">
        <v>568</v>
      </c>
      <c r="F155">
        <v>0</v>
      </c>
      <c r="G155">
        <v>0</v>
      </c>
      <c r="H155">
        <v>0</v>
      </c>
      <c r="I155">
        <v>0</v>
      </c>
      <c r="J155" s="92">
        <v>568</v>
      </c>
    </row>
    <row r="156" spans="1:10" x14ac:dyDescent="0.3">
      <c r="A156" s="92">
        <v>5500</v>
      </c>
      <c r="B156">
        <v>5500</v>
      </c>
      <c r="C156">
        <v>0</v>
      </c>
      <c r="D156">
        <v>0</v>
      </c>
      <c r="E156">
        <v>1374</v>
      </c>
      <c r="F156">
        <v>0</v>
      </c>
      <c r="G156">
        <v>0</v>
      </c>
      <c r="H156">
        <v>0</v>
      </c>
      <c r="I156">
        <v>0</v>
      </c>
      <c r="J156" s="92">
        <v>1374</v>
      </c>
    </row>
    <row r="157" spans="1:10" x14ac:dyDescent="0.3">
      <c r="A157" s="92">
        <v>5600</v>
      </c>
      <c r="B157">
        <v>5600</v>
      </c>
      <c r="C157">
        <v>0</v>
      </c>
      <c r="D157">
        <v>0</v>
      </c>
      <c r="E157">
        <v>0</v>
      </c>
      <c r="F157">
        <v>0</v>
      </c>
      <c r="G157">
        <v>0</v>
      </c>
      <c r="H157">
        <v>0</v>
      </c>
      <c r="I157">
        <v>0</v>
      </c>
      <c r="J157" s="92">
        <v>0</v>
      </c>
    </row>
    <row r="158" spans="1:10" x14ac:dyDescent="0.3">
      <c r="A158" s="92">
        <v>5700</v>
      </c>
      <c r="B158">
        <v>5700</v>
      </c>
      <c r="C158">
        <v>0</v>
      </c>
      <c r="D158">
        <v>0</v>
      </c>
      <c r="E158">
        <v>0</v>
      </c>
      <c r="F158">
        <v>0</v>
      </c>
      <c r="G158">
        <v>0</v>
      </c>
      <c r="H158">
        <v>0</v>
      </c>
      <c r="I158">
        <v>0</v>
      </c>
      <c r="J158" s="92">
        <v>0</v>
      </c>
    </row>
    <row r="159" spans="1:10" x14ac:dyDescent="0.3">
      <c r="A159" s="92">
        <v>5800</v>
      </c>
      <c r="B159">
        <v>5800</v>
      </c>
      <c r="C159">
        <v>0</v>
      </c>
      <c r="D159">
        <v>0</v>
      </c>
      <c r="E159">
        <v>0</v>
      </c>
      <c r="F159">
        <v>0</v>
      </c>
      <c r="G159">
        <v>0</v>
      </c>
      <c r="H159">
        <v>0</v>
      </c>
      <c r="I159">
        <v>0</v>
      </c>
      <c r="J159" s="92">
        <v>0</v>
      </c>
    </row>
    <row r="160" spans="1:10" x14ac:dyDescent="0.3">
      <c r="A160" s="92">
        <v>5900</v>
      </c>
      <c r="B160">
        <v>5900</v>
      </c>
      <c r="C160">
        <v>0</v>
      </c>
      <c r="D160">
        <v>0</v>
      </c>
      <c r="E160">
        <v>0</v>
      </c>
      <c r="F160">
        <v>0</v>
      </c>
      <c r="G160">
        <v>0</v>
      </c>
      <c r="H160">
        <v>0</v>
      </c>
      <c r="I160">
        <v>0</v>
      </c>
      <c r="J160" s="92">
        <v>0</v>
      </c>
    </row>
    <row r="161" spans="1:10" x14ac:dyDescent="0.3">
      <c r="A161" s="92">
        <v>6000</v>
      </c>
      <c r="B161">
        <v>6000</v>
      </c>
      <c r="C161">
        <v>0</v>
      </c>
      <c r="D161">
        <v>35</v>
      </c>
      <c r="E161">
        <v>27483</v>
      </c>
      <c r="F161">
        <v>0</v>
      </c>
      <c r="G161">
        <v>0</v>
      </c>
      <c r="H161">
        <v>0</v>
      </c>
      <c r="I161">
        <v>0</v>
      </c>
      <c r="J161" s="92">
        <v>27483</v>
      </c>
    </row>
    <row r="162" spans="1:10" x14ac:dyDescent="0.3">
      <c r="A162" s="92">
        <v>7000</v>
      </c>
      <c r="B162">
        <v>7000</v>
      </c>
      <c r="C162">
        <v>0</v>
      </c>
      <c r="D162">
        <v>0</v>
      </c>
      <c r="E162">
        <v>0</v>
      </c>
      <c r="F162">
        <v>0</v>
      </c>
      <c r="G162">
        <v>0</v>
      </c>
      <c r="H162">
        <v>0</v>
      </c>
      <c r="I162">
        <v>0</v>
      </c>
      <c r="J162" s="92">
        <v>0</v>
      </c>
    </row>
    <row r="163" spans="1:10" x14ac:dyDescent="0.3">
      <c r="A163" s="92">
        <v>8000</v>
      </c>
      <c r="B163">
        <v>8000</v>
      </c>
      <c r="C163">
        <v>0</v>
      </c>
      <c r="D163">
        <v>0</v>
      </c>
      <c r="E163">
        <v>0</v>
      </c>
      <c r="F163">
        <v>0</v>
      </c>
      <c r="G163">
        <v>0</v>
      </c>
      <c r="H163">
        <v>0</v>
      </c>
      <c r="I163">
        <v>0</v>
      </c>
      <c r="J163" s="92">
        <v>0</v>
      </c>
    </row>
    <row r="164" spans="1:10" x14ac:dyDescent="0.3">
      <c r="A164" s="92">
        <v>9000</v>
      </c>
      <c r="B164">
        <v>9000</v>
      </c>
      <c r="C164">
        <v>0</v>
      </c>
      <c r="D164">
        <v>0</v>
      </c>
      <c r="E164">
        <v>0</v>
      </c>
      <c r="F164">
        <v>0</v>
      </c>
      <c r="G164">
        <v>0</v>
      </c>
      <c r="H164">
        <v>0</v>
      </c>
      <c r="I164">
        <v>0</v>
      </c>
      <c r="J164" s="92">
        <v>0</v>
      </c>
    </row>
    <row r="165" spans="1:10" x14ac:dyDescent="0.3">
      <c r="A165" t="s">
        <v>274</v>
      </c>
      <c r="B165">
        <v>10000</v>
      </c>
      <c r="C165">
        <v>0</v>
      </c>
      <c r="D165">
        <v>0</v>
      </c>
      <c r="E165">
        <v>0</v>
      </c>
      <c r="F165">
        <v>0</v>
      </c>
      <c r="G165">
        <v>0</v>
      </c>
      <c r="H165">
        <v>0</v>
      </c>
      <c r="I165">
        <v>0</v>
      </c>
      <c r="J165">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AC04E-8CA8-4EE3-BE74-81A7C9CA9EBA}">
  <dimension ref="A1:J165"/>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500</v>
      </c>
      <c r="B2">
        <v>500</v>
      </c>
      <c r="C2">
        <v>0</v>
      </c>
      <c r="D2">
        <v>0</v>
      </c>
      <c r="E2">
        <v>4</v>
      </c>
      <c r="F2">
        <v>0</v>
      </c>
      <c r="G2">
        <v>0</v>
      </c>
      <c r="H2">
        <v>0</v>
      </c>
      <c r="I2">
        <v>0</v>
      </c>
      <c r="J2" s="92">
        <v>4</v>
      </c>
    </row>
    <row r="3" spans="1:10" x14ac:dyDescent="0.3">
      <c r="A3" s="92">
        <v>600</v>
      </c>
      <c r="B3">
        <v>600</v>
      </c>
      <c r="C3">
        <v>0</v>
      </c>
      <c r="D3">
        <v>0</v>
      </c>
      <c r="E3">
        <v>1</v>
      </c>
      <c r="F3">
        <v>0</v>
      </c>
      <c r="G3">
        <v>0</v>
      </c>
      <c r="H3">
        <v>0</v>
      </c>
      <c r="I3">
        <v>0</v>
      </c>
      <c r="J3" s="92">
        <v>1</v>
      </c>
    </row>
    <row r="4" spans="1:10" x14ac:dyDescent="0.3">
      <c r="A4" s="92">
        <v>800</v>
      </c>
      <c r="B4">
        <v>800</v>
      </c>
      <c r="C4">
        <v>0</v>
      </c>
      <c r="D4">
        <v>0</v>
      </c>
      <c r="E4">
        <v>0</v>
      </c>
      <c r="F4">
        <v>0</v>
      </c>
      <c r="G4">
        <v>0</v>
      </c>
      <c r="H4">
        <v>0</v>
      </c>
      <c r="I4">
        <v>0</v>
      </c>
      <c r="J4" s="92">
        <v>0</v>
      </c>
    </row>
    <row r="5" spans="1:10" x14ac:dyDescent="0.3">
      <c r="A5" s="92">
        <v>1000</v>
      </c>
      <c r="B5">
        <v>1000</v>
      </c>
      <c r="C5">
        <v>0</v>
      </c>
      <c r="D5">
        <v>35</v>
      </c>
      <c r="E5">
        <v>33216</v>
      </c>
      <c r="F5">
        <v>0</v>
      </c>
      <c r="G5">
        <v>0</v>
      </c>
      <c r="H5">
        <v>0</v>
      </c>
      <c r="I5">
        <v>0</v>
      </c>
      <c r="J5" s="92">
        <v>33216</v>
      </c>
    </row>
    <row r="6" spans="1:10" x14ac:dyDescent="0.3">
      <c r="A6" s="92">
        <v>1100</v>
      </c>
      <c r="B6">
        <v>1100</v>
      </c>
      <c r="C6">
        <v>0</v>
      </c>
      <c r="D6">
        <v>0</v>
      </c>
      <c r="E6">
        <v>34</v>
      </c>
      <c r="F6">
        <v>0</v>
      </c>
      <c r="G6">
        <v>0</v>
      </c>
      <c r="H6">
        <v>0</v>
      </c>
      <c r="I6">
        <v>0</v>
      </c>
      <c r="J6" s="92">
        <v>34</v>
      </c>
    </row>
    <row r="7" spans="1:10" x14ac:dyDescent="0.3">
      <c r="A7" s="92">
        <v>1150</v>
      </c>
      <c r="B7">
        <v>1150</v>
      </c>
      <c r="C7">
        <v>0</v>
      </c>
      <c r="D7">
        <v>0</v>
      </c>
      <c r="E7">
        <v>200</v>
      </c>
      <c r="F7">
        <v>0</v>
      </c>
      <c r="G7">
        <v>0</v>
      </c>
      <c r="H7">
        <v>0</v>
      </c>
      <c r="I7">
        <v>0</v>
      </c>
      <c r="J7" s="92">
        <v>200</v>
      </c>
    </row>
    <row r="8" spans="1:10" x14ac:dyDescent="0.3">
      <c r="A8" s="92">
        <v>1200</v>
      </c>
      <c r="B8">
        <v>1200</v>
      </c>
      <c r="C8">
        <v>0</v>
      </c>
      <c r="D8">
        <v>0</v>
      </c>
      <c r="E8">
        <v>9041</v>
      </c>
      <c r="F8">
        <v>0</v>
      </c>
      <c r="G8">
        <v>0</v>
      </c>
      <c r="H8">
        <v>0</v>
      </c>
      <c r="I8">
        <v>0</v>
      </c>
      <c r="J8" s="92">
        <v>9041</v>
      </c>
    </row>
    <row r="9" spans="1:10" x14ac:dyDescent="0.3">
      <c r="A9" s="92">
        <v>1250</v>
      </c>
      <c r="B9">
        <v>1250</v>
      </c>
      <c r="C9">
        <v>0</v>
      </c>
      <c r="D9">
        <v>0</v>
      </c>
      <c r="E9">
        <v>10</v>
      </c>
      <c r="F9">
        <v>0</v>
      </c>
      <c r="G9">
        <v>0</v>
      </c>
      <c r="H9">
        <v>0</v>
      </c>
      <c r="I9">
        <v>0</v>
      </c>
      <c r="J9" s="92">
        <v>10</v>
      </c>
    </row>
    <row r="10" spans="1:10" x14ac:dyDescent="0.3">
      <c r="A10" s="92">
        <v>1300</v>
      </c>
      <c r="B10">
        <v>1300</v>
      </c>
      <c r="C10">
        <v>0</v>
      </c>
      <c r="D10">
        <v>0</v>
      </c>
      <c r="E10">
        <v>173</v>
      </c>
      <c r="F10">
        <v>0</v>
      </c>
      <c r="G10">
        <v>0</v>
      </c>
      <c r="H10">
        <v>0</v>
      </c>
      <c r="I10">
        <v>0</v>
      </c>
      <c r="J10" s="92">
        <v>173</v>
      </c>
    </row>
    <row r="11" spans="1:10" x14ac:dyDescent="0.3">
      <c r="A11" s="92">
        <v>1350</v>
      </c>
      <c r="B11">
        <v>1350</v>
      </c>
      <c r="C11">
        <v>0</v>
      </c>
      <c r="D11">
        <v>0</v>
      </c>
      <c r="E11">
        <v>5</v>
      </c>
      <c r="F11">
        <v>0</v>
      </c>
      <c r="G11">
        <v>0</v>
      </c>
      <c r="H11">
        <v>0</v>
      </c>
      <c r="I11">
        <v>0</v>
      </c>
      <c r="J11" s="92">
        <v>5</v>
      </c>
    </row>
    <row r="12" spans="1:10" x14ac:dyDescent="0.3">
      <c r="A12" s="92">
        <v>1400</v>
      </c>
      <c r="B12">
        <v>1400</v>
      </c>
      <c r="C12">
        <v>0</v>
      </c>
      <c r="D12">
        <v>0</v>
      </c>
      <c r="E12">
        <v>4045</v>
      </c>
      <c r="F12">
        <v>0</v>
      </c>
      <c r="G12">
        <v>0</v>
      </c>
      <c r="H12">
        <v>0</v>
      </c>
      <c r="I12">
        <v>0</v>
      </c>
      <c r="J12" s="92">
        <v>4045</v>
      </c>
    </row>
    <row r="13" spans="1:10" x14ac:dyDescent="0.3">
      <c r="A13" s="92">
        <v>1450</v>
      </c>
      <c r="B13">
        <v>1450</v>
      </c>
      <c r="C13">
        <v>0</v>
      </c>
      <c r="D13">
        <v>0</v>
      </c>
      <c r="E13">
        <v>1343</v>
      </c>
      <c r="F13">
        <v>0</v>
      </c>
      <c r="G13">
        <v>0</v>
      </c>
      <c r="H13">
        <v>0</v>
      </c>
      <c r="I13">
        <v>0</v>
      </c>
      <c r="J13" s="92">
        <v>1343</v>
      </c>
    </row>
    <row r="14" spans="1:10" x14ac:dyDescent="0.3">
      <c r="A14" s="92">
        <v>1500</v>
      </c>
      <c r="B14">
        <v>1500</v>
      </c>
      <c r="C14">
        <v>0</v>
      </c>
      <c r="D14">
        <v>0</v>
      </c>
      <c r="E14">
        <v>20358</v>
      </c>
      <c r="F14">
        <v>0</v>
      </c>
      <c r="G14">
        <v>0</v>
      </c>
      <c r="H14">
        <v>0</v>
      </c>
      <c r="I14">
        <v>0</v>
      </c>
      <c r="J14" s="92">
        <v>20358</v>
      </c>
    </row>
    <row r="15" spans="1:10" x14ac:dyDescent="0.3">
      <c r="A15" s="92">
        <v>1550</v>
      </c>
      <c r="B15">
        <v>1550</v>
      </c>
      <c r="C15">
        <v>0</v>
      </c>
      <c r="D15">
        <v>0</v>
      </c>
      <c r="E15">
        <v>306</v>
      </c>
      <c r="F15">
        <v>0</v>
      </c>
      <c r="G15">
        <v>0</v>
      </c>
      <c r="H15">
        <v>0</v>
      </c>
      <c r="I15">
        <v>0</v>
      </c>
      <c r="J15" s="92">
        <v>306</v>
      </c>
    </row>
    <row r="16" spans="1:10" x14ac:dyDescent="0.3">
      <c r="A16" s="92">
        <v>1600</v>
      </c>
      <c r="B16">
        <v>1600</v>
      </c>
      <c r="C16">
        <v>0</v>
      </c>
      <c r="D16">
        <v>0</v>
      </c>
      <c r="E16">
        <v>16376</v>
      </c>
      <c r="F16">
        <v>0</v>
      </c>
      <c r="G16">
        <v>0</v>
      </c>
      <c r="H16">
        <v>0</v>
      </c>
      <c r="I16">
        <v>0</v>
      </c>
      <c r="J16" s="92">
        <v>16376</v>
      </c>
    </row>
    <row r="17" spans="1:10" x14ac:dyDescent="0.3">
      <c r="A17" s="92">
        <v>1650</v>
      </c>
      <c r="B17">
        <v>1650</v>
      </c>
      <c r="C17">
        <v>0</v>
      </c>
      <c r="D17">
        <v>0</v>
      </c>
      <c r="E17">
        <v>34</v>
      </c>
      <c r="F17">
        <v>0</v>
      </c>
      <c r="G17">
        <v>0</v>
      </c>
      <c r="H17">
        <v>0</v>
      </c>
      <c r="I17">
        <v>0</v>
      </c>
      <c r="J17" s="92">
        <v>34</v>
      </c>
    </row>
    <row r="18" spans="1:10" x14ac:dyDescent="0.3">
      <c r="A18" s="92">
        <v>1700</v>
      </c>
      <c r="B18">
        <v>1700</v>
      </c>
      <c r="C18">
        <v>0</v>
      </c>
      <c r="D18">
        <v>0</v>
      </c>
      <c r="E18">
        <v>2549</v>
      </c>
      <c r="F18">
        <v>0</v>
      </c>
      <c r="G18">
        <v>0</v>
      </c>
      <c r="H18">
        <v>0</v>
      </c>
      <c r="I18">
        <v>0</v>
      </c>
      <c r="J18" s="92">
        <v>2549</v>
      </c>
    </row>
    <row r="19" spans="1:10" x14ac:dyDescent="0.3">
      <c r="A19" s="92">
        <v>1750</v>
      </c>
      <c r="B19">
        <v>1750</v>
      </c>
      <c r="C19">
        <v>0</v>
      </c>
      <c r="D19">
        <v>0</v>
      </c>
      <c r="E19">
        <v>201</v>
      </c>
      <c r="F19">
        <v>0</v>
      </c>
      <c r="G19">
        <v>0</v>
      </c>
      <c r="H19">
        <v>0</v>
      </c>
      <c r="I19">
        <v>0</v>
      </c>
      <c r="J19" s="92">
        <v>201</v>
      </c>
    </row>
    <row r="20" spans="1:10" x14ac:dyDescent="0.3">
      <c r="A20" s="92">
        <v>1800</v>
      </c>
      <c r="B20">
        <v>1800</v>
      </c>
      <c r="C20">
        <v>0</v>
      </c>
      <c r="D20">
        <v>0</v>
      </c>
      <c r="E20">
        <v>12797</v>
      </c>
      <c r="F20">
        <v>0</v>
      </c>
      <c r="G20">
        <v>0</v>
      </c>
      <c r="H20">
        <v>0</v>
      </c>
      <c r="I20">
        <v>0</v>
      </c>
      <c r="J20" s="92">
        <v>12797</v>
      </c>
    </row>
    <row r="21" spans="1:10" x14ac:dyDescent="0.3">
      <c r="A21" s="92">
        <v>1850</v>
      </c>
      <c r="B21">
        <v>1850</v>
      </c>
      <c r="C21">
        <v>0</v>
      </c>
      <c r="D21">
        <v>0</v>
      </c>
      <c r="E21">
        <v>338</v>
      </c>
      <c r="F21">
        <v>0</v>
      </c>
      <c r="G21">
        <v>0</v>
      </c>
      <c r="H21">
        <v>0</v>
      </c>
      <c r="I21">
        <v>0</v>
      </c>
      <c r="J21" s="92">
        <v>338</v>
      </c>
    </row>
    <row r="22" spans="1:10" x14ac:dyDescent="0.3">
      <c r="A22" s="92">
        <v>1900</v>
      </c>
      <c r="B22">
        <v>1900</v>
      </c>
      <c r="C22">
        <v>0</v>
      </c>
      <c r="D22">
        <v>0</v>
      </c>
      <c r="E22">
        <v>2151</v>
      </c>
      <c r="F22">
        <v>0</v>
      </c>
      <c r="G22">
        <v>0</v>
      </c>
      <c r="H22">
        <v>0</v>
      </c>
      <c r="I22">
        <v>0</v>
      </c>
      <c r="J22" s="92">
        <v>2151</v>
      </c>
    </row>
    <row r="23" spans="1:10" x14ac:dyDescent="0.3">
      <c r="A23" s="92">
        <v>1950</v>
      </c>
      <c r="B23">
        <v>1950</v>
      </c>
      <c r="C23">
        <v>0</v>
      </c>
      <c r="D23">
        <v>0</v>
      </c>
      <c r="E23">
        <v>170</v>
      </c>
      <c r="F23">
        <v>0</v>
      </c>
      <c r="G23">
        <v>0</v>
      </c>
      <c r="H23">
        <v>0</v>
      </c>
      <c r="I23">
        <v>0</v>
      </c>
      <c r="J23" s="92">
        <v>170</v>
      </c>
    </row>
    <row r="24" spans="1:10" x14ac:dyDescent="0.3">
      <c r="A24" s="92">
        <v>2000</v>
      </c>
      <c r="B24">
        <v>2000</v>
      </c>
      <c r="C24">
        <v>0</v>
      </c>
      <c r="D24">
        <v>0</v>
      </c>
      <c r="E24">
        <v>28145</v>
      </c>
      <c r="F24">
        <v>0</v>
      </c>
      <c r="G24">
        <v>0</v>
      </c>
      <c r="H24">
        <v>0</v>
      </c>
      <c r="I24">
        <v>0</v>
      </c>
      <c r="J24" s="92">
        <v>28145</v>
      </c>
    </row>
    <row r="25" spans="1:10" x14ac:dyDescent="0.3">
      <c r="A25" s="92">
        <v>2050</v>
      </c>
      <c r="B25">
        <v>2050</v>
      </c>
      <c r="C25">
        <v>0</v>
      </c>
      <c r="D25">
        <v>0</v>
      </c>
      <c r="E25">
        <v>267</v>
      </c>
      <c r="F25">
        <v>0</v>
      </c>
      <c r="G25">
        <v>0</v>
      </c>
      <c r="H25">
        <v>0</v>
      </c>
      <c r="I25">
        <v>0</v>
      </c>
      <c r="J25" s="92">
        <v>267</v>
      </c>
    </row>
    <row r="26" spans="1:10" x14ac:dyDescent="0.3">
      <c r="A26" s="92">
        <v>2100</v>
      </c>
      <c r="B26">
        <v>2100</v>
      </c>
      <c r="C26">
        <v>0</v>
      </c>
      <c r="D26">
        <v>0</v>
      </c>
      <c r="E26">
        <v>30986</v>
      </c>
      <c r="F26">
        <v>0</v>
      </c>
      <c r="G26">
        <v>0</v>
      </c>
      <c r="H26">
        <v>0</v>
      </c>
      <c r="I26">
        <v>0</v>
      </c>
      <c r="J26" s="92">
        <v>30986</v>
      </c>
    </row>
    <row r="27" spans="1:10" x14ac:dyDescent="0.3">
      <c r="A27" s="92">
        <v>2150</v>
      </c>
      <c r="B27">
        <v>2150</v>
      </c>
      <c r="C27">
        <v>0</v>
      </c>
      <c r="D27">
        <v>0</v>
      </c>
      <c r="E27">
        <v>2249</v>
      </c>
      <c r="F27">
        <v>0</v>
      </c>
      <c r="G27">
        <v>0</v>
      </c>
      <c r="H27">
        <v>0</v>
      </c>
      <c r="I27">
        <v>0</v>
      </c>
      <c r="J27" s="92">
        <v>2249</v>
      </c>
    </row>
    <row r="28" spans="1:10" x14ac:dyDescent="0.3">
      <c r="A28" s="92">
        <v>2175</v>
      </c>
      <c r="B28">
        <v>2175</v>
      </c>
      <c r="C28">
        <v>0</v>
      </c>
      <c r="D28">
        <v>0</v>
      </c>
      <c r="E28">
        <v>1738</v>
      </c>
      <c r="F28">
        <v>0</v>
      </c>
      <c r="G28">
        <v>0</v>
      </c>
      <c r="H28">
        <v>0</v>
      </c>
      <c r="I28">
        <v>0</v>
      </c>
      <c r="J28" s="92">
        <v>1738</v>
      </c>
    </row>
    <row r="29" spans="1:10" x14ac:dyDescent="0.3">
      <c r="A29" s="92">
        <v>2200</v>
      </c>
      <c r="B29">
        <v>2200</v>
      </c>
      <c r="C29">
        <v>0</v>
      </c>
      <c r="D29">
        <v>0</v>
      </c>
      <c r="E29">
        <v>29617</v>
      </c>
      <c r="F29">
        <v>0</v>
      </c>
      <c r="G29">
        <v>0</v>
      </c>
      <c r="H29">
        <v>0</v>
      </c>
      <c r="I29">
        <v>0</v>
      </c>
      <c r="J29" s="92">
        <v>29617</v>
      </c>
    </row>
    <row r="30" spans="1:10" x14ac:dyDescent="0.3">
      <c r="A30" s="92">
        <v>2250</v>
      </c>
      <c r="B30">
        <v>2250</v>
      </c>
      <c r="C30">
        <v>0</v>
      </c>
      <c r="D30">
        <v>0</v>
      </c>
      <c r="E30">
        <v>6287</v>
      </c>
      <c r="F30">
        <v>0</v>
      </c>
      <c r="G30">
        <v>0</v>
      </c>
      <c r="H30">
        <v>0</v>
      </c>
      <c r="I30">
        <v>0</v>
      </c>
      <c r="J30" s="92">
        <v>6287</v>
      </c>
    </row>
    <row r="31" spans="1:10" x14ac:dyDescent="0.3">
      <c r="A31" s="92">
        <v>2275</v>
      </c>
      <c r="B31">
        <v>2275</v>
      </c>
      <c r="C31">
        <v>0</v>
      </c>
      <c r="D31">
        <v>0</v>
      </c>
      <c r="E31">
        <v>61</v>
      </c>
      <c r="F31">
        <v>0</v>
      </c>
      <c r="G31">
        <v>0</v>
      </c>
      <c r="H31">
        <v>0</v>
      </c>
      <c r="I31">
        <v>0</v>
      </c>
      <c r="J31" s="92">
        <v>61</v>
      </c>
    </row>
    <row r="32" spans="1:10" x14ac:dyDescent="0.3">
      <c r="A32" s="92">
        <v>2300</v>
      </c>
      <c r="B32">
        <v>2300</v>
      </c>
      <c r="C32">
        <v>0</v>
      </c>
      <c r="D32">
        <v>0</v>
      </c>
      <c r="E32">
        <v>8063</v>
      </c>
      <c r="F32">
        <v>0</v>
      </c>
      <c r="G32">
        <v>0</v>
      </c>
      <c r="H32">
        <v>0</v>
      </c>
      <c r="I32">
        <v>0</v>
      </c>
      <c r="J32" s="92">
        <v>8063</v>
      </c>
    </row>
    <row r="33" spans="1:10" x14ac:dyDescent="0.3">
      <c r="A33" s="92">
        <v>2325</v>
      </c>
      <c r="B33">
        <v>2325</v>
      </c>
      <c r="C33">
        <v>0</v>
      </c>
      <c r="D33">
        <v>0</v>
      </c>
      <c r="E33">
        <v>624</v>
      </c>
      <c r="F33">
        <v>0</v>
      </c>
      <c r="G33">
        <v>0</v>
      </c>
      <c r="H33">
        <v>0</v>
      </c>
      <c r="I33">
        <v>0</v>
      </c>
      <c r="J33" s="92">
        <v>624</v>
      </c>
    </row>
    <row r="34" spans="1:10" x14ac:dyDescent="0.3">
      <c r="A34" s="92">
        <v>2350</v>
      </c>
      <c r="B34">
        <v>2350</v>
      </c>
      <c r="C34">
        <v>0</v>
      </c>
      <c r="D34">
        <v>0</v>
      </c>
      <c r="E34">
        <v>5869</v>
      </c>
      <c r="F34">
        <v>0</v>
      </c>
      <c r="G34">
        <v>0</v>
      </c>
      <c r="H34">
        <v>0</v>
      </c>
      <c r="I34">
        <v>0</v>
      </c>
      <c r="J34" s="92">
        <v>5869</v>
      </c>
    </row>
    <row r="35" spans="1:10" x14ac:dyDescent="0.3">
      <c r="A35" s="92">
        <v>2375</v>
      </c>
      <c r="B35">
        <v>2375</v>
      </c>
      <c r="C35">
        <v>0</v>
      </c>
      <c r="D35">
        <v>0</v>
      </c>
      <c r="E35">
        <v>1056</v>
      </c>
      <c r="F35">
        <v>0</v>
      </c>
      <c r="G35">
        <v>0</v>
      </c>
      <c r="H35">
        <v>0</v>
      </c>
      <c r="I35">
        <v>0</v>
      </c>
      <c r="J35" s="92">
        <v>1056</v>
      </c>
    </row>
    <row r="36" spans="1:10" x14ac:dyDescent="0.3">
      <c r="A36" s="92">
        <v>2400</v>
      </c>
      <c r="B36">
        <v>2400</v>
      </c>
      <c r="C36">
        <v>0</v>
      </c>
      <c r="D36">
        <v>0</v>
      </c>
      <c r="E36">
        <v>26278</v>
      </c>
      <c r="F36">
        <v>0</v>
      </c>
      <c r="G36">
        <v>0</v>
      </c>
      <c r="H36">
        <v>0</v>
      </c>
      <c r="I36">
        <v>0</v>
      </c>
      <c r="J36" s="92">
        <v>26278</v>
      </c>
    </row>
    <row r="37" spans="1:10" x14ac:dyDescent="0.3">
      <c r="A37" s="92">
        <v>2425</v>
      </c>
      <c r="B37">
        <v>2425</v>
      </c>
      <c r="C37">
        <v>0</v>
      </c>
      <c r="D37">
        <v>0</v>
      </c>
      <c r="E37">
        <v>1247</v>
      </c>
      <c r="F37">
        <v>0</v>
      </c>
      <c r="G37">
        <v>0</v>
      </c>
      <c r="H37">
        <v>0</v>
      </c>
      <c r="I37">
        <v>0</v>
      </c>
      <c r="J37" s="92">
        <v>1247</v>
      </c>
    </row>
    <row r="38" spans="1:10" x14ac:dyDescent="0.3">
      <c r="A38" s="92">
        <v>2450</v>
      </c>
      <c r="B38">
        <v>2450</v>
      </c>
      <c r="C38">
        <v>0</v>
      </c>
      <c r="D38">
        <v>0</v>
      </c>
      <c r="E38">
        <v>3566</v>
      </c>
      <c r="F38">
        <v>0</v>
      </c>
      <c r="G38">
        <v>0</v>
      </c>
      <c r="H38">
        <v>0</v>
      </c>
      <c r="I38">
        <v>0</v>
      </c>
      <c r="J38" s="92">
        <v>3566</v>
      </c>
    </row>
    <row r="39" spans="1:10" x14ac:dyDescent="0.3">
      <c r="A39" s="92">
        <v>2475</v>
      </c>
      <c r="B39">
        <v>2475</v>
      </c>
      <c r="C39">
        <v>0</v>
      </c>
      <c r="D39">
        <v>0</v>
      </c>
      <c r="E39">
        <v>1958</v>
      </c>
      <c r="F39">
        <v>0</v>
      </c>
      <c r="G39">
        <v>0</v>
      </c>
      <c r="H39">
        <v>0</v>
      </c>
      <c r="I39">
        <v>0</v>
      </c>
      <c r="J39" s="92">
        <v>1958</v>
      </c>
    </row>
    <row r="40" spans="1:10" x14ac:dyDescent="0.3">
      <c r="A40" s="92">
        <v>2500</v>
      </c>
      <c r="B40">
        <v>2500</v>
      </c>
      <c r="C40">
        <v>0</v>
      </c>
      <c r="D40">
        <v>0</v>
      </c>
      <c r="E40">
        <v>46940</v>
      </c>
      <c r="F40">
        <v>0</v>
      </c>
      <c r="G40">
        <v>0</v>
      </c>
      <c r="H40">
        <v>0</v>
      </c>
      <c r="I40">
        <v>0</v>
      </c>
      <c r="J40" s="92">
        <v>46940</v>
      </c>
    </row>
    <row r="41" spans="1:10" x14ac:dyDescent="0.3">
      <c r="A41" s="92">
        <v>2525</v>
      </c>
      <c r="B41">
        <v>2525</v>
      </c>
      <c r="C41">
        <v>0</v>
      </c>
      <c r="D41">
        <v>0</v>
      </c>
      <c r="E41">
        <v>4061</v>
      </c>
      <c r="F41">
        <v>0</v>
      </c>
      <c r="G41">
        <v>0</v>
      </c>
      <c r="H41">
        <v>0</v>
      </c>
      <c r="I41">
        <v>0</v>
      </c>
      <c r="J41" s="92">
        <v>4061</v>
      </c>
    </row>
    <row r="42" spans="1:10" x14ac:dyDescent="0.3">
      <c r="A42" s="92">
        <v>2550</v>
      </c>
      <c r="B42">
        <v>2550</v>
      </c>
      <c r="C42">
        <v>0</v>
      </c>
      <c r="D42">
        <v>0</v>
      </c>
      <c r="E42">
        <v>2282</v>
      </c>
      <c r="F42">
        <v>0</v>
      </c>
      <c r="G42">
        <v>0</v>
      </c>
      <c r="H42">
        <v>0</v>
      </c>
      <c r="I42">
        <v>0</v>
      </c>
      <c r="J42" s="92">
        <v>2282</v>
      </c>
    </row>
    <row r="43" spans="1:10" x14ac:dyDescent="0.3">
      <c r="A43" s="92">
        <v>2575</v>
      </c>
      <c r="B43">
        <v>2575</v>
      </c>
      <c r="C43">
        <v>0</v>
      </c>
      <c r="D43">
        <v>0</v>
      </c>
      <c r="E43">
        <v>948</v>
      </c>
      <c r="F43">
        <v>0</v>
      </c>
      <c r="G43">
        <v>0</v>
      </c>
      <c r="H43">
        <v>0</v>
      </c>
      <c r="I43">
        <v>0</v>
      </c>
      <c r="J43" s="92">
        <v>948</v>
      </c>
    </row>
    <row r="44" spans="1:10" x14ac:dyDescent="0.3">
      <c r="A44" s="92">
        <v>2600</v>
      </c>
      <c r="B44">
        <v>2600</v>
      </c>
      <c r="C44">
        <v>0</v>
      </c>
      <c r="D44">
        <v>0</v>
      </c>
      <c r="E44">
        <v>32225</v>
      </c>
      <c r="F44">
        <v>0</v>
      </c>
      <c r="G44">
        <v>0</v>
      </c>
      <c r="H44">
        <v>0</v>
      </c>
      <c r="I44">
        <v>0</v>
      </c>
      <c r="J44" s="92">
        <v>32225</v>
      </c>
    </row>
    <row r="45" spans="1:10" x14ac:dyDescent="0.3">
      <c r="A45" s="92">
        <v>2625</v>
      </c>
      <c r="B45">
        <v>2625</v>
      </c>
      <c r="C45">
        <v>0</v>
      </c>
      <c r="D45">
        <v>0</v>
      </c>
      <c r="E45">
        <v>2734</v>
      </c>
      <c r="F45">
        <v>0</v>
      </c>
      <c r="G45">
        <v>0</v>
      </c>
      <c r="H45">
        <v>0</v>
      </c>
      <c r="I45">
        <v>0</v>
      </c>
      <c r="J45" s="92">
        <v>2734</v>
      </c>
    </row>
    <row r="46" spans="1:10" x14ac:dyDescent="0.3">
      <c r="A46" s="92">
        <v>2650</v>
      </c>
      <c r="B46">
        <v>2650</v>
      </c>
      <c r="C46">
        <v>0</v>
      </c>
      <c r="D46">
        <v>0</v>
      </c>
      <c r="E46">
        <v>7857</v>
      </c>
      <c r="F46">
        <v>0</v>
      </c>
      <c r="G46">
        <v>0</v>
      </c>
      <c r="H46">
        <v>0</v>
      </c>
      <c r="I46">
        <v>0</v>
      </c>
      <c r="J46" s="92">
        <v>7857</v>
      </c>
    </row>
    <row r="47" spans="1:10" x14ac:dyDescent="0.3">
      <c r="A47" s="92">
        <v>2675</v>
      </c>
      <c r="B47">
        <v>2675</v>
      </c>
      <c r="C47">
        <v>0</v>
      </c>
      <c r="D47">
        <v>0</v>
      </c>
      <c r="E47">
        <v>1979</v>
      </c>
      <c r="F47">
        <v>0</v>
      </c>
      <c r="G47">
        <v>0</v>
      </c>
      <c r="H47">
        <v>0</v>
      </c>
      <c r="I47">
        <v>0</v>
      </c>
      <c r="J47" s="92">
        <v>1979</v>
      </c>
    </row>
    <row r="48" spans="1:10" x14ac:dyDescent="0.3">
      <c r="A48" s="92">
        <v>2700</v>
      </c>
      <c r="B48">
        <v>2700</v>
      </c>
      <c r="C48">
        <v>0</v>
      </c>
      <c r="D48">
        <v>2</v>
      </c>
      <c r="E48">
        <v>19853</v>
      </c>
      <c r="F48">
        <v>0.1</v>
      </c>
      <c r="G48">
        <v>0.1</v>
      </c>
      <c r="H48">
        <v>0.1</v>
      </c>
      <c r="I48">
        <v>0.1</v>
      </c>
      <c r="J48" s="92">
        <v>19853</v>
      </c>
    </row>
    <row r="49" spans="1:10" x14ac:dyDescent="0.3">
      <c r="A49" s="92">
        <v>2725</v>
      </c>
      <c r="B49">
        <v>2725</v>
      </c>
      <c r="C49">
        <v>0</v>
      </c>
      <c r="D49">
        <v>0</v>
      </c>
      <c r="E49">
        <v>1583</v>
      </c>
      <c r="F49">
        <v>0</v>
      </c>
      <c r="G49">
        <v>0</v>
      </c>
      <c r="H49">
        <v>0</v>
      </c>
      <c r="I49">
        <v>0</v>
      </c>
      <c r="J49" s="92">
        <v>1583</v>
      </c>
    </row>
    <row r="50" spans="1:10" x14ac:dyDescent="0.3">
      <c r="A50" s="92">
        <v>2750</v>
      </c>
      <c r="B50">
        <v>2750</v>
      </c>
      <c r="C50">
        <v>0</v>
      </c>
      <c r="D50">
        <v>0</v>
      </c>
      <c r="E50">
        <v>20326</v>
      </c>
      <c r="F50">
        <v>0</v>
      </c>
      <c r="G50">
        <v>0</v>
      </c>
      <c r="H50">
        <v>0</v>
      </c>
      <c r="I50">
        <v>0</v>
      </c>
      <c r="J50" s="92">
        <v>20326</v>
      </c>
    </row>
    <row r="51" spans="1:10" x14ac:dyDescent="0.3">
      <c r="A51" s="92">
        <v>2775</v>
      </c>
      <c r="B51">
        <v>2775</v>
      </c>
      <c r="C51">
        <v>0</v>
      </c>
      <c r="D51">
        <v>0</v>
      </c>
      <c r="E51">
        <v>2347</v>
      </c>
      <c r="F51">
        <v>0</v>
      </c>
      <c r="G51">
        <v>0</v>
      </c>
      <c r="H51">
        <v>0</v>
      </c>
      <c r="I51">
        <v>0</v>
      </c>
      <c r="J51" s="92">
        <v>2347</v>
      </c>
    </row>
    <row r="52" spans="1:10" x14ac:dyDescent="0.3">
      <c r="A52" s="92">
        <v>2800</v>
      </c>
      <c r="B52">
        <v>2800</v>
      </c>
      <c r="C52">
        <v>0</v>
      </c>
      <c r="D52">
        <v>0</v>
      </c>
      <c r="E52">
        <v>28298</v>
      </c>
      <c r="F52">
        <v>0</v>
      </c>
      <c r="G52">
        <v>0</v>
      </c>
      <c r="H52">
        <v>0</v>
      </c>
      <c r="I52">
        <v>0</v>
      </c>
      <c r="J52" s="92">
        <v>28298</v>
      </c>
    </row>
    <row r="53" spans="1:10" x14ac:dyDescent="0.3">
      <c r="A53" s="92">
        <v>2825</v>
      </c>
      <c r="B53">
        <v>2825</v>
      </c>
      <c r="C53">
        <v>0</v>
      </c>
      <c r="D53">
        <v>0</v>
      </c>
      <c r="E53">
        <v>1682</v>
      </c>
      <c r="F53">
        <v>0</v>
      </c>
      <c r="G53">
        <v>0</v>
      </c>
      <c r="H53">
        <v>0</v>
      </c>
      <c r="I53">
        <v>0</v>
      </c>
      <c r="J53" s="92">
        <v>1682</v>
      </c>
    </row>
    <row r="54" spans="1:10" x14ac:dyDescent="0.3">
      <c r="A54" s="92">
        <v>2850</v>
      </c>
      <c r="B54">
        <v>2850</v>
      </c>
      <c r="C54">
        <v>0</v>
      </c>
      <c r="D54">
        <v>0</v>
      </c>
      <c r="E54">
        <v>5040</v>
      </c>
      <c r="F54">
        <v>0</v>
      </c>
      <c r="G54">
        <v>0</v>
      </c>
      <c r="H54">
        <v>0</v>
      </c>
      <c r="I54">
        <v>0</v>
      </c>
      <c r="J54" s="92">
        <v>5040</v>
      </c>
    </row>
    <row r="55" spans="1:10" x14ac:dyDescent="0.3">
      <c r="A55" s="92">
        <v>2875</v>
      </c>
      <c r="B55">
        <v>2875</v>
      </c>
      <c r="C55">
        <v>0</v>
      </c>
      <c r="D55">
        <v>0</v>
      </c>
      <c r="E55">
        <v>2033</v>
      </c>
      <c r="F55">
        <v>0</v>
      </c>
      <c r="G55">
        <v>0</v>
      </c>
      <c r="H55">
        <v>0</v>
      </c>
      <c r="I55">
        <v>0</v>
      </c>
      <c r="J55" s="92">
        <v>2033</v>
      </c>
    </row>
    <row r="56" spans="1:10" x14ac:dyDescent="0.3">
      <c r="A56" s="92">
        <v>2900</v>
      </c>
      <c r="B56">
        <v>2900</v>
      </c>
      <c r="C56">
        <v>0</v>
      </c>
      <c r="D56">
        <v>0</v>
      </c>
      <c r="E56">
        <v>23413</v>
      </c>
      <c r="F56">
        <v>0</v>
      </c>
      <c r="G56">
        <v>0</v>
      </c>
      <c r="H56">
        <v>0</v>
      </c>
      <c r="I56">
        <v>0</v>
      </c>
      <c r="J56" s="92">
        <v>23413</v>
      </c>
    </row>
    <row r="57" spans="1:10" x14ac:dyDescent="0.3">
      <c r="A57" s="92">
        <v>2925</v>
      </c>
      <c r="B57">
        <v>2925</v>
      </c>
      <c r="C57">
        <v>0</v>
      </c>
      <c r="D57">
        <v>0</v>
      </c>
      <c r="E57">
        <v>1476</v>
      </c>
      <c r="F57">
        <v>0</v>
      </c>
      <c r="G57">
        <v>0</v>
      </c>
      <c r="H57">
        <v>0</v>
      </c>
      <c r="I57">
        <v>0</v>
      </c>
      <c r="J57" s="92">
        <v>1476</v>
      </c>
    </row>
    <row r="58" spans="1:10" x14ac:dyDescent="0.3">
      <c r="A58" s="92">
        <v>2950</v>
      </c>
      <c r="B58">
        <v>2950</v>
      </c>
      <c r="C58">
        <v>0</v>
      </c>
      <c r="D58">
        <v>0</v>
      </c>
      <c r="E58">
        <v>1369</v>
      </c>
      <c r="F58">
        <v>0</v>
      </c>
      <c r="G58">
        <v>0</v>
      </c>
      <c r="H58">
        <v>0</v>
      </c>
      <c r="I58">
        <v>0</v>
      </c>
      <c r="J58" s="92">
        <v>1369</v>
      </c>
    </row>
    <row r="59" spans="1:10" x14ac:dyDescent="0.3">
      <c r="A59" s="92">
        <v>2975</v>
      </c>
      <c r="B59">
        <v>2975</v>
      </c>
      <c r="C59">
        <v>0</v>
      </c>
      <c r="D59">
        <v>0</v>
      </c>
      <c r="E59">
        <v>1333</v>
      </c>
      <c r="F59">
        <v>0</v>
      </c>
      <c r="G59">
        <v>0</v>
      </c>
      <c r="H59">
        <v>0</v>
      </c>
      <c r="I59">
        <v>0</v>
      </c>
      <c r="J59" s="92">
        <v>1333</v>
      </c>
    </row>
    <row r="60" spans="1:10" x14ac:dyDescent="0.3">
      <c r="A60" s="92">
        <v>3000</v>
      </c>
      <c r="B60">
        <v>3000</v>
      </c>
      <c r="C60">
        <v>0</v>
      </c>
      <c r="D60">
        <v>0</v>
      </c>
      <c r="E60">
        <v>60443</v>
      </c>
      <c r="F60">
        <v>0</v>
      </c>
      <c r="G60">
        <v>0</v>
      </c>
      <c r="H60">
        <v>0</v>
      </c>
      <c r="I60">
        <v>0</v>
      </c>
      <c r="J60" s="92">
        <v>60443</v>
      </c>
    </row>
    <row r="61" spans="1:10" x14ac:dyDescent="0.3">
      <c r="A61" s="92">
        <v>3025</v>
      </c>
      <c r="B61">
        <v>3025</v>
      </c>
      <c r="C61">
        <v>0</v>
      </c>
      <c r="D61">
        <v>0</v>
      </c>
      <c r="E61">
        <v>10914</v>
      </c>
      <c r="F61">
        <v>0</v>
      </c>
      <c r="G61">
        <v>0</v>
      </c>
      <c r="H61">
        <v>0</v>
      </c>
      <c r="I61">
        <v>0</v>
      </c>
      <c r="J61" s="92">
        <v>10914</v>
      </c>
    </row>
    <row r="62" spans="1:10" x14ac:dyDescent="0.3">
      <c r="A62" s="92">
        <v>3050</v>
      </c>
      <c r="B62">
        <v>3050</v>
      </c>
      <c r="C62">
        <v>0</v>
      </c>
      <c r="D62">
        <v>0</v>
      </c>
      <c r="E62">
        <v>21386</v>
      </c>
      <c r="F62">
        <v>0</v>
      </c>
      <c r="G62">
        <v>0</v>
      </c>
      <c r="H62">
        <v>0</v>
      </c>
      <c r="I62">
        <v>0</v>
      </c>
      <c r="J62" s="92">
        <v>21386</v>
      </c>
    </row>
    <row r="63" spans="1:10" x14ac:dyDescent="0.3">
      <c r="A63" s="92">
        <v>3075</v>
      </c>
      <c r="B63">
        <v>3075</v>
      </c>
      <c r="C63">
        <v>0</v>
      </c>
      <c r="D63">
        <v>0</v>
      </c>
      <c r="E63">
        <v>33928</v>
      </c>
      <c r="F63">
        <v>0</v>
      </c>
      <c r="G63">
        <v>0</v>
      </c>
      <c r="H63">
        <v>0</v>
      </c>
      <c r="I63">
        <v>0</v>
      </c>
      <c r="J63" s="92">
        <v>33928</v>
      </c>
    </row>
    <row r="64" spans="1:10" x14ac:dyDescent="0.3">
      <c r="A64" s="92">
        <v>3100</v>
      </c>
      <c r="B64">
        <v>3100</v>
      </c>
      <c r="C64">
        <v>0</v>
      </c>
      <c r="D64">
        <v>0</v>
      </c>
      <c r="E64">
        <v>29357</v>
      </c>
      <c r="F64">
        <v>0</v>
      </c>
      <c r="G64">
        <v>0</v>
      </c>
      <c r="H64">
        <v>0</v>
      </c>
      <c r="I64">
        <v>0</v>
      </c>
      <c r="J64" s="92">
        <v>29357</v>
      </c>
    </row>
    <row r="65" spans="1:10" x14ac:dyDescent="0.3">
      <c r="A65" s="92">
        <v>3125</v>
      </c>
      <c r="B65">
        <v>3125</v>
      </c>
      <c r="C65">
        <v>0</v>
      </c>
      <c r="D65">
        <v>0</v>
      </c>
      <c r="E65">
        <v>3329</v>
      </c>
      <c r="F65">
        <v>0</v>
      </c>
      <c r="G65">
        <v>0</v>
      </c>
      <c r="H65">
        <v>0</v>
      </c>
      <c r="I65">
        <v>0</v>
      </c>
      <c r="J65" s="92">
        <v>3329</v>
      </c>
    </row>
    <row r="66" spans="1:10" x14ac:dyDescent="0.3">
      <c r="A66" s="92">
        <v>3150</v>
      </c>
      <c r="B66">
        <v>3150</v>
      </c>
      <c r="C66">
        <v>0</v>
      </c>
      <c r="D66">
        <v>0</v>
      </c>
      <c r="E66">
        <v>15798</v>
      </c>
      <c r="F66">
        <v>0</v>
      </c>
      <c r="G66">
        <v>0</v>
      </c>
      <c r="H66">
        <v>0</v>
      </c>
      <c r="I66">
        <v>0</v>
      </c>
      <c r="J66" s="92">
        <v>15798</v>
      </c>
    </row>
    <row r="67" spans="1:10" x14ac:dyDescent="0.3">
      <c r="A67" s="92">
        <v>3175</v>
      </c>
      <c r="B67">
        <v>3175</v>
      </c>
      <c r="C67">
        <v>0</v>
      </c>
      <c r="D67">
        <v>0</v>
      </c>
      <c r="E67">
        <v>2410</v>
      </c>
      <c r="F67">
        <v>0</v>
      </c>
      <c r="G67">
        <v>0</v>
      </c>
      <c r="H67">
        <v>0</v>
      </c>
      <c r="I67">
        <v>0</v>
      </c>
      <c r="J67" s="92">
        <v>2410</v>
      </c>
    </row>
    <row r="68" spans="1:10" x14ac:dyDescent="0.3">
      <c r="A68" s="92">
        <v>3200</v>
      </c>
      <c r="B68">
        <v>3200</v>
      </c>
      <c r="C68">
        <v>0</v>
      </c>
      <c r="D68">
        <v>0</v>
      </c>
      <c r="E68">
        <v>92213</v>
      </c>
      <c r="F68">
        <v>0</v>
      </c>
      <c r="G68">
        <v>0</v>
      </c>
      <c r="H68">
        <v>0</v>
      </c>
      <c r="I68">
        <v>0</v>
      </c>
      <c r="J68" s="92">
        <v>92213</v>
      </c>
    </row>
    <row r="69" spans="1:10" x14ac:dyDescent="0.3">
      <c r="A69" s="92">
        <v>3225</v>
      </c>
      <c r="B69">
        <v>3225</v>
      </c>
      <c r="C69">
        <v>0</v>
      </c>
      <c r="D69">
        <v>0</v>
      </c>
      <c r="E69">
        <v>19933</v>
      </c>
      <c r="F69">
        <v>0</v>
      </c>
      <c r="G69">
        <v>0</v>
      </c>
      <c r="H69">
        <v>0</v>
      </c>
      <c r="I69">
        <v>0</v>
      </c>
      <c r="J69" s="92">
        <v>19933</v>
      </c>
    </row>
    <row r="70" spans="1:10" x14ac:dyDescent="0.3">
      <c r="A70" s="92">
        <v>3250</v>
      </c>
      <c r="B70">
        <v>3250</v>
      </c>
      <c r="C70">
        <v>0</v>
      </c>
      <c r="D70">
        <v>2000</v>
      </c>
      <c r="E70">
        <v>44416</v>
      </c>
      <c r="F70">
        <v>0.2</v>
      </c>
      <c r="G70">
        <v>0.2</v>
      </c>
      <c r="H70">
        <v>0.2</v>
      </c>
      <c r="I70">
        <v>0.2</v>
      </c>
      <c r="J70" s="92">
        <v>44416</v>
      </c>
    </row>
    <row r="71" spans="1:10" x14ac:dyDescent="0.3">
      <c r="A71" s="92">
        <v>3275</v>
      </c>
      <c r="B71">
        <v>3275</v>
      </c>
      <c r="C71">
        <v>0</v>
      </c>
      <c r="D71">
        <v>5000</v>
      </c>
      <c r="E71">
        <v>7058</v>
      </c>
      <c r="F71">
        <v>0.2</v>
      </c>
      <c r="G71">
        <v>0.2</v>
      </c>
      <c r="H71">
        <v>0.2</v>
      </c>
      <c r="I71">
        <v>0.2</v>
      </c>
      <c r="J71" s="92">
        <v>7058</v>
      </c>
    </row>
    <row r="72" spans="1:10" x14ac:dyDescent="0.3">
      <c r="A72" s="92">
        <v>3300</v>
      </c>
      <c r="B72">
        <v>3300</v>
      </c>
      <c r="C72">
        <v>0</v>
      </c>
      <c r="D72">
        <v>400</v>
      </c>
      <c r="E72">
        <v>78193</v>
      </c>
      <c r="F72">
        <v>0.2</v>
      </c>
      <c r="G72">
        <v>0.2</v>
      </c>
      <c r="H72">
        <v>0.2</v>
      </c>
      <c r="I72">
        <v>0.2</v>
      </c>
      <c r="J72" s="92">
        <v>78193</v>
      </c>
    </row>
    <row r="73" spans="1:10" x14ac:dyDescent="0.3">
      <c r="A73" s="92">
        <v>3325</v>
      </c>
      <c r="B73">
        <v>3325</v>
      </c>
      <c r="C73">
        <v>0</v>
      </c>
      <c r="D73">
        <v>0</v>
      </c>
      <c r="E73">
        <v>4822</v>
      </c>
      <c r="F73">
        <v>0</v>
      </c>
      <c r="G73">
        <v>0</v>
      </c>
      <c r="H73">
        <v>0</v>
      </c>
      <c r="I73">
        <v>0</v>
      </c>
      <c r="J73" s="92">
        <v>4822</v>
      </c>
    </row>
    <row r="74" spans="1:10" x14ac:dyDescent="0.3">
      <c r="A74" s="92">
        <v>3350</v>
      </c>
      <c r="B74">
        <v>3350</v>
      </c>
      <c r="C74">
        <v>0</v>
      </c>
      <c r="D74">
        <v>0</v>
      </c>
      <c r="E74">
        <v>15655</v>
      </c>
      <c r="F74">
        <v>0</v>
      </c>
      <c r="G74">
        <v>0</v>
      </c>
      <c r="H74">
        <v>0</v>
      </c>
      <c r="I74">
        <v>0</v>
      </c>
      <c r="J74" s="92">
        <v>15655</v>
      </c>
    </row>
    <row r="75" spans="1:10" x14ac:dyDescent="0.3">
      <c r="A75" s="92">
        <v>3375</v>
      </c>
      <c r="B75">
        <v>3375</v>
      </c>
      <c r="C75">
        <v>0</v>
      </c>
      <c r="D75">
        <v>914</v>
      </c>
      <c r="E75">
        <v>7724</v>
      </c>
      <c r="F75">
        <v>0.2</v>
      </c>
      <c r="G75">
        <v>0.2</v>
      </c>
      <c r="H75">
        <v>0.2</v>
      </c>
      <c r="I75">
        <v>0.2</v>
      </c>
      <c r="J75" s="92">
        <v>7724</v>
      </c>
    </row>
    <row r="76" spans="1:10" x14ac:dyDescent="0.3">
      <c r="A76" s="92">
        <v>3400</v>
      </c>
      <c r="B76">
        <v>3400</v>
      </c>
      <c r="C76">
        <v>0</v>
      </c>
      <c r="D76">
        <v>300</v>
      </c>
      <c r="E76">
        <v>55704</v>
      </c>
      <c r="F76">
        <v>0.3</v>
      </c>
      <c r="G76">
        <v>0.3</v>
      </c>
      <c r="H76">
        <v>0.3</v>
      </c>
      <c r="I76">
        <v>0.3</v>
      </c>
      <c r="J76" s="92">
        <v>55704</v>
      </c>
    </row>
    <row r="77" spans="1:10" x14ac:dyDescent="0.3">
      <c r="A77" s="92">
        <v>3425</v>
      </c>
      <c r="B77">
        <v>3425</v>
      </c>
      <c r="C77">
        <v>0</v>
      </c>
      <c r="D77">
        <v>0</v>
      </c>
      <c r="E77">
        <v>6304</v>
      </c>
      <c r="F77">
        <v>0</v>
      </c>
      <c r="G77">
        <v>0</v>
      </c>
      <c r="H77">
        <v>0</v>
      </c>
      <c r="I77">
        <v>0</v>
      </c>
      <c r="J77" s="92">
        <v>6304</v>
      </c>
    </row>
    <row r="78" spans="1:10" x14ac:dyDescent="0.3">
      <c r="A78" s="92">
        <v>3450</v>
      </c>
      <c r="B78">
        <v>3450</v>
      </c>
      <c r="C78">
        <v>0</v>
      </c>
      <c r="D78">
        <v>550</v>
      </c>
      <c r="E78">
        <v>33584</v>
      </c>
      <c r="F78">
        <v>0.3</v>
      </c>
      <c r="G78">
        <v>0.3</v>
      </c>
      <c r="H78">
        <v>0.3</v>
      </c>
      <c r="I78">
        <v>0.3</v>
      </c>
      <c r="J78" s="92">
        <v>33584</v>
      </c>
    </row>
    <row r="79" spans="1:10" x14ac:dyDescent="0.3">
      <c r="A79" s="92">
        <v>3475</v>
      </c>
      <c r="B79">
        <v>3475</v>
      </c>
      <c r="C79">
        <v>0</v>
      </c>
      <c r="D79">
        <v>20</v>
      </c>
      <c r="E79">
        <v>9543</v>
      </c>
      <c r="F79">
        <v>0.3</v>
      </c>
      <c r="G79">
        <v>0.3</v>
      </c>
      <c r="H79">
        <v>0.3</v>
      </c>
      <c r="I79">
        <v>0.3</v>
      </c>
      <c r="J79" s="92">
        <v>9543</v>
      </c>
    </row>
    <row r="80" spans="1:10" x14ac:dyDescent="0.3">
      <c r="A80" s="92">
        <v>3500</v>
      </c>
      <c r="B80">
        <v>3500</v>
      </c>
      <c r="C80">
        <v>0</v>
      </c>
      <c r="D80">
        <v>4323</v>
      </c>
      <c r="E80">
        <v>113500</v>
      </c>
      <c r="F80">
        <v>0.3</v>
      </c>
      <c r="G80">
        <v>0.3</v>
      </c>
      <c r="H80">
        <v>0.3</v>
      </c>
      <c r="I80">
        <v>0.3</v>
      </c>
      <c r="J80" s="92">
        <v>113500</v>
      </c>
    </row>
    <row r="81" spans="1:10" x14ac:dyDescent="0.3">
      <c r="A81" s="92">
        <v>3525</v>
      </c>
      <c r="B81">
        <v>3525</v>
      </c>
      <c r="C81">
        <v>0</v>
      </c>
      <c r="D81">
        <v>970</v>
      </c>
      <c r="E81">
        <v>10341</v>
      </c>
      <c r="F81">
        <v>0.3</v>
      </c>
      <c r="G81">
        <v>0.4</v>
      </c>
      <c r="H81">
        <v>0.3</v>
      </c>
      <c r="I81">
        <v>0.4</v>
      </c>
      <c r="J81" s="92">
        <v>10341</v>
      </c>
    </row>
    <row r="82" spans="1:10" x14ac:dyDescent="0.3">
      <c r="A82" s="92">
        <v>3550</v>
      </c>
      <c r="B82">
        <v>3550</v>
      </c>
      <c r="C82">
        <v>0</v>
      </c>
      <c r="D82">
        <v>126</v>
      </c>
      <c r="E82">
        <v>34198</v>
      </c>
      <c r="F82">
        <v>0.3</v>
      </c>
      <c r="G82">
        <v>0.4</v>
      </c>
      <c r="H82">
        <v>0.3</v>
      </c>
      <c r="I82">
        <v>0.4</v>
      </c>
      <c r="J82" s="92">
        <v>34198</v>
      </c>
    </row>
    <row r="83" spans="1:10" x14ac:dyDescent="0.3">
      <c r="A83" s="92">
        <v>3575</v>
      </c>
      <c r="B83">
        <v>3575</v>
      </c>
      <c r="C83">
        <v>0</v>
      </c>
      <c r="D83">
        <v>0</v>
      </c>
      <c r="E83">
        <v>5875</v>
      </c>
      <c r="F83">
        <v>0</v>
      </c>
      <c r="G83">
        <v>0</v>
      </c>
      <c r="H83">
        <v>0</v>
      </c>
      <c r="I83">
        <v>0</v>
      </c>
      <c r="J83" s="92">
        <v>5875</v>
      </c>
    </row>
    <row r="84" spans="1:10" x14ac:dyDescent="0.3">
      <c r="A84" s="92">
        <v>3600</v>
      </c>
      <c r="B84">
        <v>3600</v>
      </c>
      <c r="C84">
        <v>0</v>
      </c>
      <c r="D84">
        <v>1821</v>
      </c>
      <c r="E84">
        <v>112406</v>
      </c>
      <c r="F84">
        <v>0.4</v>
      </c>
      <c r="G84">
        <v>0.5</v>
      </c>
      <c r="H84">
        <v>0.4</v>
      </c>
      <c r="I84">
        <v>0.4</v>
      </c>
      <c r="J84" s="92">
        <v>112406</v>
      </c>
    </row>
    <row r="85" spans="1:10" x14ac:dyDescent="0.3">
      <c r="A85" s="92">
        <v>3625</v>
      </c>
      <c r="B85">
        <v>3625</v>
      </c>
      <c r="C85">
        <v>0</v>
      </c>
      <c r="D85">
        <v>1452</v>
      </c>
      <c r="E85">
        <v>6711</v>
      </c>
      <c r="F85">
        <v>0</v>
      </c>
      <c r="G85">
        <v>0</v>
      </c>
      <c r="H85">
        <v>0</v>
      </c>
      <c r="I85">
        <v>0</v>
      </c>
      <c r="J85" s="92">
        <v>6711</v>
      </c>
    </row>
    <row r="86" spans="1:10" x14ac:dyDescent="0.3">
      <c r="A86" s="92">
        <v>3650</v>
      </c>
      <c r="B86">
        <v>3650</v>
      </c>
      <c r="C86">
        <v>0</v>
      </c>
      <c r="D86">
        <v>1</v>
      </c>
      <c r="E86">
        <v>52717</v>
      </c>
      <c r="F86">
        <v>0.4</v>
      </c>
      <c r="G86">
        <v>0.4</v>
      </c>
      <c r="H86">
        <v>0.4</v>
      </c>
      <c r="I86">
        <v>0.4</v>
      </c>
      <c r="J86" s="92">
        <v>52717</v>
      </c>
    </row>
    <row r="87" spans="1:10" x14ac:dyDescent="0.3">
      <c r="A87" s="92">
        <v>3675</v>
      </c>
      <c r="B87">
        <v>3675</v>
      </c>
      <c r="C87">
        <v>0</v>
      </c>
      <c r="D87">
        <v>257</v>
      </c>
      <c r="E87">
        <v>14274</v>
      </c>
      <c r="F87">
        <v>0.4</v>
      </c>
      <c r="G87">
        <v>0.4</v>
      </c>
      <c r="H87">
        <v>0.4</v>
      </c>
      <c r="I87">
        <v>0.4</v>
      </c>
      <c r="J87" s="92">
        <v>14274</v>
      </c>
    </row>
    <row r="88" spans="1:10" x14ac:dyDescent="0.3">
      <c r="A88" s="92">
        <v>3700</v>
      </c>
      <c r="B88">
        <v>3700</v>
      </c>
      <c r="C88">
        <v>0</v>
      </c>
      <c r="D88">
        <v>5002</v>
      </c>
      <c r="E88">
        <v>88996</v>
      </c>
      <c r="F88">
        <v>0.5</v>
      </c>
      <c r="G88">
        <v>0.7</v>
      </c>
      <c r="H88">
        <v>0.5</v>
      </c>
      <c r="I88">
        <v>0.7</v>
      </c>
      <c r="J88" s="92">
        <v>88996</v>
      </c>
    </row>
    <row r="89" spans="1:10" x14ac:dyDescent="0.3">
      <c r="A89" s="92">
        <v>3725</v>
      </c>
      <c r="B89">
        <v>3725</v>
      </c>
      <c r="C89">
        <v>0</v>
      </c>
      <c r="D89">
        <v>175</v>
      </c>
      <c r="E89">
        <v>13490</v>
      </c>
      <c r="F89">
        <v>0.6</v>
      </c>
      <c r="G89">
        <v>0.6</v>
      </c>
      <c r="H89">
        <v>0.6</v>
      </c>
      <c r="I89">
        <v>0.6</v>
      </c>
      <c r="J89" s="92">
        <v>13490</v>
      </c>
    </row>
    <row r="90" spans="1:10" x14ac:dyDescent="0.3">
      <c r="A90" s="92">
        <v>3750</v>
      </c>
      <c r="B90">
        <v>3750</v>
      </c>
      <c r="C90">
        <v>0</v>
      </c>
      <c r="D90">
        <v>7875</v>
      </c>
      <c r="E90">
        <v>76274</v>
      </c>
      <c r="F90">
        <v>0.6</v>
      </c>
      <c r="G90">
        <v>0.7</v>
      </c>
      <c r="H90">
        <v>0.6</v>
      </c>
      <c r="I90">
        <v>0.7</v>
      </c>
      <c r="J90" s="92">
        <v>76274</v>
      </c>
    </row>
    <row r="91" spans="1:10" x14ac:dyDescent="0.3">
      <c r="A91" s="92">
        <v>3775</v>
      </c>
      <c r="B91">
        <v>3775</v>
      </c>
      <c r="C91">
        <v>0</v>
      </c>
      <c r="D91">
        <v>159</v>
      </c>
      <c r="E91">
        <v>22944</v>
      </c>
      <c r="F91">
        <v>0.7</v>
      </c>
      <c r="G91">
        <v>0.8</v>
      </c>
      <c r="H91">
        <v>0.6</v>
      </c>
      <c r="I91">
        <v>0.6</v>
      </c>
      <c r="J91" s="92">
        <v>22944</v>
      </c>
    </row>
    <row r="92" spans="1:10" x14ac:dyDescent="0.3">
      <c r="A92" s="92">
        <v>3800</v>
      </c>
      <c r="B92">
        <v>3800</v>
      </c>
      <c r="C92">
        <v>0</v>
      </c>
      <c r="D92">
        <v>10066</v>
      </c>
      <c r="E92">
        <v>155246</v>
      </c>
      <c r="F92">
        <v>0.8</v>
      </c>
      <c r="G92">
        <v>0.8</v>
      </c>
      <c r="H92">
        <v>0.7</v>
      </c>
      <c r="I92">
        <v>0.7</v>
      </c>
      <c r="J92" s="92">
        <v>155246</v>
      </c>
    </row>
    <row r="93" spans="1:10" x14ac:dyDescent="0.3">
      <c r="A93" s="92">
        <v>3825</v>
      </c>
      <c r="B93">
        <v>3825</v>
      </c>
      <c r="C93">
        <v>0</v>
      </c>
      <c r="D93">
        <v>31858</v>
      </c>
      <c r="E93">
        <v>47714</v>
      </c>
      <c r="F93">
        <v>0.8</v>
      </c>
      <c r="G93">
        <v>0.8</v>
      </c>
      <c r="H93">
        <v>0.7</v>
      </c>
      <c r="I93">
        <v>0.7</v>
      </c>
      <c r="J93" s="92">
        <v>47714</v>
      </c>
    </row>
    <row r="94" spans="1:10" x14ac:dyDescent="0.3">
      <c r="A94" s="92">
        <v>3850</v>
      </c>
      <c r="B94">
        <v>3850</v>
      </c>
      <c r="C94">
        <v>0</v>
      </c>
      <c r="D94">
        <v>528</v>
      </c>
      <c r="E94">
        <v>146016</v>
      </c>
      <c r="F94">
        <v>0.9</v>
      </c>
      <c r="G94">
        <v>0.9</v>
      </c>
      <c r="H94">
        <v>0.8</v>
      </c>
      <c r="I94">
        <v>0.8</v>
      </c>
      <c r="J94" s="92">
        <v>146016</v>
      </c>
    </row>
    <row r="95" spans="1:10" x14ac:dyDescent="0.3">
      <c r="A95" s="92">
        <v>3875</v>
      </c>
      <c r="B95">
        <v>3875</v>
      </c>
      <c r="C95">
        <v>0</v>
      </c>
      <c r="D95">
        <v>378</v>
      </c>
      <c r="E95">
        <v>40666</v>
      </c>
      <c r="F95">
        <v>1</v>
      </c>
      <c r="G95">
        <v>1.2</v>
      </c>
      <c r="H95">
        <v>0.9</v>
      </c>
      <c r="I95">
        <v>0.9</v>
      </c>
      <c r="J95" s="92">
        <v>40666</v>
      </c>
    </row>
    <row r="96" spans="1:10" x14ac:dyDescent="0.3">
      <c r="A96" s="92">
        <v>3900</v>
      </c>
      <c r="B96">
        <v>3900</v>
      </c>
      <c r="C96">
        <v>0</v>
      </c>
      <c r="D96">
        <v>4639</v>
      </c>
      <c r="E96">
        <v>232922</v>
      </c>
      <c r="F96">
        <v>1.1000000000000001</v>
      </c>
      <c r="G96">
        <v>1.4</v>
      </c>
      <c r="H96">
        <v>1</v>
      </c>
      <c r="I96">
        <v>1.1000000000000001</v>
      </c>
      <c r="J96" s="92">
        <v>232922</v>
      </c>
    </row>
    <row r="97" spans="1:10" x14ac:dyDescent="0.3">
      <c r="A97" s="92">
        <v>3925</v>
      </c>
      <c r="B97">
        <v>3925</v>
      </c>
      <c r="C97">
        <v>0</v>
      </c>
      <c r="D97">
        <v>3026</v>
      </c>
      <c r="E97">
        <v>16953</v>
      </c>
      <c r="F97">
        <v>1.4</v>
      </c>
      <c r="G97">
        <v>1.4</v>
      </c>
      <c r="H97">
        <v>1.3</v>
      </c>
      <c r="I97">
        <v>1.3</v>
      </c>
      <c r="J97" s="92">
        <v>16953</v>
      </c>
    </row>
    <row r="98" spans="1:10" x14ac:dyDescent="0.3">
      <c r="A98" s="92">
        <v>3950</v>
      </c>
      <c r="B98">
        <v>3950</v>
      </c>
      <c r="C98">
        <v>0</v>
      </c>
      <c r="D98">
        <v>2356</v>
      </c>
      <c r="E98">
        <v>77391</v>
      </c>
      <c r="F98">
        <v>1.6</v>
      </c>
      <c r="G98">
        <v>2</v>
      </c>
      <c r="H98">
        <v>1.6</v>
      </c>
      <c r="I98">
        <v>1.6</v>
      </c>
      <c r="J98" s="92">
        <v>77391</v>
      </c>
    </row>
    <row r="99" spans="1:10" x14ac:dyDescent="0.3">
      <c r="A99" s="92">
        <v>3975</v>
      </c>
      <c r="B99">
        <v>3975</v>
      </c>
      <c r="C99">
        <v>0</v>
      </c>
      <c r="D99">
        <v>1551</v>
      </c>
      <c r="E99">
        <v>15780</v>
      </c>
      <c r="F99">
        <v>2.4</v>
      </c>
      <c r="G99">
        <v>2.5</v>
      </c>
      <c r="H99">
        <v>1.6</v>
      </c>
      <c r="I99">
        <v>1.9</v>
      </c>
      <c r="J99" s="92">
        <v>15780</v>
      </c>
    </row>
    <row r="100" spans="1:10" x14ac:dyDescent="0.3">
      <c r="A100" s="92">
        <v>4000</v>
      </c>
      <c r="B100">
        <v>4000</v>
      </c>
      <c r="C100">
        <v>0</v>
      </c>
      <c r="D100">
        <v>26883</v>
      </c>
      <c r="E100">
        <v>199423</v>
      </c>
      <c r="F100">
        <v>3</v>
      </c>
      <c r="G100">
        <v>3.1</v>
      </c>
      <c r="H100">
        <v>2</v>
      </c>
      <c r="I100">
        <v>2.5</v>
      </c>
      <c r="J100" s="92">
        <v>199423</v>
      </c>
    </row>
    <row r="101" spans="1:10" x14ac:dyDescent="0.3">
      <c r="A101" s="92">
        <v>4025</v>
      </c>
      <c r="B101">
        <v>4025</v>
      </c>
      <c r="C101">
        <v>0</v>
      </c>
      <c r="D101">
        <v>7092</v>
      </c>
      <c r="E101">
        <v>18303</v>
      </c>
      <c r="F101">
        <v>3.8</v>
      </c>
      <c r="G101">
        <v>3.9</v>
      </c>
      <c r="H101">
        <v>3.2</v>
      </c>
      <c r="I101">
        <v>3.4</v>
      </c>
      <c r="J101" s="92">
        <v>18303</v>
      </c>
    </row>
    <row r="102" spans="1:10" x14ac:dyDescent="0.3">
      <c r="A102" s="92">
        <v>4050</v>
      </c>
      <c r="B102">
        <v>4050</v>
      </c>
      <c r="C102">
        <v>0</v>
      </c>
      <c r="D102">
        <v>8680</v>
      </c>
      <c r="E102">
        <v>71225</v>
      </c>
      <c r="F102">
        <v>5.4</v>
      </c>
      <c r="G102">
        <v>5.4</v>
      </c>
      <c r="H102">
        <v>3.5</v>
      </c>
      <c r="I102">
        <v>4.5999999999999996</v>
      </c>
      <c r="J102" s="92">
        <v>71225</v>
      </c>
    </row>
    <row r="103" spans="1:10" x14ac:dyDescent="0.3">
      <c r="A103" s="92">
        <v>4075</v>
      </c>
      <c r="B103">
        <v>4075</v>
      </c>
      <c r="C103">
        <v>0</v>
      </c>
      <c r="D103">
        <v>29524</v>
      </c>
      <c r="E103">
        <v>78364</v>
      </c>
      <c r="F103">
        <v>7</v>
      </c>
      <c r="G103">
        <v>7</v>
      </c>
      <c r="H103">
        <v>4.4000000000000004</v>
      </c>
      <c r="I103">
        <v>6.4</v>
      </c>
      <c r="J103" s="92">
        <v>78364</v>
      </c>
    </row>
    <row r="104" spans="1:10" x14ac:dyDescent="0.3">
      <c r="A104" s="92">
        <v>4100</v>
      </c>
      <c r="B104">
        <v>4100</v>
      </c>
      <c r="C104">
        <v>0</v>
      </c>
      <c r="D104">
        <v>31272</v>
      </c>
      <c r="E104">
        <v>115547</v>
      </c>
      <c r="F104">
        <v>9.3000000000000007</v>
      </c>
      <c r="G104">
        <v>10</v>
      </c>
      <c r="H104">
        <v>5.7</v>
      </c>
      <c r="I104">
        <v>8.6999999999999993</v>
      </c>
      <c r="J104" s="92">
        <v>115547</v>
      </c>
    </row>
    <row r="105" spans="1:10" x14ac:dyDescent="0.3">
      <c r="A105" s="92">
        <v>4125</v>
      </c>
      <c r="B105">
        <v>4125</v>
      </c>
      <c r="C105">
        <v>0</v>
      </c>
      <c r="D105">
        <v>8041</v>
      </c>
      <c r="E105">
        <v>42426</v>
      </c>
      <c r="F105">
        <v>12</v>
      </c>
      <c r="G105">
        <v>13</v>
      </c>
      <c r="H105">
        <v>7.4</v>
      </c>
      <c r="I105">
        <v>12</v>
      </c>
      <c r="J105" s="92">
        <v>42426</v>
      </c>
    </row>
    <row r="106" spans="1:10" x14ac:dyDescent="0.3">
      <c r="A106" s="92">
        <v>4150</v>
      </c>
      <c r="B106">
        <v>4150</v>
      </c>
      <c r="C106">
        <v>0</v>
      </c>
      <c r="D106">
        <v>58931</v>
      </c>
      <c r="E106">
        <v>126397</v>
      </c>
      <c r="F106">
        <v>17</v>
      </c>
      <c r="G106">
        <v>19.899999999999999</v>
      </c>
      <c r="H106">
        <v>10.3</v>
      </c>
      <c r="I106">
        <v>17</v>
      </c>
      <c r="J106" s="92">
        <v>126397</v>
      </c>
    </row>
    <row r="107" spans="1:10" x14ac:dyDescent="0.3">
      <c r="A107" s="92">
        <v>4175</v>
      </c>
      <c r="B107">
        <v>4175</v>
      </c>
      <c r="C107">
        <v>0</v>
      </c>
      <c r="D107">
        <v>2228</v>
      </c>
      <c r="E107">
        <v>21839</v>
      </c>
      <c r="F107">
        <v>23.3</v>
      </c>
      <c r="G107">
        <v>26.7</v>
      </c>
      <c r="H107">
        <v>15.1</v>
      </c>
      <c r="I107">
        <v>22.4</v>
      </c>
      <c r="J107" s="92">
        <v>21839</v>
      </c>
    </row>
    <row r="108" spans="1:10" x14ac:dyDescent="0.3">
      <c r="A108" s="92">
        <v>4200</v>
      </c>
      <c r="B108">
        <v>4200</v>
      </c>
      <c r="C108">
        <v>0</v>
      </c>
      <c r="D108">
        <v>41097</v>
      </c>
      <c r="E108">
        <v>144032</v>
      </c>
      <c r="F108">
        <v>30</v>
      </c>
      <c r="G108">
        <v>34.5</v>
      </c>
      <c r="H108">
        <v>19.8</v>
      </c>
      <c r="I108">
        <v>30.3</v>
      </c>
      <c r="J108" s="92">
        <v>144032</v>
      </c>
    </row>
    <row r="109" spans="1:10" x14ac:dyDescent="0.3">
      <c r="A109" s="92">
        <v>4225</v>
      </c>
      <c r="B109">
        <v>4225</v>
      </c>
      <c r="C109">
        <v>0</v>
      </c>
      <c r="D109">
        <v>4743</v>
      </c>
      <c r="E109">
        <v>22645</v>
      </c>
      <c r="F109">
        <v>39.799999999999997</v>
      </c>
      <c r="G109">
        <v>45.3</v>
      </c>
      <c r="H109">
        <v>26.6</v>
      </c>
      <c r="I109">
        <v>40.200000000000003</v>
      </c>
      <c r="J109" s="92">
        <v>22645</v>
      </c>
    </row>
    <row r="110" spans="1:10" x14ac:dyDescent="0.3">
      <c r="A110" s="92">
        <v>4250</v>
      </c>
      <c r="B110">
        <v>4250</v>
      </c>
      <c r="C110">
        <v>0</v>
      </c>
      <c r="D110">
        <v>37391</v>
      </c>
      <c r="E110">
        <v>103053</v>
      </c>
      <c r="F110">
        <v>54.4</v>
      </c>
      <c r="G110">
        <v>60</v>
      </c>
      <c r="H110">
        <v>35.799999999999997</v>
      </c>
      <c r="I110">
        <v>54</v>
      </c>
      <c r="J110" s="92">
        <v>103053</v>
      </c>
    </row>
    <row r="111" spans="1:10" x14ac:dyDescent="0.3">
      <c r="A111" s="92">
        <v>4275</v>
      </c>
      <c r="B111">
        <v>4275</v>
      </c>
      <c r="C111">
        <v>0</v>
      </c>
      <c r="D111">
        <v>532</v>
      </c>
      <c r="E111">
        <v>27235</v>
      </c>
      <c r="F111">
        <v>68</v>
      </c>
      <c r="G111">
        <v>71</v>
      </c>
      <c r="H111">
        <v>48.6</v>
      </c>
      <c r="I111">
        <v>68.400000000000006</v>
      </c>
      <c r="J111" s="92">
        <v>27235</v>
      </c>
    </row>
    <row r="112" spans="1:10" x14ac:dyDescent="0.3">
      <c r="A112" s="92">
        <v>4300</v>
      </c>
      <c r="B112">
        <v>4300</v>
      </c>
      <c r="C112">
        <v>0</v>
      </c>
      <c r="D112">
        <v>7522</v>
      </c>
      <c r="E112">
        <v>96121</v>
      </c>
      <c r="F112">
        <v>88.1</v>
      </c>
      <c r="G112">
        <v>88.1</v>
      </c>
      <c r="H112">
        <v>62.5</v>
      </c>
      <c r="I112">
        <v>81.5</v>
      </c>
      <c r="J112" s="92">
        <v>96121</v>
      </c>
    </row>
    <row r="113" spans="1:10" x14ac:dyDescent="0.3">
      <c r="A113" s="92">
        <v>4325</v>
      </c>
      <c r="B113">
        <v>4325</v>
      </c>
      <c r="C113">
        <v>0</v>
      </c>
      <c r="D113">
        <v>354</v>
      </c>
      <c r="E113">
        <v>20662</v>
      </c>
      <c r="F113">
        <v>107.3</v>
      </c>
      <c r="G113">
        <v>107.3</v>
      </c>
      <c r="H113">
        <v>82.6</v>
      </c>
      <c r="I113">
        <v>93.8</v>
      </c>
      <c r="J113" s="92">
        <v>20662</v>
      </c>
    </row>
    <row r="114" spans="1:10" x14ac:dyDescent="0.3">
      <c r="A114" s="92">
        <v>4350</v>
      </c>
      <c r="B114">
        <v>4350</v>
      </c>
      <c r="C114">
        <v>0</v>
      </c>
      <c r="D114">
        <v>1724</v>
      </c>
      <c r="E114">
        <v>70668</v>
      </c>
      <c r="F114">
        <v>129</v>
      </c>
      <c r="G114">
        <v>131</v>
      </c>
      <c r="H114">
        <v>125</v>
      </c>
      <c r="I114">
        <v>130.30000000000001</v>
      </c>
      <c r="J114" s="92">
        <v>70668</v>
      </c>
    </row>
    <row r="115" spans="1:10" x14ac:dyDescent="0.3">
      <c r="A115" s="92">
        <v>4375</v>
      </c>
      <c r="B115">
        <v>4375</v>
      </c>
      <c r="C115">
        <v>0</v>
      </c>
      <c r="D115">
        <v>59</v>
      </c>
      <c r="E115">
        <v>17499</v>
      </c>
      <c r="F115">
        <v>144</v>
      </c>
      <c r="G115">
        <v>155</v>
      </c>
      <c r="H115">
        <v>144</v>
      </c>
      <c r="I115">
        <v>155</v>
      </c>
      <c r="J115" s="92">
        <v>17499</v>
      </c>
    </row>
    <row r="116" spans="1:10" x14ac:dyDescent="0.3">
      <c r="A116" s="92">
        <v>4400</v>
      </c>
      <c r="B116">
        <v>4400</v>
      </c>
      <c r="C116">
        <v>0</v>
      </c>
      <c r="D116">
        <v>41</v>
      </c>
      <c r="E116">
        <v>35430</v>
      </c>
      <c r="F116">
        <v>173</v>
      </c>
      <c r="G116">
        <v>180</v>
      </c>
      <c r="H116">
        <v>167.2</v>
      </c>
      <c r="I116">
        <v>180</v>
      </c>
      <c r="J116" s="92">
        <v>35430</v>
      </c>
    </row>
    <row r="117" spans="1:10" x14ac:dyDescent="0.3">
      <c r="A117" s="92">
        <v>4425</v>
      </c>
      <c r="B117">
        <v>4425</v>
      </c>
      <c r="C117">
        <v>0</v>
      </c>
      <c r="D117">
        <v>0</v>
      </c>
      <c r="E117">
        <v>6287</v>
      </c>
      <c r="F117">
        <v>0</v>
      </c>
      <c r="G117">
        <v>0</v>
      </c>
      <c r="H117">
        <v>0</v>
      </c>
      <c r="I117">
        <v>0</v>
      </c>
      <c r="J117" s="92">
        <v>6287</v>
      </c>
    </row>
    <row r="118" spans="1:10" x14ac:dyDescent="0.3">
      <c r="A118" s="92">
        <v>4450</v>
      </c>
      <c r="B118">
        <v>4450</v>
      </c>
      <c r="C118">
        <v>0</v>
      </c>
      <c r="D118">
        <v>0</v>
      </c>
      <c r="E118">
        <v>9872</v>
      </c>
      <c r="F118">
        <v>0</v>
      </c>
      <c r="G118">
        <v>0</v>
      </c>
      <c r="H118">
        <v>0</v>
      </c>
      <c r="I118">
        <v>0</v>
      </c>
      <c r="J118" s="92">
        <v>9872</v>
      </c>
    </row>
    <row r="119" spans="1:10" x14ac:dyDescent="0.3">
      <c r="A119" s="92">
        <v>4475</v>
      </c>
      <c r="B119">
        <v>4475</v>
      </c>
      <c r="C119">
        <v>0</v>
      </c>
      <c r="D119">
        <v>0</v>
      </c>
      <c r="E119">
        <v>967</v>
      </c>
      <c r="F119">
        <v>0</v>
      </c>
      <c r="G119">
        <v>0</v>
      </c>
      <c r="H119">
        <v>0</v>
      </c>
      <c r="I119">
        <v>0</v>
      </c>
      <c r="J119" s="92">
        <v>967</v>
      </c>
    </row>
    <row r="120" spans="1:10" x14ac:dyDescent="0.3">
      <c r="A120" s="92">
        <v>4500</v>
      </c>
      <c r="B120">
        <v>4500</v>
      </c>
      <c r="C120">
        <v>0</v>
      </c>
      <c r="D120">
        <v>1</v>
      </c>
      <c r="E120">
        <v>18831</v>
      </c>
      <c r="F120">
        <v>246</v>
      </c>
      <c r="G120">
        <v>246</v>
      </c>
      <c r="H120">
        <v>246</v>
      </c>
      <c r="I120">
        <v>246</v>
      </c>
      <c r="J120" s="92">
        <v>18831</v>
      </c>
    </row>
    <row r="121" spans="1:10" x14ac:dyDescent="0.3">
      <c r="A121" s="92">
        <v>4525</v>
      </c>
      <c r="B121">
        <v>4525</v>
      </c>
      <c r="C121">
        <v>0</v>
      </c>
      <c r="D121">
        <v>0</v>
      </c>
      <c r="E121">
        <v>252</v>
      </c>
      <c r="F121">
        <v>0</v>
      </c>
      <c r="G121">
        <v>0</v>
      </c>
      <c r="H121">
        <v>0</v>
      </c>
      <c r="I121">
        <v>0</v>
      </c>
      <c r="J121" s="92">
        <v>252</v>
      </c>
    </row>
    <row r="122" spans="1:10" x14ac:dyDescent="0.3">
      <c r="A122" s="92">
        <v>4550</v>
      </c>
      <c r="B122">
        <v>4550</v>
      </c>
      <c r="C122">
        <v>0</v>
      </c>
      <c r="D122">
        <v>0</v>
      </c>
      <c r="E122">
        <v>3492</v>
      </c>
      <c r="F122">
        <v>0</v>
      </c>
      <c r="G122">
        <v>0</v>
      </c>
      <c r="H122">
        <v>0</v>
      </c>
      <c r="I122">
        <v>0</v>
      </c>
      <c r="J122" s="92">
        <v>3492</v>
      </c>
    </row>
    <row r="123" spans="1:10" x14ac:dyDescent="0.3">
      <c r="A123" s="92">
        <v>4575</v>
      </c>
      <c r="B123">
        <v>4575</v>
      </c>
      <c r="C123">
        <v>0</v>
      </c>
      <c r="D123">
        <v>0</v>
      </c>
      <c r="E123">
        <v>10</v>
      </c>
      <c r="F123">
        <v>0</v>
      </c>
      <c r="G123">
        <v>0</v>
      </c>
      <c r="H123">
        <v>0</v>
      </c>
      <c r="I123">
        <v>0</v>
      </c>
      <c r="J123" s="92">
        <v>10</v>
      </c>
    </row>
    <row r="124" spans="1:10" x14ac:dyDescent="0.3">
      <c r="A124" s="92">
        <v>4600</v>
      </c>
      <c r="B124">
        <v>4600</v>
      </c>
      <c r="C124">
        <v>0</v>
      </c>
      <c r="D124">
        <v>0</v>
      </c>
      <c r="E124">
        <v>3355</v>
      </c>
      <c r="F124">
        <v>0</v>
      </c>
      <c r="G124">
        <v>0</v>
      </c>
      <c r="H124">
        <v>0</v>
      </c>
      <c r="I124">
        <v>0</v>
      </c>
      <c r="J124" s="92">
        <v>3355</v>
      </c>
    </row>
    <row r="125" spans="1:10" x14ac:dyDescent="0.3">
      <c r="A125" s="92">
        <v>4625</v>
      </c>
      <c r="B125">
        <v>4625</v>
      </c>
      <c r="C125">
        <v>0</v>
      </c>
      <c r="D125">
        <v>0</v>
      </c>
      <c r="E125">
        <v>79</v>
      </c>
      <c r="F125">
        <v>0</v>
      </c>
      <c r="G125">
        <v>0</v>
      </c>
      <c r="H125">
        <v>0</v>
      </c>
      <c r="I125">
        <v>0</v>
      </c>
      <c r="J125" s="92">
        <v>79</v>
      </c>
    </row>
    <row r="126" spans="1:10" x14ac:dyDescent="0.3">
      <c r="A126" s="92">
        <v>4650</v>
      </c>
      <c r="B126">
        <v>4650</v>
      </c>
      <c r="C126">
        <v>0</v>
      </c>
      <c r="D126">
        <v>25</v>
      </c>
      <c r="E126">
        <v>334</v>
      </c>
      <c r="F126">
        <v>426.5</v>
      </c>
      <c r="G126">
        <v>426.5</v>
      </c>
      <c r="H126">
        <v>426.5</v>
      </c>
      <c r="I126">
        <v>426.5</v>
      </c>
      <c r="J126" s="92">
        <v>334</v>
      </c>
    </row>
    <row r="127" spans="1:10" x14ac:dyDescent="0.3">
      <c r="A127" s="92">
        <v>4675</v>
      </c>
      <c r="B127">
        <v>4675</v>
      </c>
      <c r="C127">
        <v>0</v>
      </c>
      <c r="D127">
        <v>0</v>
      </c>
      <c r="E127">
        <v>59</v>
      </c>
      <c r="F127">
        <v>0</v>
      </c>
      <c r="G127">
        <v>0</v>
      </c>
      <c r="H127">
        <v>0</v>
      </c>
      <c r="I127">
        <v>0</v>
      </c>
      <c r="J127" s="92">
        <v>59</v>
      </c>
    </row>
    <row r="128" spans="1:10" x14ac:dyDescent="0.3">
      <c r="A128" s="92">
        <v>4700</v>
      </c>
      <c r="B128">
        <v>4700</v>
      </c>
      <c r="C128">
        <v>0</v>
      </c>
      <c r="D128">
        <v>0</v>
      </c>
      <c r="E128">
        <v>102</v>
      </c>
      <c r="F128">
        <v>0</v>
      </c>
      <c r="G128">
        <v>0</v>
      </c>
      <c r="H128">
        <v>0</v>
      </c>
      <c r="I128">
        <v>0</v>
      </c>
      <c r="J128" s="92">
        <v>102</v>
      </c>
    </row>
    <row r="129" spans="1:10" x14ac:dyDescent="0.3">
      <c r="A129" s="92">
        <v>4725</v>
      </c>
      <c r="B129">
        <v>4725</v>
      </c>
      <c r="C129">
        <v>0</v>
      </c>
      <c r="D129">
        <v>0</v>
      </c>
      <c r="E129">
        <v>38</v>
      </c>
      <c r="F129">
        <v>0</v>
      </c>
      <c r="G129">
        <v>0</v>
      </c>
      <c r="H129">
        <v>0</v>
      </c>
      <c r="I129">
        <v>0</v>
      </c>
      <c r="J129" s="92">
        <v>38</v>
      </c>
    </row>
    <row r="130" spans="1:10" x14ac:dyDescent="0.3">
      <c r="A130" s="92">
        <v>4750</v>
      </c>
      <c r="B130">
        <v>4750</v>
      </c>
      <c r="C130">
        <v>0</v>
      </c>
      <c r="D130">
        <v>0</v>
      </c>
      <c r="E130">
        <v>7</v>
      </c>
      <c r="F130">
        <v>0</v>
      </c>
      <c r="G130">
        <v>0</v>
      </c>
      <c r="H130">
        <v>0</v>
      </c>
      <c r="I130">
        <v>0</v>
      </c>
      <c r="J130" s="92">
        <v>7</v>
      </c>
    </row>
    <row r="131" spans="1:10" x14ac:dyDescent="0.3">
      <c r="A131" s="92">
        <v>4775</v>
      </c>
      <c r="B131">
        <v>4775</v>
      </c>
      <c r="C131">
        <v>0</v>
      </c>
      <c r="D131">
        <v>0</v>
      </c>
      <c r="E131">
        <v>0</v>
      </c>
      <c r="F131">
        <v>0</v>
      </c>
      <c r="G131">
        <v>0</v>
      </c>
      <c r="H131">
        <v>0</v>
      </c>
      <c r="I131">
        <v>0</v>
      </c>
      <c r="J131" s="92">
        <v>0</v>
      </c>
    </row>
    <row r="132" spans="1:10" x14ac:dyDescent="0.3">
      <c r="A132" s="92">
        <v>4800</v>
      </c>
      <c r="B132">
        <v>4800</v>
      </c>
      <c r="C132">
        <v>0</v>
      </c>
      <c r="D132">
        <v>0</v>
      </c>
      <c r="E132">
        <v>39</v>
      </c>
      <c r="F132">
        <v>0</v>
      </c>
      <c r="G132">
        <v>0</v>
      </c>
      <c r="H132">
        <v>0</v>
      </c>
      <c r="I132">
        <v>0</v>
      </c>
      <c r="J132" s="92">
        <v>39</v>
      </c>
    </row>
    <row r="133" spans="1:10" x14ac:dyDescent="0.3">
      <c r="A133" s="92">
        <v>4825</v>
      </c>
      <c r="B133">
        <v>4825</v>
      </c>
      <c r="C133">
        <v>0</v>
      </c>
      <c r="D133">
        <v>0</v>
      </c>
      <c r="E133">
        <v>0</v>
      </c>
      <c r="F133">
        <v>0</v>
      </c>
      <c r="G133">
        <v>0</v>
      </c>
      <c r="H133">
        <v>0</v>
      </c>
      <c r="I133">
        <v>0</v>
      </c>
      <c r="J133" s="92">
        <v>0</v>
      </c>
    </row>
    <row r="134" spans="1:10" x14ac:dyDescent="0.3">
      <c r="A134" s="92">
        <v>4850</v>
      </c>
      <c r="B134">
        <v>4850</v>
      </c>
      <c r="C134">
        <v>0</v>
      </c>
      <c r="D134">
        <v>0</v>
      </c>
      <c r="E134">
        <v>2</v>
      </c>
      <c r="F134">
        <v>0</v>
      </c>
      <c r="G134">
        <v>0</v>
      </c>
      <c r="H134">
        <v>0</v>
      </c>
      <c r="I134">
        <v>0</v>
      </c>
      <c r="J134" s="92">
        <v>2</v>
      </c>
    </row>
    <row r="135" spans="1:10" x14ac:dyDescent="0.3">
      <c r="A135" s="92">
        <v>4875</v>
      </c>
      <c r="B135">
        <v>4875</v>
      </c>
      <c r="C135">
        <v>0</v>
      </c>
      <c r="D135">
        <v>0</v>
      </c>
      <c r="E135">
        <v>0</v>
      </c>
      <c r="F135">
        <v>0</v>
      </c>
      <c r="G135">
        <v>0</v>
      </c>
      <c r="H135">
        <v>0</v>
      </c>
      <c r="I135">
        <v>0</v>
      </c>
      <c r="J135" s="92">
        <v>0</v>
      </c>
    </row>
    <row r="136" spans="1:10" x14ac:dyDescent="0.3">
      <c r="A136" s="92">
        <v>4900</v>
      </c>
      <c r="B136">
        <v>4900</v>
      </c>
      <c r="C136">
        <v>0</v>
      </c>
      <c r="D136">
        <v>0</v>
      </c>
      <c r="E136">
        <v>2</v>
      </c>
      <c r="F136">
        <v>0</v>
      </c>
      <c r="G136">
        <v>0</v>
      </c>
      <c r="H136">
        <v>0</v>
      </c>
      <c r="I136">
        <v>0</v>
      </c>
      <c r="J136" s="92">
        <v>2</v>
      </c>
    </row>
    <row r="137" spans="1:10" x14ac:dyDescent="0.3">
      <c r="A137" s="92">
        <v>4925</v>
      </c>
      <c r="B137">
        <v>4925</v>
      </c>
      <c r="C137">
        <v>0</v>
      </c>
      <c r="D137">
        <v>0</v>
      </c>
      <c r="E137">
        <v>0</v>
      </c>
      <c r="F137">
        <v>0</v>
      </c>
      <c r="G137">
        <v>0</v>
      </c>
      <c r="H137">
        <v>0</v>
      </c>
      <c r="I137">
        <v>0</v>
      </c>
      <c r="J137" s="92">
        <v>0</v>
      </c>
    </row>
    <row r="138" spans="1:10" x14ac:dyDescent="0.3">
      <c r="A138" s="92">
        <v>4950</v>
      </c>
      <c r="B138">
        <v>4950</v>
      </c>
      <c r="C138">
        <v>0</v>
      </c>
      <c r="D138">
        <v>0</v>
      </c>
      <c r="E138">
        <v>0</v>
      </c>
      <c r="F138">
        <v>0</v>
      </c>
      <c r="G138">
        <v>0</v>
      </c>
      <c r="H138">
        <v>0</v>
      </c>
      <c r="I138">
        <v>0</v>
      </c>
      <c r="J138" s="92">
        <v>0</v>
      </c>
    </row>
    <row r="139" spans="1:10" x14ac:dyDescent="0.3">
      <c r="A139" s="92">
        <v>4975</v>
      </c>
      <c r="B139">
        <v>4975</v>
      </c>
      <c r="C139">
        <v>0</v>
      </c>
      <c r="D139">
        <v>0</v>
      </c>
      <c r="E139">
        <v>0</v>
      </c>
      <c r="F139">
        <v>0</v>
      </c>
      <c r="G139">
        <v>0</v>
      </c>
      <c r="H139">
        <v>0</v>
      </c>
      <c r="I139">
        <v>0</v>
      </c>
      <c r="J139" s="92">
        <v>0</v>
      </c>
    </row>
    <row r="140" spans="1:10" x14ac:dyDescent="0.3">
      <c r="A140" s="92">
        <v>5000</v>
      </c>
      <c r="B140">
        <v>5000</v>
      </c>
      <c r="C140">
        <v>0</v>
      </c>
      <c r="D140">
        <v>2</v>
      </c>
      <c r="E140">
        <v>41</v>
      </c>
      <c r="F140">
        <v>745.3</v>
      </c>
      <c r="G140">
        <v>746.3</v>
      </c>
      <c r="H140">
        <v>745.3</v>
      </c>
      <c r="I140">
        <v>746.3</v>
      </c>
      <c r="J140" s="92">
        <v>41</v>
      </c>
    </row>
    <row r="141" spans="1:10" x14ac:dyDescent="0.3">
      <c r="A141" s="92">
        <v>5025</v>
      </c>
      <c r="B141">
        <v>5025</v>
      </c>
      <c r="C141">
        <v>0</v>
      </c>
      <c r="D141">
        <v>0</v>
      </c>
      <c r="E141">
        <v>0</v>
      </c>
      <c r="F141">
        <v>0</v>
      </c>
      <c r="G141">
        <v>0</v>
      </c>
      <c r="H141">
        <v>0</v>
      </c>
      <c r="I141">
        <v>0</v>
      </c>
      <c r="J141" s="92">
        <v>0</v>
      </c>
    </row>
    <row r="142" spans="1:10" x14ac:dyDescent="0.3">
      <c r="A142" s="92">
        <v>5050</v>
      </c>
      <c r="B142">
        <v>5050</v>
      </c>
      <c r="C142">
        <v>0</v>
      </c>
      <c r="D142">
        <v>0</v>
      </c>
      <c r="E142">
        <v>0</v>
      </c>
      <c r="F142">
        <v>0</v>
      </c>
      <c r="G142">
        <v>0</v>
      </c>
      <c r="H142">
        <v>0</v>
      </c>
      <c r="I142">
        <v>0</v>
      </c>
      <c r="J142" s="92">
        <v>0</v>
      </c>
    </row>
    <row r="143" spans="1:10" x14ac:dyDescent="0.3">
      <c r="A143" s="92">
        <v>5075</v>
      </c>
      <c r="B143">
        <v>5075</v>
      </c>
      <c r="C143">
        <v>0</v>
      </c>
      <c r="D143">
        <v>0</v>
      </c>
      <c r="E143">
        <v>0</v>
      </c>
      <c r="F143">
        <v>0</v>
      </c>
      <c r="G143">
        <v>0</v>
      </c>
      <c r="H143">
        <v>0</v>
      </c>
      <c r="I143">
        <v>0</v>
      </c>
      <c r="J143" s="92">
        <v>0</v>
      </c>
    </row>
    <row r="144" spans="1:10" x14ac:dyDescent="0.3">
      <c r="A144" s="92">
        <v>5100</v>
      </c>
      <c r="B144">
        <v>5100</v>
      </c>
      <c r="C144">
        <v>0</v>
      </c>
      <c r="D144">
        <v>0</v>
      </c>
      <c r="E144">
        <v>0</v>
      </c>
      <c r="F144">
        <v>0</v>
      </c>
      <c r="G144">
        <v>0</v>
      </c>
      <c r="H144">
        <v>0</v>
      </c>
      <c r="I144">
        <v>0</v>
      </c>
      <c r="J144" s="92">
        <v>0</v>
      </c>
    </row>
    <row r="145" spans="1:10" x14ac:dyDescent="0.3">
      <c r="A145" s="92">
        <v>5125</v>
      </c>
      <c r="B145">
        <v>5125</v>
      </c>
      <c r="C145">
        <v>0</v>
      </c>
      <c r="D145">
        <v>0</v>
      </c>
      <c r="E145">
        <v>0</v>
      </c>
      <c r="F145">
        <v>0</v>
      </c>
      <c r="G145">
        <v>0</v>
      </c>
      <c r="H145">
        <v>0</v>
      </c>
      <c r="I145">
        <v>0</v>
      </c>
      <c r="J145" s="92">
        <v>0</v>
      </c>
    </row>
    <row r="146" spans="1:10" x14ac:dyDescent="0.3">
      <c r="A146" s="92">
        <v>5150</v>
      </c>
      <c r="B146">
        <v>5150</v>
      </c>
      <c r="C146">
        <v>0</v>
      </c>
      <c r="D146">
        <v>0</v>
      </c>
      <c r="E146">
        <v>0</v>
      </c>
      <c r="F146">
        <v>0</v>
      </c>
      <c r="G146">
        <v>0</v>
      </c>
      <c r="H146">
        <v>0</v>
      </c>
      <c r="I146">
        <v>0</v>
      </c>
      <c r="J146" s="92">
        <v>0</v>
      </c>
    </row>
    <row r="147" spans="1:10" x14ac:dyDescent="0.3">
      <c r="A147" s="92">
        <v>5175</v>
      </c>
      <c r="B147">
        <v>5175</v>
      </c>
      <c r="C147">
        <v>0</v>
      </c>
      <c r="D147">
        <v>0</v>
      </c>
      <c r="E147">
        <v>0</v>
      </c>
      <c r="F147">
        <v>0</v>
      </c>
      <c r="G147">
        <v>0</v>
      </c>
      <c r="H147">
        <v>0</v>
      </c>
      <c r="I147">
        <v>0</v>
      </c>
      <c r="J147" s="92">
        <v>0</v>
      </c>
    </row>
    <row r="148" spans="1:10" x14ac:dyDescent="0.3">
      <c r="A148" s="92">
        <v>5200</v>
      </c>
      <c r="B148">
        <v>5200</v>
      </c>
      <c r="C148">
        <v>0</v>
      </c>
      <c r="D148">
        <v>0</v>
      </c>
      <c r="E148">
        <v>3</v>
      </c>
      <c r="F148">
        <v>0</v>
      </c>
      <c r="G148">
        <v>0</v>
      </c>
      <c r="H148">
        <v>0</v>
      </c>
      <c r="I148">
        <v>0</v>
      </c>
      <c r="J148" s="92">
        <v>3</v>
      </c>
    </row>
    <row r="149" spans="1:10" x14ac:dyDescent="0.3">
      <c r="A149" s="92">
        <v>5225</v>
      </c>
      <c r="B149">
        <v>5225</v>
      </c>
      <c r="C149">
        <v>0</v>
      </c>
      <c r="D149">
        <v>0</v>
      </c>
      <c r="E149">
        <v>0</v>
      </c>
      <c r="F149">
        <v>0</v>
      </c>
      <c r="G149">
        <v>0</v>
      </c>
      <c r="H149">
        <v>0</v>
      </c>
      <c r="I149">
        <v>0</v>
      </c>
      <c r="J149" s="92">
        <v>0</v>
      </c>
    </row>
    <row r="150" spans="1:10" x14ac:dyDescent="0.3">
      <c r="A150" s="92">
        <v>5250</v>
      </c>
      <c r="B150">
        <v>5250</v>
      </c>
      <c r="C150">
        <v>0</v>
      </c>
      <c r="D150">
        <v>0</v>
      </c>
      <c r="E150">
        <v>1</v>
      </c>
      <c r="F150">
        <v>0</v>
      </c>
      <c r="G150">
        <v>0</v>
      </c>
      <c r="H150">
        <v>0</v>
      </c>
      <c r="I150">
        <v>0</v>
      </c>
      <c r="J150" s="92">
        <v>1</v>
      </c>
    </row>
    <row r="151" spans="1:10" x14ac:dyDescent="0.3">
      <c r="A151" s="92">
        <v>5275</v>
      </c>
      <c r="B151">
        <v>5275</v>
      </c>
      <c r="C151">
        <v>0</v>
      </c>
      <c r="D151">
        <v>0</v>
      </c>
      <c r="E151">
        <v>0</v>
      </c>
      <c r="F151">
        <v>0</v>
      </c>
      <c r="G151">
        <v>0</v>
      </c>
      <c r="H151">
        <v>0</v>
      </c>
      <c r="I151">
        <v>0</v>
      </c>
      <c r="J151" s="92">
        <v>0</v>
      </c>
    </row>
    <row r="152" spans="1:10" x14ac:dyDescent="0.3">
      <c r="A152" s="92">
        <v>5300</v>
      </c>
      <c r="B152">
        <v>5300</v>
      </c>
      <c r="C152">
        <v>0</v>
      </c>
      <c r="D152">
        <v>0</v>
      </c>
      <c r="E152">
        <v>7</v>
      </c>
      <c r="F152">
        <v>0</v>
      </c>
      <c r="G152">
        <v>0</v>
      </c>
      <c r="H152">
        <v>0</v>
      </c>
      <c r="I152">
        <v>0</v>
      </c>
      <c r="J152" s="92">
        <v>7</v>
      </c>
    </row>
    <row r="153" spans="1:10" x14ac:dyDescent="0.3">
      <c r="A153" s="92">
        <v>5325</v>
      </c>
      <c r="B153">
        <v>5325</v>
      </c>
      <c r="C153">
        <v>0</v>
      </c>
      <c r="D153">
        <v>0</v>
      </c>
      <c r="E153">
        <v>0</v>
      </c>
      <c r="F153">
        <v>0</v>
      </c>
      <c r="G153">
        <v>0</v>
      </c>
      <c r="H153">
        <v>0</v>
      </c>
      <c r="I153">
        <v>0</v>
      </c>
      <c r="J153" s="92">
        <v>0</v>
      </c>
    </row>
    <row r="154" spans="1:10" x14ac:dyDescent="0.3">
      <c r="A154" s="92">
        <v>5375</v>
      </c>
      <c r="B154">
        <v>5375</v>
      </c>
      <c r="C154">
        <v>0</v>
      </c>
      <c r="D154">
        <v>0</v>
      </c>
      <c r="E154">
        <v>0</v>
      </c>
      <c r="F154">
        <v>0</v>
      </c>
      <c r="G154">
        <v>0</v>
      </c>
      <c r="H154">
        <v>0</v>
      </c>
      <c r="I154">
        <v>0</v>
      </c>
      <c r="J154" s="92">
        <v>0</v>
      </c>
    </row>
    <row r="155" spans="1:10" x14ac:dyDescent="0.3">
      <c r="A155" s="92">
        <v>5400</v>
      </c>
      <c r="B155">
        <v>5400</v>
      </c>
      <c r="C155">
        <v>0</v>
      </c>
      <c r="D155">
        <v>0</v>
      </c>
      <c r="E155">
        <v>7</v>
      </c>
      <c r="F155">
        <v>0</v>
      </c>
      <c r="G155">
        <v>0</v>
      </c>
      <c r="H155">
        <v>0</v>
      </c>
      <c r="I155">
        <v>0</v>
      </c>
      <c r="J155" s="92">
        <v>7</v>
      </c>
    </row>
    <row r="156" spans="1:10" x14ac:dyDescent="0.3">
      <c r="A156" s="92">
        <v>5500</v>
      </c>
      <c r="B156">
        <v>5500</v>
      </c>
      <c r="C156">
        <v>0</v>
      </c>
      <c r="D156">
        <v>0</v>
      </c>
      <c r="E156">
        <v>42</v>
      </c>
      <c r="F156">
        <v>0</v>
      </c>
      <c r="G156">
        <v>0</v>
      </c>
      <c r="H156">
        <v>0</v>
      </c>
      <c r="I156">
        <v>0</v>
      </c>
      <c r="J156" s="92">
        <v>42</v>
      </c>
    </row>
    <row r="157" spans="1:10" x14ac:dyDescent="0.3">
      <c r="A157" s="92">
        <v>5600</v>
      </c>
      <c r="B157">
        <v>5600</v>
      </c>
      <c r="C157">
        <v>0</v>
      </c>
      <c r="D157">
        <v>0</v>
      </c>
      <c r="E157">
        <v>111</v>
      </c>
      <c r="F157">
        <v>0</v>
      </c>
      <c r="G157">
        <v>0</v>
      </c>
      <c r="H157">
        <v>0</v>
      </c>
      <c r="I157">
        <v>0</v>
      </c>
      <c r="J157" s="92">
        <v>111</v>
      </c>
    </row>
    <row r="158" spans="1:10" x14ac:dyDescent="0.3">
      <c r="A158" s="92">
        <v>5700</v>
      </c>
      <c r="B158">
        <v>5700</v>
      </c>
      <c r="C158">
        <v>0</v>
      </c>
      <c r="D158">
        <v>0</v>
      </c>
      <c r="E158">
        <v>0</v>
      </c>
      <c r="F158">
        <v>0</v>
      </c>
      <c r="G158">
        <v>0</v>
      </c>
      <c r="H158">
        <v>0</v>
      </c>
      <c r="I158">
        <v>0</v>
      </c>
      <c r="J158" s="92">
        <v>0</v>
      </c>
    </row>
    <row r="159" spans="1:10" x14ac:dyDescent="0.3">
      <c r="A159" s="92">
        <v>5800</v>
      </c>
      <c r="B159">
        <v>5800</v>
      </c>
      <c r="C159">
        <v>0</v>
      </c>
      <c r="D159">
        <v>0</v>
      </c>
      <c r="E159">
        <v>0</v>
      </c>
      <c r="F159">
        <v>0</v>
      </c>
      <c r="G159">
        <v>0</v>
      </c>
      <c r="H159">
        <v>0</v>
      </c>
      <c r="I159">
        <v>0</v>
      </c>
      <c r="J159" s="92">
        <v>0</v>
      </c>
    </row>
    <row r="160" spans="1:10" x14ac:dyDescent="0.3">
      <c r="A160" s="92">
        <v>5900</v>
      </c>
      <c r="B160">
        <v>5900</v>
      </c>
      <c r="C160">
        <v>0</v>
      </c>
      <c r="D160">
        <v>0</v>
      </c>
      <c r="E160">
        <v>0</v>
      </c>
      <c r="F160">
        <v>0</v>
      </c>
      <c r="G160">
        <v>0</v>
      </c>
      <c r="H160">
        <v>0</v>
      </c>
      <c r="I160">
        <v>0</v>
      </c>
      <c r="J160" s="92">
        <v>0</v>
      </c>
    </row>
    <row r="161" spans="1:10" x14ac:dyDescent="0.3">
      <c r="A161" s="92">
        <v>6000</v>
      </c>
      <c r="B161">
        <v>6000</v>
      </c>
      <c r="C161">
        <v>0</v>
      </c>
      <c r="D161">
        <v>35</v>
      </c>
      <c r="E161">
        <v>27476</v>
      </c>
      <c r="F161">
        <v>0</v>
      </c>
      <c r="G161">
        <v>0</v>
      </c>
      <c r="H161">
        <v>0</v>
      </c>
      <c r="I161">
        <v>0</v>
      </c>
      <c r="J161" s="92">
        <v>27476</v>
      </c>
    </row>
    <row r="162" spans="1:10" x14ac:dyDescent="0.3">
      <c r="A162" s="92">
        <v>7000</v>
      </c>
      <c r="B162">
        <v>7000</v>
      </c>
      <c r="C162">
        <v>0</v>
      </c>
      <c r="D162">
        <v>0</v>
      </c>
      <c r="E162">
        <v>1</v>
      </c>
      <c r="F162">
        <v>0</v>
      </c>
      <c r="G162">
        <v>0</v>
      </c>
      <c r="H162">
        <v>0</v>
      </c>
      <c r="I162">
        <v>0</v>
      </c>
      <c r="J162" s="92">
        <v>1</v>
      </c>
    </row>
    <row r="163" spans="1:10" x14ac:dyDescent="0.3">
      <c r="A163" s="92">
        <v>8000</v>
      </c>
      <c r="B163">
        <v>8000</v>
      </c>
      <c r="C163">
        <v>0</v>
      </c>
      <c r="D163">
        <v>0</v>
      </c>
      <c r="E163">
        <v>0</v>
      </c>
      <c r="F163">
        <v>0</v>
      </c>
      <c r="G163">
        <v>0</v>
      </c>
      <c r="H163">
        <v>0</v>
      </c>
      <c r="I163">
        <v>0</v>
      </c>
      <c r="J163" s="92">
        <v>0</v>
      </c>
    </row>
    <row r="164" spans="1:10" x14ac:dyDescent="0.3">
      <c r="A164" s="92">
        <v>9000</v>
      </c>
      <c r="B164">
        <v>9000</v>
      </c>
      <c r="C164">
        <v>0</v>
      </c>
      <c r="D164">
        <v>0</v>
      </c>
      <c r="E164">
        <v>0</v>
      </c>
      <c r="F164">
        <v>0</v>
      </c>
      <c r="G164">
        <v>0</v>
      </c>
      <c r="H164">
        <v>0</v>
      </c>
      <c r="I164">
        <v>0</v>
      </c>
      <c r="J164" s="92">
        <v>0</v>
      </c>
    </row>
    <row r="165" spans="1:10" x14ac:dyDescent="0.3">
      <c r="A165" t="s">
        <v>284</v>
      </c>
      <c r="B165">
        <v>10000</v>
      </c>
      <c r="C165">
        <v>0</v>
      </c>
      <c r="D165">
        <v>0</v>
      </c>
      <c r="E165">
        <v>0</v>
      </c>
      <c r="F165">
        <v>0</v>
      </c>
      <c r="G165">
        <v>0</v>
      </c>
      <c r="H165">
        <v>0</v>
      </c>
      <c r="I165">
        <v>0</v>
      </c>
      <c r="J165">
        <v>5773.3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DE317-9920-4E5E-A86E-C767FCFDAA0D}">
  <dimension ref="A1:J157"/>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1000</v>
      </c>
      <c r="B2">
        <v>1000</v>
      </c>
      <c r="C2">
        <v>0</v>
      </c>
      <c r="D2">
        <v>0</v>
      </c>
      <c r="E2">
        <v>2</v>
      </c>
      <c r="F2">
        <v>0</v>
      </c>
      <c r="G2">
        <v>0</v>
      </c>
      <c r="H2">
        <v>0</v>
      </c>
      <c r="I2">
        <v>0</v>
      </c>
      <c r="J2" s="92">
        <v>2</v>
      </c>
    </row>
    <row r="3" spans="1:10" x14ac:dyDescent="0.3">
      <c r="A3" s="92">
        <v>1100</v>
      </c>
      <c r="B3">
        <v>1100</v>
      </c>
      <c r="C3">
        <v>0</v>
      </c>
      <c r="D3">
        <v>0</v>
      </c>
      <c r="E3">
        <v>0</v>
      </c>
      <c r="F3">
        <v>0</v>
      </c>
      <c r="G3">
        <v>0</v>
      </c>
      <c r="H3">
        <v>0</v>
      </c>
      <c r="I3">
        <v>0</v>
      </c>
      <c r="J3" s="92">
        <v>0</v>
      </c>
    </row>
    <row r="4" spans="1:10" x14ac:dyDescent="0.3">
      <c r="A4" s="92">
        <v>1150</v>
      </c>
      <c r="B4">
        <v>1150</v>
      </c>
      <c r="C4">
        <v>0</v>
      </c>
      <c r="D4">
        <v>0</v>
      </c>
      <c r="E4">
        <v>0</v>
      </c>
      <c r="F4">
        <v>0</v>
      </c>
      <c r="G4">
        <v>0</v>
      </c>
      <c r="H4">
        <v>0</v>
      </c>
      <c r="I4">
        <v>0</v>
      </c>
      <c r="J4" s="92">
        <v>0</v>
      </c>
    </row>
    <row r="5" spans="1:10" x14ac:dyDescent="0.3">
      <c r="A5" s="92">
        <v>1200</v>
      </c>
      <c r="B5">
        <v>1200</v>
      </c>
      <c r="C5">
        <v>0</v>
      </c>
      <c r="D5">
        <v>0</v>
      </c>
      <c r="E5">
        <v>0</v>
      </c>
      <c r="F5">
        <v>0</v>
      </c>
      <c r="G5">
        <v>0</v>
      </c>
      <c r="H5">
        <v>0</v>
      </c>
      <c r="I5">
        <v>0</v>
      </c>
      <c r="J5" s="92">
        <v>0</v>
      </c>
    </row>
    <row r="6" spans="1:10" x14ac:dyDescent="0.3">
      <c r="A6" s="92">
        <v>1250</v>
      </c>
      <c r="B6">
        <v>1250</v>
      </c>
      <c r="C6">
        <v>0</v>
      </c>
      <c r="D6">
        <v>0</v>
      </c>
      <c r="E6">
        <v>0</v>
      </c>
      <c r="F6">
        <v>0</v>
      </c>
      <c r="G6">
        <v>0</v>
      </c>
      <c r="H6">
        <v>0</v>
      </c>
      <c r="I6">
        <v>0</v>
      </c>
      <c r="J6" s="92">
        <v>0</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0</v>
      </c>
      <c r="F10">
        <v>0</v>
      </c>
      <c r="G10">
        <v>0</v>
      </c>
      <c r="H10">
        <v>0</v>
      </c>
      <c r="I10">
        <v>0</v>
      </c>
      <c r="J10" s="92">
        <v>0</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0</v>
      </c>
      <c r="F12">
        <v>0</v>
      </c>
      <c r="G12">
        <v>0</v>
      </c>
      <c r="H12">
        <v>0</v>
      </c>
      <c r="I12">
        <v>0</v>
      </c>
      <c r="J12" s="92">
        <v>0</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0</v>
      </c>
      <c r="F14">
        <v>0</v>
      </c>
      <c r="G14">
        <v>0</v>
      </c>
      <c r="H14">
        <v>0</v>
      </c>
      <c r="I14">
        <v>0</v>
      </c>
      <c r="J14" s="92">
        <v>0</v>
      </c>
    </row>
    <row r="15" spans="1:10" x14ac:dyDescent="0.3">
      <c r="A15" s="92">
        <v>1800</v>
      </c>
      <c r="B15">
        <v>1800</v>
      </c>
      <c r="C15">
        <v>0</v>
      </c>
      <c r="D15">
        <v>0</v>
      </c>
      <c r="E15">
        <v>0</v>
      </c>
      <c r="F15">
        <v>0</v>
      </c>
      <c r="G15">
        <v>0</v>
      </c>
      <c r="H15">
        <v>0</v>
      </c>
      <c r="I15">
        <v>0</v>
      </c>
      <c r="J15" s="92">
        <v>0</v>
      </c>
    </row>
    <row r="16" spans="1:10" x14ac:dyDescent="0.3">
      <c r="A16" s="92">
        <v>1900</v>
      </c>
      <c r="B16">
        <v>1900</v>
      </c>
      <c r="C16">
        <v>0</v>
      </c>
      <c r="D16">
        <v>0</v>
      </c>
      <c r="E16">
        <v>0</v>
      </c>
      <c r="F16">
        <v>0</v>
      </c>
      <c r="G16">
        <v>0</v>
      </c>
      <c r="H16">
        <v>0</v>
      </c>
      <c r="I16">
        <v>0</v>
      </c>
      <c r="J16" s="92">
        <v>0</v>
      </c>
    </row>
    <row r="17" spans="1:10" x14ac:dyDescent="0.3">
      <c r="A17" s="92">
        <v>1950</v>
      </c>
      <c r="B17">
        <v>1950</v>
      </c>
      <c r="C17">
        <v>0</v>
      </c>
      <c r="D17">
        <v>0</v>
      </c>
      <c r="E17">
        <v>0</v>
      </c>
      <c r="F17">
        <v>0</v>
      </c>
      <c r="G17">
        <v>0</v>
      </c>
      <c r="H17">
        <v>0</v>
      </c>
      <c r="I17">
        <v>0</v>
      </c>
      <c r="J17" s="92">
        <v>0</v>
      </c>
    </row>
    <row r="18" spans="1:10" x14ac:dyDescent="0.3">
      <c r="A18" s="92">
        <v>2000</v>
      </c>
      <c r="B18">
        <v>2000</v>
      </c>
      <c r="C18">
        <v>0</v>
      </c>
      <c r="D18">
        <v>0</v>
      </c>
      <c r="E18">
        <v>110</v>
      </c>
      <c r="F18">
        <v>0</v>
      </c>
      <c r="G18">
        <v>0</v>
      </c>
      <c r="H18">
        <v>0</v>
      </c>
      <c r="I18">
        <v>0</v>
      </c>
      <c r="J18" s="92">
        <v>110</v>
      </c>
    </row>
    <row r="19" spans="1:10" x14ac:dyDescent="0.3">
      <c r="A19" s="92">
        <v>2050</v>
      </c>
      <c r="B19">
        <v>2050</v>
      </c>
      <c r="C19">
        <v>0</v>
      </c>
      <c r="D19">
        <v>0</v>
      </c>
      <c r="E19">
        <v>0</v>
      </c>
      <c r="F19">
        <v>0</v>
      </c>
      <c r="G19">
        <v>0</v>
      </c>
      <c r="H19">
        <v>0</v>
      </c>
      <c r="I19">
        <v>0</v>
      </c>
      <c r="J19" s="92">
        <v>0</v>
      </c>
    </row>
    <row r="20" spans="1:10" x14ac:dyDescent="0.3">
      <c r="A20" s="92">
        <v>2100</v>
      </c>
      <c r="B20">
        <v>2100</v>
      </c>
      <c r="C20">
        <v>0</v>
      </c>
      <c r="D20">
        <v>0</v>
      </c>
      <c r="E20">
        <v>0</v>
      </c>
      <c r="F20">
        <v>0</v>
      </c>
      <c r="G20">
        <v>0</v>
      </c>
      <c r="H20">
        <v>0</v>
      </c>
      <c r="I20">
        <v>0</v>
      </c>
      <c r="J20" s="92">
        <v>0</v>
      </c>
    </row>
    <row r="21" spans="1:10" x14ac:dyDescent="0.3">
      <c r="A21" s="92">
        <v>2150</v>
      </c>
      <c r="B21">
        <v>2150</v>
      </c>
      <c r="C21">
        <v>0</v>
      </c>
      <c r="D21">
        <v>0</v>
      </c>
      <c r="E21">
        <v>0</v>
      </c>
      <c r="F21">
        <v>0</v>
      </c>
      <c r="G21">
        <v>0</v>
      </c>
      <c r="H21">
        <v>0</v>
      </c>
      <c r="I21">
        <v>0</v>
      </c>
      <c r="J21" s="92">
        <v>0</v>
      </c>
    </row>
    <row r="22" spans="1:10" x14ac:dyDescent="0.3">
      <c r="A22" s="92">
        <v>2200</v>
      </c>
      <c r="B22">
        <v>2200</v>
      </c>
      <c r="C22">
        <v>0</v>
      </c>
      <c r="D22">
        <v>0</v>
      </c>
      <c r="E22">
        <v>0</v>
      </c>
      <c r="F22">
        <v>0</v>
      </c>
      <c r="G22">
        <v>0</v>
      </c>
      <c r="H22">
        <v>0</v>
      </c>
      <c r="I22">
        <v>0</v>
      </c>
      <c r="J22" s="92">
        <v>0</v>
      </c>
    </row>
    <row r="23" spans="1:10" x14ac:dyDescent="0.3">
      <c r="A23" s="92">
        <v>2250</v>
      </c>
      <c r="B23">
        <v>2250</v>
      </c>
      <c r="C23">
        <v>0</v>
      </c>
      <c r="D23">
        <v>0</v>
      </c>
      <c r="E23">
        <v>0</v>
      </c>
      <c r="F23">
        <v>0</v>
      </c>
      <c r="G23">
        <v>0</v>
      </c>
      <c r="H23">
        <v>0</v>
      </c>
      <c r="I23">
        <v>0</v>
      </c>
      <c r="J23" s="92">
        <v>0</v>
      </c>
    </row>
    <row r="24" spans="1:10" x14ac:dyDescent="0.3">
      <c r="A24" s="92">
        <v>2275</v>
      </c>
      <c r="B24">
        <v>2275</v>
      </c>
      <c r="C24">
        <v>0</v>
      </c>
      <c r="D24">
        <v>0</v>
      </c>
      <c r="E24">
        <v>0</v>
      </c>
      <c r="F24">
        <v>0</v>
      </c>
      <c r="G24">
        <v>0</v>
      </c>
      <c r="H24">
        <v>0</v>
      </c>
      <c r="I24">
        <v>0</v>
      </c>
      <c r="J24" s="92">
        <v>0</v>
      </c>
    </row>
    <row r="25" spans="1:10" x14ac:dyDescent="0.3">
      <c r="A25" s="92">
        <v>2300</v>
      </c>
      <c r="B25">
        <v>2300</v>
      </c>
      <c r="C25">
        <v>0</v>
      </c>
      <c r="D25">
        <v>0</v>
      </c>
      <c r="E25">
        <v>0</v>
      </c>
      <c r="F25">
        <v>0</v>
      </c>
      <c r="G25">
        <v>0</v>
      </c>
      <c r="H25">
        <v>0</v>
      </c>
      <c r="I25">
        <v>0</v>
      </c>
      <c r="J25" s="92">
        <v>0</v>
      </c>
    </row>
    <row r="26" spans="1:10" x14ac:dyDescent="0.3">
      <c r="A26" s="92">
        <v>2325</v>
      </c>
      <c r="B26">
        <v>2325</v>
      </c>
      <c r="C26">
        <v>0</v>
      </c>
      <c r="D26">
        <v>0</v>
      </c>
      <c r="E26">
        <v>0</v>
      </c>
      <c r="F26">
        <v>0</v>
      </c>
      <c r="G26">
        <v>0</v>
      </c>
      <c r="H26">
        <v>0</v>
      </c>
      <c r="I26">
        <v>0</v>
      </c>
      <c r="J26" s="92">
        <v>0</v>
      </c>
    </row>
    <row r="27" spans="1:10" x14ac:dyDescent="0.3">
      <c r="A27" s="92">
        <v>2350</v>
      </c>
      <c r="B27">
        <v>2350</v>
      </c>
      <c r="C27">
        <v>0</v>
      </c>
      <c r="D27">
        <v>0</v>
      </c>
      <c r="E27">
        <v>0</v>
      </c>
      <c r="F27">
        <v>0</v>
      </c>
      <c r="G27">
        <v>0</v>
      </c>
      <c r="H27">
        <v>0</v>
      </c>
      <c r="I27">
        <v>0</v>
      </c>
      <c r="J27" s="92">
        <v>0</v>
      </c>
    </row>
    <row r="28" spans="1:10" x14ac:dyDescent="0.3">
      <c r="A28" s="92">
        <v>2375</v>
      </c>
      <c r="B28">
        <v>2375</v>
      </c>
      <c r="C28">
        <v>0</v>
      </c>
      <c r="D28">
        <v>0</v>
      </c>
      <c r="E28">
        <v>0</v>
      </c>
      <c r="F28">
        <v>0</v>
      </c>
      <c r="G28">
        <v>0</v>
      </c>
      <c r="H28">
        <v>0</v>
      </c>
      <c r="I28">
        <v>0</v>
      </c>
      <c r="J28" s="92">
        <v>0</v>
      </c>
    </row>
    <row r="29" spans="1:10" x14ac:dyDescent="0.3">
      <c r="A29" s="92">
        <v>2400</v>
      </c>
      <c r="B29">
        <v>2400</v>
      </c>
      <c r="C29">
        <v>0</v>
      </c>
      <c r="D29">
        <v>0</v>
      </c>
      <c r="E29">
        <v>0</v>
      </c>
      <c r="F29">
        <v>0</v>
      </c>
      <c r="G29">
        <v>0</v>
      </c>
      <c r="H29">
        <v>0</v>
      </c>
      <c r="I29">
        <v>0</v>
      </c>
      <c r="J29" s="92">
        <v>0</v>
      </c>
    </row>
    <row r="30" spans="1:10" x14ac:dyDescent="0.3">
      <c r="A30" s="92">
        <v>2425</v>
      </c>
      <c r="B30">
        <v>2425</v>
      </c>
      <c r="C30">
        <v>0</v>
      </c>
      <c r="D30">
        <v>0</v>
      </c>
      <c r="E30">
        <v>0</v>
      </c>
      <c r="F30">
        <v>0</v>
      </c>
      <c r="G30">
        <v>0</v>
      </c>
      <c r="H30">
        <v>0</v>
      </c>
      <c r="I30">
        <v>0</v>
      </c>
      <c r="J30" s="92">
        <v>0</v>
      </c>
    </row>
    <row r="31" spans="1:10" x14ac:dyDescent="0.3">
      <c r="A31" s="92">
        <v>2450</v>
      </c>
      <c r="B31">
        <v>2450</v>
      </c>
      <c r="C31">
        <v>0</v>
      </c>
      <c r="D31">
        <v>0</v>
      </c>
      <c r="E31">
        <v>0</v>
      </c>
      <c r="F31">
        <v>0</v>
      </c>
      <c r="G31">
        <v>0</v>
      </c>
      <c r="H31">
        <v>0</v>
      </c>
      <c r="I31">
        <v>0</v>
      </c>
      <c r="J31" s="92">
        <v>0</v>
      </c>
    </row>
    <row r="32" spans="1:10" x14ac:dyDescent="0.3">
      <c r="A32" s="92">
        <v>2475</v>
      </c>
      <c r="B32">
        <v>2475</v>
      </c>
      <c r="C32">
        <v>0</v>
      </c>
      <c r="D32">
        <v>0</v>
      </c>
      <c r="E32">
        <v>0</v>
      </c>
      <c r="F32">
        <v>0</v>
      </c>
      <c r="G32">
        <v>0</v>
      </c>
      <c r="H32">
        <v>0</v>
      </c>
      <c r="I32">
        <v>0</v>
      </c>
      <c r="J32" s="92">
        <v>0</v>
      </c>
    </row>
    <row r="33" spans="1:10" x14ac:dyDescent="0.3">
      <c r="A33" s="92">
        <v>2500</v>
      </c>
      <c r="B33">
        <v>2500</v>
      </c>
      <c r="C33">
        <v>0</v>
      </c>
      <c r="D33">
        <v>0</v>
      </c>
      <c r="E33">
        <v>0</v>
      </c>
      <c r="F33">
        <v>0</v>
      </c>
      <c r="G33">
        <v>0</v>
      </c>
      <c r="H33">
        <v>0</v>
      </c>
      <c r="I33">
        <v>0</v>
      </c>
      <c r="J33" s="92">
        <v>0</v>
      </c>
    </row>
    <row r="34" spans="1:10" x14ac:dyDescent="0.3">
      <c r="A34" s="92">
        <v>2525</v>
      </c>
      <c r="B34">
        <v>2525</v>
      </c>
      <c r="C34">
        <v>0</v>
      </c>
      <c r="D34">
        <v>0</v>
      </c>
      <c r="E34">
        <v>0</v>
      </c>
      <c r="F34">
        <v>0</v>
      </c>
      <c r="G34">
        <v>0</v>
      </c>
      <c r="H34">
        <v>0</v>
      </c>
      <c r="I34">
        <v>0</v>
      </c>
      <c r="J34" s="92">
        <v>0</v>
      </c>
    </row>
    <row r="35" spans="1:10" x14ac:dyDescent="0.3">
      <c r="A35" s="92">
        <v>2550</v>
      </c>
      <c r="B35">
        <v>2550</v>
      </c>
      <c r="C35">
        <v>0</v>
      </c>
      <c r="D35">
        <v>0</v>
      </c>
      <c r="E35">
        <v>0</v>
      </c>
      <c r="F35">
        <v>0</v>
      </c>
      <c r="G35">
        <v>0</v>
      </c>
      <c r="H35">
        <v>0</v>
      </c>
      <c r="I35">
        <v>0</v>
      </c>
      <c r="J35" s="92">
        <v>0</v>
      </c>
    </row>
    <row r="36" spans="1:10" x14ac:dyDescent="0.3">
      <c r="A36" s="92">
        <v>2575</v>
      </c>
      <c r="B36">
        <v>2575</v>
      </c>
      <c r="C36">
        <v>0</v>
      </c>
      <c r="D36">
        <v>0</v>
      </c>
      <c r="E36">
        <v>0</v>
      </c>
      <c r="F36">
        <v>0</v>
      </c>
      <c r="G36">
        <v>0</v>
      </c>
      <c r="H36">
        <v>0</v>
      </c>
      <c r="I36">
        <v>0</v>
      </c>
      <c r="J36" s="92">
        <v>0</v>
      </c>
    </row>
    <row r="37" spans="1:10" x14ac:dyDescent="0.3">
      <c r="A37" s="92">
        <v>2600</v>
      </c>
      <c r="B37">
        <v>2600</v>
      </c>
      <c r="C37">
        <v>0</v>
      </c>
      <c r="D37">
        <v>0</v>
      </c>
      <c r="E37">
        <v>0</v>
      </c>
      <c r="F37">
        <v>0</v>
      </c>
      <c r="G37">
        <v>0</v>
      </c>
      <c r="H37">
        <v>0</v>
      </c>
      <c r="I37">
        <v>0</v>
      </c>
      <c r="J37" s="92">
        <v>0</v>
      </c>
    </row>
    <row r="38" spans="1:10" x14ac:dyDescent="0.3">
      <c r="A38" s="92">
        <v>2625</v>
      </c>
      <c r="B38">
        <v>2625</v>
      </c>
      <c r="C38">
        <v>0</v>
      </c>
      <c r="D38">
        <v>0</v>
      </c>
      <c r="E38">
        <v>0</v>
      </c>
      <c r="F38">
        <v>0</v>
      </c>
      <c r="G38">
        <v>0</v>
      </c>
      <c r="H38">
        <v>0</v>
      </c>
      <c r="I38">
        <v>0</v>
      </c>
      <c r="J38" s="92">
        <v>0</v>
      </c>
    </row>
    <row r="39" spans="1:10" x14ac:dyDescent="0.3">
      <c r="A39" s="92">
        <v>2650</v>
      </c>
      <c r="B39">
        <v>2650</v>
      </c>
      <c r="C39">
        <v>0</v>
      </c>
      <c r="D39">
        <v>0</v>
      </c>
      <c r="E39">
        <v>0</v>
      </c>
      <c r="F39">
        <v>0</v>
      </c>
      <c r="G39">
        <v>0</v>
      </c>
      <c r="H39">
        <v>0</v>
      </c>
      <c r="I39">
        <v>0</v>
      </c>
      <c r="J39" s="92">
        <v>0</v>
      </c>
    </row>
    <row r="40" spans="1:10" x14ac:dyDescent="0.3">
      <c r="A40" s="92">
        <v>2675</v>
      </c>
      <c r="B40">
        <v>2675</v>
      </c>
      <c r="C40">
        <v>0</v>
      </c>
      <c r="D40">
        <v>0</v>
      </c>
      <c r="E40">
        <v>0</v>
      </c>
      <c r="F40">
        <v>0</v>
      </c>
      <c r="G40">
        <v>0</v>
      </c>
      <c r="H40">
        <v>0</v>
      </c>
      <c r="I40">
        <v>0</v>
      </c>
      <c r="J40" s="92">
        <v>0</v>
      </c>
    </row>
    <row r="41" spans="1:10" x14ac:dyDescent="0.3">
      <c r="A41" s="92">
        <v>2700</v>
      </c>
      <c r="B41">
        <v>2700</v>
      </c>
      <c r="C41">
        <v>0</v>
      </c>
      <c r="D41">
        <v>0</v>
      </c>
      <c r="E41">
        <v>0</v>
      </c>
      <c r="F41">
        <v>0</v>
      </c>
      <c r="G41">
        <v>0</v>
      </c>
      <c r="H41">
        <v>0</v>
      </c>
      <c r="I41">
        <v>0</v>
      </c>
      <c r="J41" s="92">
        <v>0</v>
      </c>
    </row>
    <row r="42" spans="1:10" x14ac:dyDescent="0.3">
      <c r="A42" s="92">
        <v>2725</v>
      </c>
      <c r="B42">
        <v>2725</v>
      </c>
      <c r="C42">
        <v>0</v>
      </c>
      <c r="D42">
        <v>0</v>
      </c>
      <c r="E42">
        <v>0</v>
      </c>
      <c r="F42">
        <v>0</v>
      </c>
      <c r="G42">
        <v>0</v>
      </c>
      <c r="H42">
        <v>0</v>
      </c>
      <c r="I42">
        <v>0</v>
      </c>
      <c r="J42" s="92">
        <v>0</v>
      </c>
    </row>
    <row r="43" spans="1:10" x14ac:dyDescent="0.3">
      <c r="A43" s="92">
        <v>2750</v>
      </c>
      <c r="B43">
        <v>2750</v>
      </c>
      <c r="C43">
        <v>0</v>
      </c>
      <c r="D43">
        <v>0</v>
      </c>
      <c r="E43">
        <v>0</v>
      </c>
      <c r="F43">
        <v>0</v>
      </c>
      <c r="G43">
        <v>0</v>
      </c>
      <c r="H43">
        <v>0</v>
      </c>
      <c r="I43">
        <v>0</v>
      </c>
      <c r="J43" s="92">
        <v>0</v>
      </c>
    </row>
    <row r="44" spans="1:10" x14ac:dyDescent="0.3">
      <c r="A44" s="92">
        <v>2775</v>
      </c>
      <c r="B44">
        <v>2775</v>
      </c>
      <c r="C44">
        <v>0</v>
      </c>
      <c r="D44">
        <v>0</v>
      </c>
      <c r="E44">
        <v>0</v>
      </c>
      <c r="F44">
        <v>0</v>
      </c>
      <c r="G44">
        <v>0</v>
      </c>
      <c r="H44">
        <v>0</v>
      </c>
      <c r="I44">
        <v>0</v>
      </c>
      <c r="J44" s="92">
        <v>0</v>
      </c>
    </row>
    <row r="45" spans="1:10" x14ac:dyDescent="0.3">
      <c r="A45" s="92">
        <v>2800</v>
      </c>
      <c r="B45">
        <v>2800</v>
      </c>
      <c r="C45">
        <v>0</v>
      </c>
      <c r="D45">
        <v>0</v>
      </c>
      <c r="E45">
        <v>0</v>
      </c>
      <c r="F45">
        <v>0</v>
      </c>
      <c r="G45">
        <v>0</v>
      </c>
      <c r="H45">
        <v>0</v>
      </c>
      <c r="I45">
        <v>0</v>
      </c>
      <c r="J45" s="92">
        <v>0</v>
      </c>
    </row>
    <row r="46" spans="1:10" x14ac:dyDescent="0.3">
      <c r="A46" s="92">
        <v>2825</v>
      </c>
      <c r="B46">
        <v>2825</v>
      </c>
      <c r="C46">
        <v>0</v>
      </c>
      <c r="D46">
        <v>0</v>
      </c>
      <c r="E46">
        <v>0</v>
      </c>
      <c r="F46">
        <v>0</v>
      </c>
      <c r="G46">
        <v>0</v>
      </c>
      <c r="H46">
        <v>0</v>
      </c>
      <c r="I46">
        <v>0</v>
      </c>
      <c r="J46" s="92">
        <v>0</v>
      </c>
    </row>
    <row r="47" spans="1:10" x14ac:dyDescent="0.3">
      <c r="A47" s="92">
        <v>2850</v>
      </c>
      <c r="B47">
        <v>2850</v>
      </c>
      <c r="C47">
        <v>0</v>
      </c>
      <c r="D47">
        <v>0</v>
      </c>
      <c r="E47">
        <v>0</v>
      </c>
      <c r="F47">
        <v>0</v>
      </c>
      <c r="G47">
        <v>0</v>
      </c>
      <c r="H47">
        <v>0</v>
      </c>
      <c r="I47">
        <v>0</v>
      </c>
      <c r="J47" s="92">
        <v>0</v>
      </c>
    </row>
    <row r="48" spans="1:10" x14ac:dyDescent="0.3">
      <c r="A48" s="92">
        <v>2875</v>
      </c>
      <c r="B48">
        <v>2875</v>
      </c>
      <c r="C48">
        <v>0</v>
      </c>
      <c r="D48">
        <v>0</v>
      </c>
      <c r="E48">
        <v>0</v>
      </c>
      <c r="F48">
        <v>0</v>
      </c>
      <c r="G48">
        <v>0</v>
      </c>
      <c r="H48">
        <v>0</v>
      </c>
      <c r="I48">
        <v>0</v>
      </c>
      <c r="J48" s="92">
        <v>0</v>
      </c>
    </row>
    <row r="49" spans="1:10" x14ac:dyDescent="0.3">
      <c r="A49" s="92">
        <v>2900</v>
      </c>
      <c r="B49">
        <v>2900</v>
      </c>
      <c r="C49">
        <v>0</v>
      </c>
      <c r="D49">
        <v>0</v>
      </c>
      <c r="E49">
        <v>0</v>
      </c>
      <c r="F49">
        <v>0</v>
      </c>
      <c r="G49">
        <v>0</v>
      </c>
      <c r="H49">
        <v>0</v>
      </c>
      <c r="I49">
        <v>0</v>
      </c>
      <c r="J49" s="92">
        <v>0</v>
      </c>
    </row>
    <row r="50" spans="1:10" x14ac:dyDescent="0.3">
      <c r="A50" s="92">
        <v>2925</v>
      </c>
      <c r="B50">
        <v>2925</v>
      </c>
      <c r="C50">
        <v>0</v>
      </c>
      <c r="D50">
        <v>0</v>
      </c>
      <c r="E50">
        <v>0</v>
      </c>
      <c r="F50">
        <v>0</v>
      </c>
      <c r="G50">
        <v>0</v>
      </c>
      <c r="H50">
        <v>0</v>
      </c>
      <c r="I50">
        <v>0</v>
      </c>
      <c r="J50" s="92">
        <v>0</v>
      </c>
    </row>
    <row r="51" spans="1:10" x14ac:dyDescent="0.3">
      <c r="A51" s="92">
        <v>2950</v>
      </c>
      <c r="B51">
        <v>2950</v>
      </c>
      <c r="C51">
        <v>0</v>
      </c>
      <c r="D51">
        <v>0</v>
      </c>
      <c r="E51">
        <v>0</v>
      </c>
      <c r="F51">
        <v>0</v>
      </c>
      <c r="G51">
        <v>0</v>
      </c>
      <c r="H51">
        <v>0</v>
      </c>
      <c r="I51">
        <v>0</v>
      </c>
      <c r="J51" s="92">
        <v>0</v>
      </c>
    </row>
    <row r="52" spans="1:10" x14ac:dyDescent="0.3">
      <c r="A52" s="92">
        <v>2975</v>
      </c>
      <c r="B52">
        <v>2975</v>
      </c>
      <c r="C52">
        <v>0</v>
      </c>
      <c r="D52">
        <v>0</v>
      </c>
      <c r="E52">
        <v>0</v>
      </c>
      <c r="F52">
        <v>0</v>
      </c>
      <c r="G52">
        <v>0</v>
      </c>
      <c r="H52">
        <v>0</v>
      </c>
      <c r="I52">
        <v>0</v>
      </c>
      <c r="J52" s="92">
        <v>0</v>
      </c>
    </row>
    <row r="53" spans="1:10" x14ac:dyDescent="0.3">
      <c r="A53" s="92">
        <v>3000</v>
      </c>
      <c r="B53">
        <v>3000</v>
      </c>
      <c r="C53">
        <v>0</v>
      </c>
      <c r="D53">
        <v>0</v>
      </c>
      <c r="E53">
        <v>1</v>
      </c>
      <c r="F53">
        <v>0</v>
      </c>
      <c r="G53">
        <v>0</v>
      </c>
      <c r="H53">
        <v>0</v>
      </c>
      <c r="I53">
        <v>0</v>
      </c>
      <c r="J53" s="92">
        <v>1</v>
      </c>
    </row>
    <row r="54" spans="1:10" x14ac:dyDescent="0.3">
      <c r="A54" s="92">
        <v>3025</v>
      </c>
      <c r="B54">
        <v>3025</v>
      </c>
      <c r="C54">
        <v>0</v>
      </c>
      <c r="D54">
        <v>0</v>
      </c>
      <c r="E54">
        <v>0</v>
      </c>
      <c r="F54">
        <v>0</v>
      </c>
      <c r="G54">
        <v>0</v>
      </c>
      <c r="H54">
        <v>0</v>
      </c>
      <c r="I54">
        <v>0</v>
      </c>
      <c r="J54" s="92">
        <v>0</v>
      </c>
    </row>
    <row r="55" spans="1:10" x14ac:dyDescent="0.3">
      <c r="A55" s="92">
        <v>3050</v>
      </c>
      <c r="B55">
        <v>3050</v>
      </c>
      <c r="C55">
        <v>0</v>
      </c>
      <c r="D55">
        <v>0</v>
      </c>
      <c r="E55">
        <v>0</v>
      </c>
      <c r="F55">
        <v>0</v>
      </c>
      <c r="G55">
        <v>0</v>
      </c>
      <c r="H55">
        <v>0</v>
      </c>
      <c r="I55">
        <v>0</v>
      </c>
      <c r="J55" s="92">
        <v>0</v>
      </c>
    </row>
    <row r="56" spans="1:10" x14ac:dyDescent="0.3">
      <c r="A56" s="92">
        <v>3075</v>
      </c>
      <c r="B56">
        <v>3075</v>
      </c>
      <c r="C56">
        <v>0</v>
      </c>
      <c r="D56">
        <v>0</v>
      </c>
      <c r="E56">
        <v>0</v>
      </c>
      <c r="F56">
        <v>0</v>
      </c>
      <c r="G56">
        <v>0</v>
      </c>
      <c r="H56">
        <v>0</v>
      </c>
      <c r="I56">
        <v>0</v>
      </c>
      <c r="J56" s="92">
        <v>0</v>
      </c>
    </row>
    <row r="57" spans="1:10" x14ac:dyDescent="0.3">
      <c r="A57" s="92">
        <v>3100</v>
      </c>
      <c r="B57">
        <v>3100</v>
      </c>
      <c r="C57">
        <v>0</v>
      </c>
      <c r="D57">
        <v>0</v>
      </c>
      <c r="E57">
        <v>0</v>
      </c>
      <c r="F57">
        <v>0</v>
      </c>
      <c r="G57">
        <v>0</v>
      </c>
      <c r="H57">
        <v>0</v>
      </c>
      <c r="I57">
        <v>0</v>
      </c>
      <c r="J57" s="92">
        <v>0</v>
      </c>
    </row>
    <row r="58" spans="1:10" x14ac:dyDescent="0.3">
      <c r="A58" s="92">
        <v>3125</v>
      </c>
      <c r="B58">
        <v>3125</v>
      </c>
      <c r="C58">
        <v>0</v>
      </c>
      <c r="D58">
        <v>0</v>
      </c>
      <c r="E58">
        <v>0</v>
      </c>
      <c r="F58">
        <v>0</v>
      </c>
      <c r="G58">
        <v>0</v>
      </c>
      <c r="H58">
        <v>0</v>
      </c>
      <c r="I58">
        <v>0</v>
      </c>
      <c r="J58" s="92">
        <v>0</v>
      </c>
    </row>
    <row r="59" spans="1:10" x14ac:dyDescent="0.3">
      <c r="A59" s="92">
        <v>3150</v>
      </c>
      <c r="B59">
        <v>3150</v>
      </c>
      <c r="C59">
        <v>0</v>
      </c>
      <c r="D59">
        <v>0</v>
      </c>
      <c r="E59">
        <v>1000</v>
      </c>
      <c r="F59">
        <v>0</v>
      </c>
      <c r="G59">
        <v>0</v>
      </c>
      <c r="H59">
        <v>0</v>
      </c>
      <c r="I59">
        <v>0</v>
      </c>
      <c r="J59" s="92">
        <v>1000</v>
      </c>
    </row>
    <row r="60" spans="1:10" x14ac:dyDescent="0.3">
      <c r="A60" s="92">
        <v>3175</v>
      </c>
      <c r="B60">
        <v>3175</v>
      </c>
      <c r="C60">
        <v>0</v>
      </c>
      <c r="D60">
        <v>0</v>
      </c>
      <c r="E60">
        <v>0</v>
      </c>
      <c r="F60">
        <v>0</v>
      </c>
      <c r="G60">
        <v>0</v>
      </c>
      <c r="H60">
        <v>0</v>
      </c>
      <c r="I60">
        <v>0</v>
      </c>
      <c r="J60" s="92">
        <v>0</v>
      </c>
    </row>
    <row r="61" spans="1:10" x14ac:dyDescent="0.3">
      <c r="A61" s="92">
        <v>3200</v>
      </c>
      <c r="B61">
        <v>3200</v>
      </c>
      <c r="C61">
        <v>0</v>
      </c>
      <c r="D61">
        <v>0</v>
      </c>
      <c r="E61">
        <v>3</v>
      </c>
      <c r="F61">
        <v>0</v>
      </c>
      <c r="G61">
        <v>0</v>
      </c>
      <c r="H61">
        <v>0</v>
      </c>
      <c r="I61">
        <v>0</v>
      </c>
      <c r="J61" s="92">
        <v>3</v>
      </c>
    </row>
    <row r="62" spans="1:10" x14ac:dyDescent="0.3">
      <c r="A62" s="92">
        <v>3225</v>
      </c>
      <c r="B62">
        <v>3225</v>
      </c>
      <c r="C62">
        <v>0</v>
      </c>
      <c r="D62">
        <v>0</v>
      </c>
      <c r="E62">
        <v>0</v>
      </c>
      <c r="F62">
        <v>0</v>
      </c>
      <c r="G62">
        <v>0</v>
      </c>
      <c r="H62">
        <v>0</v>
      </c>
      <c r="I62">
        <v>0</v>
      </c>
      <c r="J62" s="92">
        <v>0</v>
      </c>
    </row>
    <row r="63" spans="1:10" x14ac:dyDescent="0.3">
      <c r="A63" s="92">
        <v>3250</v>
      </c>
      <c r="B63">
        <v>3250</v>
      </c>
      <c r="C63">
        <v>0</v>
      </c>
      <c r="D63">
        <v>0</v>
      </c>
      <c r="E63">
        <v>0</v>
      </c>
      <c r="F63">
        <v>0</v>
      </c>
      <c r="G63">
        <v>0</v>
      </c>
      <c r="H63">
        <v>0</v>
      </c>
      <c r="I63">
        <v>0</v>
      </c>
      <c r="J63" s="92">
        <v>0</v>
      </c>
    </row>
    <row r="64" spans="1:10" x14ac:dyDescent="0.3">
      <c r="A64" s="92">
        <v>3275</v>
      </c>
      <c r="B64">
        <v>3275</v>
      </c>
      <c r="C64">
        <v>0</v>
      </c>
      <c r="D64">
        <v>0</v>
      </c>
      <c r="E64">
        <v>0</v>
      </c>
      <c r="F64">
        <v>0</v>
      </c>
      <c r="G64">
        <v>0</v>
      </c>
      <c r="H64">
        <v>0</v>
      </c>
      <c r="I64">
        <v>0</v>
      </c>
      <c r="J64" s="92">
        <v>0</v>
      </c>
    </row>
    <row r="65" spans="1:10" x14ac:dyDescent="0.3">
      <c r="A65" s="92">
        <v>3300</v>
      </c>
      <c r="B65">
        <v>3300</v>
      </c>
      <c r="C65">
        <v>0</v>
      </c>
      <c r="D65">
        <v>0</v>
      </c>
      <c r="E65">
        <v>1</v>
      </c>
      <c r="F65">
        <v>0</v>
      </c>
      <c r="G65">
        <v>0</v>
      </c>
      <c r="H65">
        <v>0</v>
      </c>
      <c r="I65">
        <v>0</v>
      </c>
      <c r="J65" s="92">
        <v>1</v>
      </c>
    </row>
    <row r="66" spans="1:10" x14ac:dyDescent="0.3">
      <c r="A66" s="92">
        <v>3325</v>
      </c>
      <c r="B66">
        <v>3325</v>
      </c>
      <c r="C66">
        <v>0</v>
      </c>
      <c r="D66">
        <v>0</v>
      </c>
      <c r="E66">
        <v>0</v>
      </c>
      <c r="F66">
        <v>0</v>
      </c>
      <c r="G66">
        <v>0</v>
      </c>
      <c r="H66">
        <v>0</v>
      </c>
      <c r="I66">
        <v>0</v>
      </c>
      <c r="J66" s="92">
        <v>0</v>
      </c>
    </row>
    <row r="67" spans="1:10" x14ac:dyDescent="0.3">
      <c r="A67" s="92">
        <v>3350</v>
      </c>
      <c r="B67">
        <v>3350</v>
      </c>
      <c r="C67">
        <v>0</v>
      </c>
      <c r="D67">
        <v>0</v>
      </c>
      <c r="E67">
        <v>15</v>
      </c>
      <c r="F67">
        <v>0</v>
      </c>
      <c r="G67">
        <v>0</v>
      </c>
      <c r="H67">
        <v>0</v>
      </c>
      <c r="I67">
        <v>0</v>
      </c>
      <c r="J67" s="92">
        <v>15</v>
      </c>
    </row>
    <row r="68" spans="1:10" x14ac:dyDescent="0.3">
      <c r="A68" s="92">
        <v>3375</v>
      </c>
      <c r="B68">
        <v>3375</v>
      </c>
      <c r="C68">
        <v>0</v>
      </c>
      <c r="D68">
        <v>0</v>
      </c>
      <c r="E68">
        <v>0</v>
      </c>
      <c r="F68">
        <v>0</v>
      </c>
      <c r="G68">
        <v>0</v>
      </c>
      <c r="H68">
        <v>0</v>
      </c>
      <c r="I68">
        <v>0</v>
      </c>
      <c r="J68" s="92">
        <v>0</v>
      </c>
    </row>
    <row r="69" spans="1:10" x14ac:dyDescent="0.3">
      <c r="A69" s="92">
        <v>3400</v>
      </c>
      <c r="B69">
        <v>3400</v>
      </c>
      <c r="C69">
        <v>0</v>
      </c>
      <c r="D69">
        <v>0</v>
      </c>
      <c r="E69">
        <v>1</v>
      </c>
      <c r="F69">
        <v>0</v>
      </c>
      <c r="G69">
        <v>0</v>
      </c>
      <c r="H69">
        <v>0</v>
      </c>
      <c r="I69">
        <v>0</v>
      </c>
      <c r="J69" s="92">
        <v>1</v>
      </c>
    </row>
    <row r="70" spans="1:10" x14ac:dyDescent="0.3">
      <c r="A70" s="92">
        <v>3425</v>
      </c>
      <c r="B70">
        <v>3425</v>
      </c>
      <c r="C70">
        <v>0</v>
      </c>
      <c r="D70">
        <v>0</v>
      </c>
      <c r="E70">
        <v>0</v>
      </c>
      <c r="F70">
        <v>0</v>
      </c>
      <c r="G70">
        <v>0</v>
      </c>
      <c r="H70">
        <v>0</v>
      </c>
      <c r="I70">
        <v>0</v>
      </c>
      <c r="J70" s="92">
        <v>0</v>
      </c>
    </row>
    <row r="71" spans="1:10" x14ac:dyDescent="0.3">
      <c r="A71" s="92">
        <v>3450</v>
      </c>
      <c r="B71">
        <v>3450</v>
      </c>
      <c r="C71">
        <v>0</v>
      </c>
      <c r="D71">
        <v>0</v>
      </c>
      <c r="E71">
        <v>1</v>
      </c>
      <c r="F71">
        <v>0</v>
      </c>
      <c r="G71">
        <v>0</v>
      </c>
      <c r="H71">
        <v>0</v>
      </c>
      <c r="I71">
        <v>0</v>
      </c>
      <c r="J71" s="92">
        <v>1</v>
      </c>
    </row>
    <row r="72" spans="1:10" x14ac:dyDescent="0.3">
      <c r="A72" s="92">
        <v>3475</v>
      </c>
      <c r="B72">
        <v>3475</v>
      </c>
      <c r="C72">
        <v>0</v>
      </c>
      <c r="D72">
        <v>0</v>
      </c>
      <c r="E72">
        <v>0</v>
      </c>
      <c r="F72">
        <v>0</v>
      </c>
      <c r="G72">
        <v>0</v>
      </c>
      <c r="H72">
        <v>0</v>
      </c>
      <c r="I72">
        <v>0</v>
      </c>
      <c r="J72" s="92">
        <v>0</v>
      </c>
    </row>
    <row r="73" spans="1:10" x14ac:dyDescent="0.3">
      <c r="A73" s="92">
        <v>3500</v>
      </c>
      <c r="B73">
        <v>3500</v>
      </c>
      <c r="C73">
        <v>0</v>
      </c>
      <c r="D73">
        <v>0</v>
      </c>
      <c r="E73">
        <v>0</v>
      </c>
      <c r="F73">
        <v>0</v>
      </c>
      <c r="G73">
        <v>0</v>
      </c>
      <c r="H73">
        <v>0</v>
      </c>
      <c r="I73">
        <v>0</v>
      </c>
      <c r="J73" s="92">
        <v>0</v>
      </c>
    </row>
    <row r="74" spans="1:10" x14ac:dyDescent="0.3">
      <c r="A74" s="92">
        <v>3525</v>
      </c>
      <c r="B74">
        <v>3525</v>
      </c>
      <c r="C74">
        <v>0</v>
      </c>
      <c r="D74">
        <v>0</v>
      </c>
      <c r="E74">
        <v>0</v>
      </c>
      <c r="F74">
        <v>0</v>
      </c>
      <c r="G74">
        <v>0</v>
      </c>
      <c r="H74">
        <v>0</v>
      </c>
      <c r="I74">
        <v>0</v>
      </c>
      <c r="J74" s="92">
        <v>0</v>
      </c>
    </row>
    <row r="75" spans="1:10" x14ac:dyDescent="0.3">
      <c r="A75" s="92">
        <v>3550</v>
      </c>
      <c r="B75">
        <v>3550</v>
      </c>
      <c r="C75">
        <v>0</v>
      </c>
      <c r="D75">
        <v>0</v>
      </c>
      <c r="E75">
        <v>0</v>
      </c>
      <c r="F75">
        <v>0</v>
      </c>
      <c r="G75">
        <v>0</v>
      </c>
      <c r="H75">
        <v>0</v>
      </c>
      <c r="I75">
        <v>0</v>
      </c>
      <c r="J75" s="92">
        <v>0</v>
      </c>
    </row>
    <row r="76" spans="1:10" x14ac:dyDescent="0.3">
      <c r="A76" s="92">
        <v>3575</v>
      </c>
      <c r="B76">
        <v>3575</v>
      </c>
      <c r="C76">
        <v>0</v>
      </c>
      <c r="D76">
        <v>0</v>
      </c>
      <c r="E76">
        <v>0</v>
      </c>
      <c r="F76">
        <v>0</v>
      </c>
      <c r="G76">
        <v>0</v>
      </c>
      <c r="H76">
        <v>0</v>
      </c>
      <c r="I76">
        <v>0</v>
      </c>
      <c r="J76" s="92">
        <v>0</v>
      </c>
    </row>
    <row r="77" spans="1:10" x14ac:dyDescent="0.3">
      <c r="A77" s="92">
        <v>3600</v>
      </c>
      <c r="B77">
        <v>3600</v>
      </c>
      <c r="C77">
        <v>0</v>
      </c>
      <c r="D77">
        <v>0</v>
      </c>
      <c r="E77">
        <v>11</v>
      </c>
      <c r="F77">
        <v>0</v>
      </c>
      <c r="G77">
        <v>0</v>
      </c>
      <c r="H77">
        <v>0</v>
      </c>
      <c r="I77">
        <v>0</v>
      </c>
      <c r="J77" s="92">
        <v>11</v>
      </c>
    </row>
    <row r="78" spans="1:10" x14ac:dyDescent="0.3">
      <c r="A78" s="92">
        <v>3625</v>
      </c>
      <c r="B78">
        <v>3625</v>
      </c>
      <c r="C78">
        <v>0</v>
      </c>
      <c r="D78">
        <v>0</v>
      </c>
      <c r="E78">
        <v>3</v>
      </c>
      <c r="F78">
        <v>0</v>
      </c>
      <c r="G78">
        <v>0</v>
      </c>
      <c r="H78">
        <v>0</v>
      </c>
      <c r="I78">
        <v>0</v>
      </c>
      <c r="J78" s="92">
        <v>3</v>
      </c>
    </row>
    <row r="79" spans="1:10" x14ac:dyDescent="0.3">
      <c r="A79" s="92">
        <v>3650</v>
      </c>
      <c r="B79">
        <v>3650</v>
      </c>
      <c r="C79">
        <v>0</v>
      </c>
      <c r="D79">
        <v>0</v>
      </c>
      <c r="E79">
        <v>0</v>
      </c>
      <c r="F79">
        <v>0</v>
      </c>
      <c r="G79">
        <v>0</v>
      </c>
      <c r="H79">
        <v>0</v>
      </c>
      <c r="I79">
        <v>0</v>
      </c>
      <c r="J79" s="92">
        <v>0</v>
      </c>
    </row>
    <row r="80" spans="1:10" x14ac:dyDescent="0.3">
      <c r="A80" s="92">
        <v>3675</v>
      </c>
      <c r="B80">
        <v>3675</v>
      </c>
      <c r="C80">
        <v>0</v>
      </c>
      <c r="D80">
        <v>0</v>
      </c>
      <c r="E80">
        <v>0</v>
      </c>
      <c r="F80">
        <v>0</v>
      </c>
      <c r="G80">
        <v>0</v>
      </c>
      <c r="H80">
        <v>0</v>
      </c>
      <c r="I80">
        <v>0</v>
      </c>
      <c r="J80" s="92">
        <v>0</v>
      </c>
    </row>
    <row r="81" spans="1:10" x14ac:dyDescent="0.3">
      <c r="A81" s="92">
        <v>3700</v>
      </c>
      <c r="B81">
        <v>3700</v>
      </c>
      <c r="C81">
        <v>0</v>
      </c>
      <c r="D81">
        <v>0</v>
      </c>
      <c r="E81">
        <v>1152</v>
      </c>
      <c r="F81">
        <v>0</v>
      </c>
      <c r="G81">
        <v>0</v>
      </c>
      <c r="H81">
        <v>0</v>
      </c>
      <c r="I81">
        <v>0</v>
      </c>
      <c r="J81" s="92">
        <v>1152</v>
      </c>
    </row>
    <row r="82" spans="1:10" x14ac:dyDescent="0.3">
      <c r="A82" s="92">
        <v>3725</v>
      </c>
      <c r="B82">
        <v>3725</v>
      </c>
      <c r="C82">
        <v>0</v>
      </c>
      <c r="D82">
        <v>0</v>
      </c>
      <c r="E82">
        <v>11</v>
      </c>
      <c r="F82">
        <v>0</v>
      </c>
      <c r="G82">
        <v>0</v>
      </c>
      <c r="H82">
        <v>0</v>
      </c>
      <c r="I82">
        <v>0</v>
      </c>
      <c r="J82" s="92">
        <v>11</v>
      </c>
    </row>
    <row r="83" spans="1:10" x14ac:dyDescent="0.3">
      <c r="A83" s="92">
        <v>3750</v>
      </c>
      <c r="B83">
        <v>3750</v>
      </c>
      <c r="C83">
        <v>0</v>
      </c>
      <c r="D83">
        <v>0</v>
      </c>
      <c r="E83">
        <v>16</v>
      </c>
      <c r="F83">
        <v>0</v>
      </c>
      <c r="G83">
        <v>0</v>
      </c>
      <c r="H83">
        <v>0</v>
      </c>
      <c r="I83">
        <v>0</v>
      </c>
      <c r="J83" s="92">
        <v>16</v>
      </c>
    </row>
    <row r="84" spans="1:10" x14ac:dyDescent="0.3">
      <c r="A84" s="92">
        <v>3775</v>
      </c>
      <c r="B84">
        <v>3775</v>
      </c>
      <c r="C84">
        <v>0</v>
      </c>
      <c r="D84">
        <v>0</v>
      </c>
      <c r="E84">
        <v>0</v>
      </c>
      <c r="F84">
        <v>0</v>
      </c>
      <c r="G84">
        <v>0</v>
      </c>
      <c r="H84">
        <v>0</v>
      </c>
      <c r="I84">
        <v>0</v>
      </c>
      <c r="J84" s="92">
        <v>0</v>
      </c>
    </row>
    <row r="85" spans="1:10" x14ac:dyDescent="0.3">
      <c r="A85" s="92">
        <v>3800</v>
      </c>
      <c r="B85">
        <v>3800</v>
      </c>
      <c r="C85">
        <v>0</v>
      </c>
      <c r="D85">
        <v>1</v>
      </c>
      <c r="E85">
        <v>731</v>
      </c>
      <c r="F85">
        <v>0</v>
      </c>
      <c r="G85">
        <v>0</v>
      </c>
      <c r="H85">
        <v>0</v>
      </c>
      <c r="I85">
        <v>0</v>
      </c>
      <c r="J85" s="92">
        <v>731</v>
      </c>
    </row>
    <row r="86" spans="1:10" x14ac:dyDescent="0.3">
      <c r="A86" s="92">
        <v>3825</v>
      </c>
      <c r="B86">
        <v>3825</v>
      </c>
      <c r="C86">
        <v>0</v>
      </c>
      <c r="D86">
        <v>0</v>
      </c>
      <c r="E86">
        <v>0</v>
      </c>
      <c r="F86">
        <v>0</v>
      </c>
      <c r="G86">
        <v>0</v>
      </c>
      <c r="H86">
        <v>0</v>
      </c>
      <c r="I86">
        <v>0</v>
      </c>
      <c r="J86" s="92">
        <v>0</v>
      </c>
    </row>
    <row r="87" spans="1:10" x14ac:dyDescent="0.3">
      <c r="A87" s="92">
        <v>3850</v>
      </c>
      <c r="B87">
        <v>3850</v>
      </c>
      <c r="C87">
        <v>0</v>
      </c>
      <c r="D87">
        <v>0</v>
      </c>
      <c r="E87">
        <v>17</v>
      </c>
      <c r="F87">
        <v>0</v>
      </c>
      <c r="G87">
        <v>0</v>
      </c>
      <c r="H87">
        <v>0</v>
      </c>
      <c r="I87">
        <v>0</v>
      </c>
      <c r="J87" s="92">
        <v>17</v>
      </c>
    </row>
    <row r="88" spans="1:10" x14ac:dyDescent="0.3">
      <c r="A88" s="92">
        <v>3875</v>
      </c>
      <c r="B88">
        <v>3875</v>
      </c>
      <c r="C88">
        <v>0</v>
      </c>
      <c r="D88">
        <v>0</v>
      </c>
      <c r="E88">
        <v>0</v>
      </c>
      <c r="F88">
        <v>0</v>
      </c>
      <c r="G88">
        <v>0</v>
      </c>
      <c r="H88">
        <v>0</v>
      </c>
      <c r="I88">
        <v>0</v>
      </c>
      <c r="J88" s="92">
        <v>0</v>
      </c>
    </row>
    <row r="89" spans="1:10" x14ac:dyDescent="0.3">
      <c r="A89" s="92">
        <v>3900</v>
      </c>
      <c r="B89">
        <v>3900</v>
      </c>
      <c r="C89">
        <v>0</v>
      </c>
      <c r="D89">
        <v>0</v>
      </c>
      <c r="E89">
        <v>3</v>
      </c>
      <c r="F89">
        <v>0</v>
      </c>
      <c r="G89">
        <v>0</v>
      </c>
      <c r="H89">
        <v>0</v>
      </c>
      <c r="I89">
        <v>0</v>
      </c>
      <c r="J89" s="92">
        <v>3</v>
      </c>
    </row>
    <row r="90" spans="1:10" x14ac:dyDescent="0.3">
      <c r="A90" s="92">
        <v>3925</v>
      </c>
      <c r="B90">
        <v>3925</v>
      </c>
      <c r="C90">
        <v>0</v>
      </c>
      <c r="D90">
        <v>0</v>
      </c>
      <c r="E90">
        <v>0</v>
      </c>
      <c r="F90">
        <v>0</v>
      </c>
      <c r="G90">
        <v>0</v>
      </c>
      <c r="H90">
        <v>0</v>
      </c>
      <c r="I90">
        <v>0</v>
      </c>
      <c r="J90" s="92">
        <v>0</v>
      </c>
    </row>
    <row r="91" spans="1:10" x14ac:dyDescent="0.3">
      <c r="A91" s="92">
        <v>3950</v>
      </c>
      <c r="B91">
        <v>3950</v>
      </c>
      <c r="C91">
        <v>0</v>
      </c>
      <c r="D91">
        <v>1</v>
      </c>
      <c r="E91">
        <v>7</v>
      </c>
      <c r="F91">
        <v>284.10000000000002</v>
      </c>
      <c r="G91">
        <v>284.10000000000002</v>
      </c>
      <c r="H91">
        <v>284.10000000000002</v>
      </c>
      <c r="I91">
        <v>284.10000000000002</v>
      </c>
      <c r="J91" s="92">
        <v>7</v>
      </c>
    </row>
    <row r="92" spans="1:10" x14ac:dyDescent="0.3">
      <c r="A92" s="92">
        <v>3975</v>
      </c>
      <c r="B92">
        <v>3975</v>
      </c>
      <c r="C92">
        <v>0</v>
      </c>
      <c r="D92">
        <v>1</v>
      </c>
      <c r="E92">
        <v>1</v>
      </c>
      <c r="F92">
        <v>264.2</v>
      </c>
      <c r="G92">
        <v>264.2</v>
      </c>
      <c r="H92">
        <v>264.2</v>
      </c>
      <c r="I92">
        <v>264.2</v>
      </c>
      <c r="J92" s="92">
        <v>1</v>
      </c>
    </row>
    <row r="93" spans="1:10" x14ac:dyDescent="0.3">
      <c r="A93" s="92">
        <v>4000</v>
      </c>
      <c r="B93">
        <v>4000</v>
      </c>
      <c r="C93">
        <v>0</v>
      </c>
      <c r="D93">
        <v>1</v>
      </c>
      <c r="E93">
        <v>6017</v>
      </c>
      <c r="F93">
        <v>0</v>
      </c>
      <c r="G93">
        <v>0</v>
      </c>
      <c r="H93">
        <v>0</v>
      </c>
      <c r="I93">
        <v>0</v>
      </c>
      <c r="J93" s="92">
        <v>6017</v>
      </c>
    </row>
    <row r="94" spans="1:10" x14ac:dyDescent="0.3">
      <c r="A94" s="92">
        <v>4025</v>
      </c>
      <c r="B94">
        <v>4025</v>
      </c>
      <c r="C94">
        <v>0</v>
      </c>
      <c r="D94">
        <v>0</v>
      </c>
      <c r="E94">
        <v>286</v>
      </c>
      <c r="F94">
        <v>0</v>
      </c>
      <c r="G94">
        <v>0</v>
      </c>
      <c r="H94">
        <v>0</v>
      </c>
      <c r="I94">
        <v>0</v>
      </c>
      <c r="J94" s="92">
        <v>286</v>
      </c>
    </row>
    <row r="95" spans="1:10" x14ac:dyDescent="0.3">
      <c r="A95" s="92">
        <v>4050</v>
      </c>
      <c r="B95">
        <v>4050</v>
      </c>
      <c r="C95">
        <v>0</v>
      </c>
      <c r="D95">
        <v>2</v>
      </c>
      <c r="E95">
        <v>124</v>
      </c>
      <c r="F95">
        <v>188</v>
      </c>
      <c r="G95">
        <v>188</v>
      </c>
      <c r="H95">
        <v>188</v>
      </c>
      <c r="I95">
        <v>188</v>
      </c>
      <c r="J95" s="92">
        <v>124</v>
      </c>
    </row>
    <row r="96" spans="1:10" x14ac:dyDescent="0.3">
      <c r="A96" s="92">
        <v>4075</v>
      </c>
      <c r="B96">
        <v>4075</v>
      </c>
      <c r="C96">
        <v>0</v>
      </c>
      <c r="D96">
        <v>0</v>
      </c>
      <c r="E96">
        <v>3</v>
      </c>
      <c r="F96">
        <v>0</v>
      </c>
      <c r="G96">
        <v>0</v>
      </c>
      <c r="H96">
        <v>0</v>
      </c>
      <c r="I96">
        <v>0</v>
      </c>
      <c r="J96" s="92">
        <v>3</v>
      </c>
    </row>
    <row r="97" spans="1:10" x14ac:dyDescent="0.3">
      <c r="A97" s="92">
        <v>4100</v>
      </c>
      <c r="B97">
        <v>4100</v>
      </c>
      <c r="C97">
        <v>0</v>
      </c>
      <c r="D97">
        <v>422</v>
      </c>
      <c r="E97">
        <v>10989</v>
      </c>
      <c r="F97">
        <v>0</v>
      </c>
      <c r="G97">
        <v>0</v>
      </c>
      <c r="H97">
        <v>0</v>
      </c>
      <c r="I97">
        <v>0</v>
      </c>
      <c r="J97" s="92">
        <v>10989</v>
      </c>
    </row>
    <row r="98" spans="1:10" x14ac:dyDescent="0.3">
      <c r="A98" s="92">
        <v>4125</v>
      </c>
      <c r="B98">
        <v>4125</v>
      </c>
      <c r="C98">
        <v>0</v>
      </c>
      <c r="D98">
        <v>0</v>
      </c>
      <c r="E98">
        <v>1</v>
      </c>
      <c r="F98">
        <v>0</v>
      </c>
      <c r="G98">
        <v>0</v>
      </c>
      <c r="H98">
        <v>0</v>
      </c>
      <c r="I98">
        <v>0</v>
      </c>
      <c r="J98" s="92">
        <v>1</v>
      </c>
    </row>
    <row r="99" spans="1:10" x14ac:dyDescent="0.3">
      <c r="A99" s="92">
        <v>4150</v>
      </c>
      <c r="B99">
        <v>4150</v>
      </c>
      <c r="C99">
        <v>0</v>
      </c>
      <c r="D99">
        <v>100</v>
      </c>
      <c r="E99">
        <v>1602</v>
      </c>
      <c r="F99">
        <v>0</v>
      </c>
      <c r="G99">
        <v>0</v>
      </c>
      <c r="H99">
        <v>0</v>
      </c>
      <c r="I99">
        <v>0</v>
      </c>
      <c r="J99" s="92">
        <v>1602</v>
      </c>
    </row>
    <row r="100" spans="1:10" x14ac:dyDescent="0.3">
      <c r="A100" s="92">
        <v>4175</v>
      </c>
      <c r="B100">
        <v>4175</v>
      </c>
      <c r="C100">
        <v>0</v>
      </c>
      <c r="D100">
        <v>0</v>
      </c>
      <c r="E100">
        <v>102</v>
      </c>
      <c r="F100">
        <v>0</v>
      </c>
      <c r="G100">
        <v>0</v>
      </c>
      <c r="H100">
        <v>0</v>
      </c>
      <c r="I100">
        <v>0</v>
      </c>
      <c r="J100" s="92">
        <v>102</v>
      </c>
    </row>
    <row r="101" spans="1:10" x14ac:dyDescent="0.3">
      <c r="A101" s="92">
        <v>4200</v>
      </c>
      <c r="B101">
        <v>4200</v>
      </c>
      <c r="C101">
        <v>0</v>
      </c>
      <c r="D101">
        <v>11233</v>
      </c>
      <c r="E101">
        <v>22382</v>
      </c>
      <c r="F101">
        <v>93.6</v>
      </c>
      <c r="G101">
        <v>107.3</v>
      </c>
      <c r="H101">
        <v>93.6</v>
      </c>
      <c r="I101">
        <v>107.3</v>
      </c>
      <c r="J101" s="92">
        <v>22382</v>
      </c>
    </row>
    <row r="102" spans="1:10" x14ac:dyDescent="0.3">
      <c r="A102" s="92">
        <v>4225</v>
      </c>
      <c r="B102">
        <v>4225</v>
      </c>
      <c r="C102">
        <v>0</v>
      </c>
      <c r="D102">
        <v>555</v>
      </c>
      <c r="E102">
        <v>4879</v>
      </c>
      <c r="F102">
        <v>81.400000000000006</v>
      </c>
      <c r="G102">
        <v>90.7</v>
      </c>
      <c r="H102">
        <v>81.400000000000006</v>
      </c>
      <c r="I102">
        <v>90.7</v>
      </c>
      <c r="J102" s="92">
        <v>4879</v>
      </c>
    </row>
    <row r="103" spans="1:10" x14ac:dyDescent="0.3">
      <c r="A103" s="92">
        <v>4250</v>
      </c>
      <c r="B103">
        <v>4250</v>
      </c>
      <c r="C103">
        <v>0</v>
      </c>
      <c r="D103">
        <v>8594</v>
      </c>
      <c r="E103">
        <v>10435</v>
      </c>
      <c r="F103">
        <v>84.1</v>
      </c>
      <c r="G103">
        <v>84.1</v>
      </c>
      <c r="H103">
        <v>61.7</v>
      </c>
      <c r="I103">
        <v>82</v>
      </c>
      <c r="J103" s="92">
        <v>10435</v>
      </c>
    </row>
    <row r="104" spans="1:10" x14ac:dyDescent="0.3">
      <c r="A104" s="92">
        <v>4275</v>
      </c>
      <c r="B104">
        <v>4275</v>
      </c>
      <c r="C104">
        <v>0</v>
      </c>
      <c r="D104">
        <v>3689</v>
      </c>
      <c r="E104">
        <v>8268</v>
      </c>
      <c r="F104">
        <v>54.6</v>
      </c>
      <c r="G104">
        <v>63.8</v>
      </c>
      <c r="H104">
        <v>49.6</v>
      </c>
      <c r="I104">
        <v>63.8</v>
      </c>
      <c r="J104" s="92">
        <v>8268</v>
      </c>
    </row>
    <row r="105" spans="1:10" x14ac:dyDescent="0.3">
      <c r="A105" s="92">
        <v>4300</v>
      </c>
      <c r="B105">
        <v>4300</v>
      </c>
      <c r="C105">
        <v>0</v>
      </c>
      <c r="D105">
        <v>4336</v>
      </c>
      <c r="E105">
        <v>44135</v>
      </c>
      <c r="F105">
        <v>55.9</v>
      </c>
      <c r="G105">
        <v>58.1</v>
      </c>
      <c r="H105">
        <v>40.799999999999997</v>
      </c>
      <c r="I105">
        <v>58.1</v>
      </c>
      <c r="J105" s="92">
        <v>44135</v>
      </c>
    </row>
    <row r="106" spans="1:10" x14ac:dyDescent="0.3">
      <c r="A106" s="92">
        <v>4325</v>
      </c>
      <c r="B106">
        <v>4325</v>
      </c>
      <c r="C106">
        <v>0</v>
      </c>
      <c r="D106">
        <v>2830</v>
      </c>
      <c r="E106">
        <v>7040</v>
      </c>
      <c r="F106">
        <v>35</v>
      </c>
      <c r="G106">
        <v>42.7</v>
      </c>
      <c r="H106">
        <v>31.8</v>
      </c>
      <c r="I106">
        <v>42.7</v>
      </c>
      <c r="J106" s="92">
        <v>7040</v>
      </c>
    </row>
    <row r="107" spans="1:10" x14ac:dyDescent="0.3">
      <c r="A107" s="92">
        <v>4350</v>
      </c>
      <c r="B107">
        <v>4350</v>
      </c>
      <c r="C107">
        <v>0</v>
      </c>
      <c r="D107">
        <v>14323</v>
      </c>
      <c r="E107">
        <v>44688</v>
      </c>
      <c r="F107">
        <v>36.799999999999997</v>
      </c>
      <c r="G107">
        <v>36.799999999999997</v>
      </c>
      <c r="H107">
        <v>24.6</v>
      </c>
      <c r="I107">
        <v>35.9</v>
      </c>
      <c r="J107" s="92">
        <v>44688</v>
      </c>
    </row>
    <row r="108" spans="1:10" x14ac:dyDescent="0.3">
      <c r="A108" s="92">
        <v>4375</v>
      </c>
      <c r="B108">
        <v>4375</v>
      </c>
      <c r="C108">
        <v>0</v>
      </c>
      <c r="D108">
        <v>520</v>
      </c>
      <c r="E108">
        <v>8960</v>
      </c>
      <c r="F108">
        <v>20.7</v>
      </c>
      <c r="G108">
        <v>29.7</v>
      </c>
      <c r="H108">
        <v>19.2</v>
      </c>
      <c r="I108">
        <v>27.4</v>
      </c>
      <c r="J108" s="92">
        <v>8960</v>
      </c>
    </row>
    <row r="109" spans="1:10" x14ac:dyDescent="0.3">
      <c r="A109" s="92">
        <v>4400</v>
      </c>
      <c r="B109">
        <v>4400</v>
      </c>
      <c r="C109">
        <v>0</v>
      </c>
      <c r="D109">
        <v>11921</v>
      </c>
      <c r="E109">
        <v>63302</v>
      </c>
      <c r="F109">
        <v>23.9</v>
      </c>
      <c r="G109">
        <v>23.9</v>
      </c>
      <c r="H109">
        <v>13.8</v>
      </c>
      <c r="I109">
        <v>21</v>
      </c>
      <c r="J109" s="92">
        <v>63302</v>
      </c>
    </row>
    <row r="110" spans="1:10" x14ac:dyDescent="0.3">
      <c r="A110" s="92">
        <v>4425</v>
      </c>
      <c r="B110">
        <v>4425</v>
      </c>
      <c r="C110">
        <v>0</v>
      </c>
      <c r="D110">
        <v>790</v>
      </c>
      <c r="E110">
        <v>11077</v>
      </c>
      <c r="F110">
        <v>10.4</v>
      </c>
      <c r="G110">
        <v>17.3</v>
      </c>
      <c r="H110">
        <v>10.4</v>
      </c>
      <c r="I110">
        <v>17.3</v>
      </c>
      <c r="J110" s="92">
        <v>11077</v>
      </c>
    </row>
    <row r="111" spans="1:10" x14ac:dyDescent="0.3">
      <c r="A111" s="92">
        <v>4450</v>
      </c>
      <c r="B111">
        <v>4450</v>
      </c>
      <c r="C111">
        <v>0</v>
      </c>
      <c r="D111">
        <v>12017</v>
      </c>
      <c r="E111">
        <v>71525</v>
      </c>
      <c r="F111">
        <v>9.1</v>
      </c>
      <c r="G111">
        <v>13</v>
      </c>
      <c r="H111">
        <v>8</v>
      </c>
      <c r="I111">
        <v>13</v>
      </c>
      <c r="J111" s="92">
        <v>71525</v>
      </c>
    </row>
    <row r="112" spans="1:10" x14ac:dyDescent="0.3">
      <c r="A112" s="92">
        <v>4475</v>
      </c>
      <c r="B112">
        <v>4475</v>
      </c>
      <c r="C112">
        <v>0</v>
      </c>
      <c r="D112">
        <v>2127</v>
      </c>
      <c r="E112">
        <v>30037</v>
      </c>
      <c r="F112">
        <v>6.6</v>
      </c>
      <c r="G112">
        <v>9.6</v>
      </c>
      <c r="H112">
        <v>6.6</v>
      </c>
      <c r="I112">
        <v>9.5</v>
      </c>
      <c r="J112" s="92">
        <v>30037</v>
      </c>
    </row>
    <row r="113" spans="1:10" x14ac:dyDescent="0.3">
      <c r="A113" s="92">
        <v>4500</v>
      </c>
      <c r="B113">
        <v>4500</v>
      </c>
      <c r="C113">
        <v>0</v>
      </c>
      <c r="D113">
        <v>13959</v>
      </c>
      <c r="E113">
        <v>73991</v>
      </c>
      <c r="F113">
        <v>6.5</v>
      </c>
      <c r="G113">
        <v>7.1</v>
      </c>
      <c r="H113">
        <v>4.0999999999999996</v>
      </c>
      <c r="I113">
        <v>6.9</v>
      </c>
      <c r="J113" s="92">
        <v>73991</v>
      </c>
    </row>
    <row r="114" spans="1:10" x14ac:dyDescent="0.3">
      <c r="A114" s="92">
        <v>4525</v>
      </c>
      <c r="B114">
        <v>4525</v>
      </c>
      <c r="C114">
        <v>0</v>
      </c>
      <c r="D114">
        <v>9256</v>
      </c>
      <c r="E114">
        <v>40260</v>
      </c>
      <c r="F114">
        <v>4.3</v>
      </c>
      <c r="G114">
        <v>5.6</v>
      </c>
      <c r="H114">
        <v>3.3</v>
      </c>
      <c r="I114">
        <v>5.4</v>
      </c>
      <c r="J114" s="92">
        <v>40260</v>
      </c>
    </row>
    <row r="115" spans="1:10" x14ac:dyDescent="0.3">
      <c r="A115" s="92">
        <v>4550</v>
      </c>
      <c r="B115">
        <v>4550</v>
      </c>
      <c r="C115">
        <v>0</v>
      </c>
      <c r="D115">
        <v>4123</v>
      </c>
      <c r="E115">
        <v>33189</v>
      </c>
      <c r="F115">
        <v>3.4</v>
      </c>
      <c r="G115">
        <v>3.9</v>
      </c>
      <c r="H115">
        <v>2.2999999999999998</v>
      </c>
      <c r="I115">
        <v>3.9</v>
      </c>
      <c r="J115" s="92">
        <v>33189</v>
      </c>
    </row>
    <row r="116" spans="1:10" x14ac:dyDescent="0.3">
      <c r="A116" s="92">
        <v>4575</v>
      </c>
      <c r="B116">
        <v>4575</v>
      </c>
      <c r="C116">
        <v>0</v>
      </c>
      <c r="D116">
        <v>5071</v>
      </c>
      <c r="E116">
        <v>15480</v>
      </c>
      <c r="F116">
        <v>1.9</v>
      </c>
      <c r="G116">
        <v>2.2999999999999998</v>
      </c>
      <c r="H116">
        <v>1.9</v>
      </c>
      <c r="I116">
        <v>2.2999999999999998</v>
      </c>
      <c r="J116" s="92">
        <v>15480</v>
      </c>
    </row>
    <row r="117" spans="1:10" x14ac:dyDescent="0.3">
      <c r="A117" s="92">
        <v>4600</v>
      </c>
      <c r="B117">
        <v>4600</v>
      </c>
      <c r="C117">
        <v>0</v>
      </c>
      <c r="D117">
        <v>4000</v>
      </c>
      <c r="E117">
        <v>57065</v>
      </c>
      <c r="F117">
        <v>0</v>
      </c>
      <c r="G117">
        <v>0</v>
      </c>
      <c r="H117">
        <v>0</v>
      </c>
      <c r="I117">
        <v>0</v>
      </c>
      <c r="J117" s="92">
        <v>57065</v>
      </c>
    </row>
    <row r="118" spans="1:10" x14ac:dyDescent="0.3">
      <c r="A118" s="92">
        <v>4625</v>
      </c>
      <c r="B118">
        <v>4625</v>
      </c>
      <c r="C118">
        <v>0</v>
      </c>
      <c r="D118">
        <v>4</v>
      </c>
      <c r="E118">
        <v>2295</v>
      </c>
      <c r="F118">
        <v>1.3</v>
      </c>
      <c r="G118">
        <v>1.3</v>
      </c>
      <c r="H118">
        <v>1.3</v>
      </c>
      <c r="I118">
        <v>1.3</v>
      </c>
      <c r="J118" s="92">
        <v>2295</v>
      </c>
    </row>
    <row r="119" spans="1:10" x14ac:dyDescent="0.3">
      <c r="A119" s="92">
        <v>4650</v>
      </c>
      <c r="B119">
        <v>4650</v>
      </c>
      <c r="C119">
        <v>0</v>
      </c>
      <c r="D119">
        <v>0</v>
      </c>
      <c r="E119">
        <v>24105</v>
      </c>
      <c r="F119">
        <v>0</v>
      </c>
      <c r="G119">
        <v>0</v>
      </c>
      <c r="H119">
        <v>0</v>
      </c>
      <c r="I119">
        <v>0</v>
      </c>
      <c r="J119" s="92">
        <v>24105</v>
      </c>
    </row>
    <row r="120" spans="1:10" x14ac:dyDescent="0.3">
      <c r="A120" s="92">
        <v>4675</v>
      </c>
      <c r="B120">
        <v>4675</v>
      </c>
      <c r="C120">
        <v>0</v>
      </c>
      <c r="D120">
        <v>0</v>
      </c>
      <c r="E120">
        <v>3575</v>
      </c>
      <c r="F120">
        <v>0</v>
      </c>
      <c r="G120">
        <v>0</v>
      </c>
      <c r="H120">
        <v>0</v>
      </c>
      <c r="I120">
        <v>0</v>
      </c>
      <c r="J120" s="92">
        <v>3575</v>
      </c>
    </row>
    <row r="121" spans="1:10" x14ac:dyDescent="0.3">
      <c r="A121" s="92">
        <v>4700</v>
      </c>
      <c r="B121">
        <v>4700</v>
      </c>
      <c r="C121">
        <v>0</v>
      </c>
      <c r="D121">
        <v>2000</v>
      </c>
      <c r="E121">
        <v>37281</v>
      </c>
      <c r="F121">
        <v>0</v>
      </c>
      <c r="G121">
        <v>0</v>
      </c>
      <c r="H121">
        <v>0</v>
      </c>
      <c r="I121">
        <v>0</v>
      </c>
      <c r="J121" s="92">
        <v>37281</v>
      </c>
    </row>
    <row r="122" spans="1:10" x14ac:dyDescent="0.3">
      <c r="A122" s="92">
        <v>4725</v>
      </c>
      <c r="B122">
        <v>4725</v>
      </c>
      <c r="C122">
        <v>0</v>
      </c>
      <c r="D122">
        <v>0</v>
      </c>
      <c r="E122">
        <v>489</v>
      </c>
      <c r="F122">
        <v>0</v>
      </c>
      <c r="G122">
        <v>0</v>
      </c>
      <c r="H122">
        <v>0</v>
      </c>
      <c r="I122">
        <v>0</v>
      </c>
      <c r="J122" s="92">
        <v>489</v>
      </c>
    </row>
    <row r="123" spans="1:10" x14ac:dyDescent="0.3">
      <c r="A123" s="92">
        <v>4750</v>
      </c>
      <c r="B123">
        <v>4750</v>
      </c>
      <c r="C123">
        <v>0</v>
      </c>
      <c r="D123">
        <v>0</v>
      </c>
      <c r="E123">
        <v>6467</v>
      </c>
      <c r="F123">
        <v>0</v>
      </c>
      <c r="G123">
        <v>0</v>
      </c>
      <c r="H123">
        <v>0</v>
      </c>
      <c r="I123">
        <v>0</v>
      </c>
      <c r="J123" s="92">
        <v>6467</v>
      </c>
    </row>
    <row r="124" spans="1:10" x14ac:dyDescent="0.3">
      <c r="A124" s="92">
        <v>4775</v>
      </c>
      <c r="B124">
        <v>4775</v>
      </c>
      <c r="C124">
        <v>0</v>
      </c>
      <c r="D124">
        <v>0</v>
      </c>
      <c r="E124">
        <v>629</v>
      </c>
      <c r="F124">
        <v>0</v>
      </c>
      <c r="G124">
        <v>0</v>
      </c>
      <c r="H124">
        <v>0</v>
      </c>
      <c r="I124">
        <v>0</v>
      </c>
      <c r="J124" s="92">
        <v>629</v>
      </c>
    </row>
    <row r="125" spans="1:10" x14ac:dyDescent="0.3">
      <c r="A125" s="92">
        <v>4800</v>
      </c>
      <c r="B125">
        <v>4800</v>
      </c>
      <c r="C125">
        <v>0</v>
      </c>
      <c r="D125">
        <v>0</v>
      </c>
      <c r="E125">
        <v>15624</v>
      </c>
      <c r="F125">
        <v>0</v>
      </c>
      <c r="G125">
        <v>0</v>
      </c>
      <c r="H125">
        <v>0</v>
      </c>
      <c r="I125">
        <v>0</v>
      </c>
      <c r="J125" s="92">
        <v>15624</v>
      </c>
    </row>
    <row r="126" spans="1:10" x14ac:dyDescent="0.3">
      <c r="A126" s="92">
        <v>4825</v>
      </c>
      <c r="B126">
        <v>4825</v>
      </c>
      <c r="C126">
        <v>0</v>
      </c>
      <c r="D126">
        <v>0</v>
      </c>
      <c r="E126">
        <v>1452</v>
      </c>
      <c r="F126">
        <v>0</v>
      </c>
      <c r="G126">
        <v>0</v>
      </c>
      <c r="H126">
        <v>0</v>
      </c>
      <c r="I126">
        <v>0</v>
      </c>
      <c r="J126" s="92">
        <v>1452</v>
      </c>
    </row>
    <row r="127" spans="1:10" x14ac:dyDescent="0.3">
      <c r="A127" s="92">
        <v>4850</v>
      </c>
      <c r="B127">
        <v>4850</v>
      </c>
      <c r="C127">
        <v>0</v>
      </c>
      <c r="D127">
        <v>0</v>
      </c>
      <c r="E127">
        <v>4880</v>
      </c>
      <c r="F127">
        <v>0</v>
      </c>
      <c r="G127">
        <v>0</v>
      </c>
      <c r="H127">
        <v>0</v>
      </c>
      <c r="I127">
        <v>0</v>
      </c>
      <c r="J127" s="92">
        <v>4880</v>
      </c>
    </row>
    <row r="128" spans="1:10" x14ac:dyDescent="0.3">
      <c r="A128" s="92">
        <v>4875</v>
      </c>
      <c r="B128">
        <v>4875</v>
      </c>
      <c r="C128">
        <v>0</v>
      </c>
      <c r="D128">
        <v>0</v>
      </c>
      <c r="E128">
        <v>270</v>
      </c>
      <c r="F128">
        <v>0</v>
      </c>
      <c r="G128">
        <v>0</v>
      </c>
      <c r="H128">
        <v>0</v>
      </c>
      <c r="I128">
        <v>0</v>
      </c>
      <c r="J128" s="92">
        <v>270</v>
      </c>
    </row>
    <row r="129" spans="1:10" x14ac:dyDescent="0.3">
      <c r="A129" s="92">
        <v>4900</v>
      </c>
      <c r="B129">
        <v>4900</v>
      </c>
      <c r="C129">
        <v>0</v>
      </c>
      <c r="D129">
        <v>0</v>
      </c>
      <c r="E129">
        <v>634</v>
      </c>
      <c r="F129">
        <v>0</v>
      </c>
      <c r="G129">
        <v>0</v>
      </c>
      <c r="H129">
        <v>0</v>
      </c>
      <c r="I129">
        <v>0</v>
      </c>
      <c r="J129" s="92">
        <v>634</v>
      </c>
    </row>
    <row r="130" spans="1:10" x14ac:dyDescent="0.3">
      <c r="A130" s="92">
        <v>4925</v>
      </c>
      <c r="B130">
        <v>4925</v>
      </c>
      <c r="C130">
        <v>0</v>
      </c>
      <c r="D130">
        <v>0</v>
      </c>
      <c r="E130">
        <v>241</v>
      </c>
      <c r="F130">
        <v>0</v>
      </c>
      <c r="G130">
        <v>0</v>
      </c>
      <c r="H130">
        <v>0</v>
      </c>
      <c r="I130">
        <v>0</v>
      </c>
      <c r="J130" s="92">
        <v>241</v>
      </c>
    </row>
    <row r="131" spans="1:10" x14ac:dyDescent="0.3">
      <c r="A131" s="92">
        <v>4950</v>
      </c>
      <c r="B131">
        <v>4950</v>
      </c>
      <c r="C131">
        <v>0</v>
      </c>
      <c r="D131">
        <v>0</v>
      </c>
      <c r="E131">
        <v>63</v>
      </c>
      <c r="F131">
        <v>0</v>
      </c>
      <c r="G131">
        <v>0</v>
      </c>
      <c r="H131">
        <v>0</v>
      </c>
      <c r="I131">
        <v>0</v>
      </c>
      <c r="J131" s="92">
        <v>63</v>
      </c>
    </row>
    <row r="132" spans="1:10" x14ac:dyDescent="0.3">
      <c r="A132" s="92">
        <v>4975</v>
      </c>
      <c r="B132">
        <v>4975</v>
      </c>
      <c r="C132">
        <v>0</v>
      </c>
      <c r="D132">
        <v>0</v>
      </c>
      <c r="E132">
        <v>100</v>
      </c>
      <c r="F132">
        <v>0</v>
      </c>
      <c r="G132">
        <v>0</v>
      </c>
      <c r="H132">
        <v>0</v>
      </c>
      <c r="I132">
        <v>0</v>
      </c>
      <c r="J132" s="92">
        <v>100</v>
      </c>
    </row>
    <row r="133" spans="1:10" x14ac:dyDescent="0.3">
      <c r="A133" s="92">
        <v>5000</v>
      </c>
      <c r="B133">
        <v>5000</v>
      </c>
      <c r="C133">
        <v>0</v>
      </c>
      <c r="D133">
        <v>0</v>
      </c>
      <c r="E133">
        <v>478</v>
      </c>
      <c r="F133">
        <v>0</v>
      </c>
      <c r="G133">
        <v>0</v>
      </c>
      <c r="H133">
        <v>0</v>
      </c>
      <c r="I133">
        <v>0</v>
      </c>
      <c r="J133" s="92">
        <v>478</v>
      </c>
    </row>
    <row r="134" spans="1:10" x14ac:dyDescent="0.3">
      <c r="A134" s="92">
        <v>5025</v>
      </c>
      <c r="B134">
        <v>5025</v>
      </c>
      <c r="C134">
        <v>0</v>
      </c>
      <c r="D134">
        <v>0</v>
      </c>
      <c r="E134">
        <v>85</v>
      </c>
      <c r="F134">
        <v>0</v>
      </c>
      <c r="G134">
        <v>0</v>
      </c>
      <c r="H134">
        <v>0</v>
      </c>
      <c r="I134">
        <v>0</v>
      </c>
      <c r="J134" s="92">
        <v>85</v>
      </c>
    </row>
    <row r="135" spans="1:10" x14ac:dyDescent="0.3">
      <c r="A135" s="92">
        <v>5050</v>
      </c>
      <c r="B135">
        <v>5050</v>
      </c>
      <c r="C135">
        <v>0</v>
      </c>
      <c r="D135">
        <v>0</v>
      </c>
      <c r="E135">
        <v>62</v>
      </c>
      <c r="F135">
        <v>0</v>
      </c>
      <c r="G135">
        <v>0</v>
      </c>
      <c r="H135">
        <v>0</v>
      </c>
      <c r="I135">
        <v>0</v>
      </c>
      <c r="J135" s="92">
        <v>62</v>
      </c>
    </row>
    <row r="136" spans="1:10" x14ac:dyDescent="0.3">
      <c r="A136" s="92">
        <v>5075</v>
      </c>
      <c r="B136">
        <v>5075</v>
      </c>
      <c r="C136">
        <v>0</v>
      </c>
      <c r="D136">
        <v>0</v>
      </c>
      <c r="E136">
        <v>35</v>
      </c>
      <c r="F136">
        <v>0</v>
      </c>
      <c r="G136">
        <v>0</v>
      </c>
      <c r="H136">
        <v>0</v>
      </c>
      <c r="I136">
        <v>0</v>
      </c>
      <c r="J136" s="92">
        <v>35</v>
      </c>
    </row>
    <row r="137" spans="1:10" x14ac:dyDescent="0.3">
      <c r="A137" s="92">
        <v>5100</v>
      </c>
      <c r="B137">
        <v>5100</v>
      </c>
      <c r="C137">
        <v>0</v>
      </c>
      <c r="D137">
        <v>0</v>
      </c>
      <c r="E137">
        <v>28</v>
      </c>
      <c r="F137">
        <v>0</v>
      </c>
      <c r="G137">
        <v>0</v>
      </c>
      <c r="H137">
        <v>0</v>
      </c>
      <c r="I137">
        <v>0</v>
      </c>
      <c r="J137" s="92">
        <v>28</v>
      </c>
    </row>
    <row r="138" spans="1:10" x14ac:dyDescent="0.3">
      <c r="A138" s="92">
        <v>5125</v>
      </c>
      <c r="B138">
        <v>5125</v>
      </c>
      <c r="C138">
        <v>0</v>
      </c>
      <c r="D138">
        <v>0</v>
      </c>
      <c r="E138">
        <v>14</v>
      </c>
      <c r="F138">
        <v>0</v>
      </c>
      <c r="G138">
        <v>0</v>
      </c>
      <c r="H138">
        <v>0</v>
      </c>
      <c r="I138">
        <v>0</v>
      </c>
      <c r="J138" s="92">
        <v>14</v>
      </c>
    </row>
    <row r="139" spans="1:10" x14ac:dyDescent="0.3">
      <c r="A139" s="92">
        <v>5150</v>
      </c>
      <c r="B139">
        <v>5150</v>
      </c>
      <c r="C139">
        <v>0</v>
      </c>
      <c r="D139">
        <v>0</v>
      </c>
      <c r="E139">
        <v>57</v>
      </c>
      <c r="F139">
        <v>0</v>
      </c>
      <c r="G139">
        <v>0</v>
      </c>
      <c r="H139">
        <v>0</v>
      </c>
      <c r="I139">
        <v>0</v>
      </c>
      <c r="J139" s="92">
        <v>57</v>
      </c>
    </row>
    <row r="140" spans="1:10" x14ac:dyDescent="0.3">
      <c r="A140" s="92">
        <v>5175</v>
      </c>
      <c r="B140">
        <v>5175</v>
      </c>
      <c r="C140">
        <v>0</v>
      </c>
      <c r="D140">
        <v>0</v>
      </c>
      <c r="E140">
        <v>7</v>
      </c>
      <c r="F140">
        <v>0</v>
      </c>
      <c r="G140">
        <v>0</v>
      </c>
      <c r="H140">
        <v>0</v>
      </c>
      <c r="I140">
        <v>0</v>
      </c>
      <c r="J140" s="92">
        <v>7</v>
      </c>
    </row>
    <row r="141" spans="1:10" x14ac:dyDescent="0.3">
      <c r="A141" s="92">
        <v>5200</v>
      </c>
      <c r="B141">
        <v>5200</v>
      </c>
      <c r="C141">
        <v>0</v>
      </c>
      <c r="D141">
        <v>0</v>
      </c>
      <c r="E141">
        <v>15</v>
      </c>
      <c r="F141">
        <v>0</v>
      </c>
      <c r="G141">
        <v>0</v>
      </c>
      <c r="H141">
        <v>0</v>
      </c>
      <c r="I141">
        <v>0</v>
      </c>
      <c r="J141" s="92">
        <v>15</v>
      </c>
    </row>
    <row r="142" spans="1:10" x14ac:dyDescent="0.3">
      <c r="A142" s="92">
        <v>5225</v>
      </c>
      <c r="B142">
        <v>5225</v>
      </c>
      <c r="C142">
        <v>0</v>
      </c>
      <c r="D142">
        <v>0</v>
      </c>
      <c r="E142">
        <v>0</v>
      </c>
      <c r="F142">
        <v>0</v>
      </c>
      <c r="G142">
        <v>0</v>
      </c>
      <c r="H142">
        <v>0</v>
      </c>
      <c r="I142">
        <v>0</v>
      </c>
      <c r="J142" s="92">
        <v>0</v>
      </c>
    </row>
    <row r="143" spans="1:10" x14ac:dyDescent="0.3">
      <c r="A143" s="92">
        <v>5250</v>
      </c>
      <c r="B143">
        <v>5250</v>
      </c>
      <c r="C143">
        <v>0</v>
      </c>
      <c r="D143">
        <v>0</v>
      </c>
      <c r="E143">
        <v>260</v>
      </c>
      <c r="F143">
        <v>0</v>
      </c>
      <c r="G143">
        <v>0</v>
      </c>
      <c r="H143">
        <v>0</v>
      </c>
      <c r="I143">
        <v>0</v>
      </c>
      <c r="J143" s="92">
        <v>260</v>
      </c>
    </row>
    <row r="144" spans="1:10" x14ac:dyDescent="0.3">
      <c r="A144" s="92">
        <v>5275</v>
      </c>
      <c r="B144">
        <v>5275</v>
      </c>
      <c r="C144">
        <v>0</v>
      </c>
      <c r="D144">
        <v>0</v>
      </c>
      <c r="E144">
        <v>0</v>
      </c>
      <c r="F144">
        <v>0</v>
      </c>
      <c r="G144">
        <v>0</v>
      </c>
      <c r="H144">
        <v>0</v>
      </c>
      <c r="I144">
        <v>0</v>
      </c>
      <c r="J144" s="92">
        <v>0</v>
      </c>
    </row>
    <row r="145" spans="1:10" x14ac:dyDescent="0.3">
      <c r="A145" s="92">
        <v>5300</v>
      </c>
      <c r="B145">
        <v>5300</v>
      </c>
      <c r="C145">
        <v>0</v>
      </c>
      <c r="D145">
        <v>0</v>
      </c>
      <c r="E145">
        <v>13</v>
      </c>
      <c r="F145">
        <v>0</v>
      </c>
      <c r="G145">
        <v>0</v>
      </c>
      <c r="H145">
        <v>0</v>
      </c>
      <c r="I145">
        <v>0</v>
      </c>
      <c r="J145" s="92">
        <v>13</v>
      </c>
    </row>
    <row r="146" spans="1:10" x14ac:dyDescent="0.3">
      <c r="A146" s="92">
        <v>5325</v>
      </c>
      <c r="B146">
        <v>5325</v>
      </c>
      <c r="C146">
        <v>0</v>
      </c>
      <c r="D146">
        <v>0</v>
      </c>
      <c r="E146">
        <v>0</v>
      </c>
      <c r="F146">
        <v>0</v>
      </c>
      <c r="G146">
        <v>0</v>
      </c>
      <c r="H146">
        <v>0</v>
      </c>
      <c r="I146">
        <v>0</v>
      </c>
      <c r="J146" s="92">
        <v>0</v>
      </c>
    </row>
    <row r="147" spans="1:10" x14ac:dyDescent="0.3">
      <c r="A147" s="92">
        <v>5400</v>
      </c>
      <c r="B147">
        <v>5400</v>
      </c>
      <c r="C147">
        <v>0</v>
      </c>
      <c r="D147">
        <v>0</v>
      </c>
      <c r="E147">
        <v>0</v>
      </c>
      <c r="F147">
        <v>0</v>
      </c>
      <c r="G147">
        <v>0</v>
      </c>
      <c r="H147">
        <v>0</v>
      </c>
      <c r="I147">
        <v>0</v>
      </c>
      <c r="J147" s="92">
        <v>0</v>
      </c>
    </row>
    <row r="148" spans="1:10" x14ac:dyDescent="0.3">
      <c r="A148" s="92">
        <v>5500</v>
      </c>
      <c r="B148">
        <v>5500</v>
      </c>
      <c r="C148">
        <v>0</v>
      </c>
      <c r="D148">
        <v>0</v>
      </c>
      <c r="E148">
        <v>0</v>
      </c>
      <c r="F148">
        <v>0</v>
      </c>
      <c r="G148">
        <v>0</v>
      </c>
      <c r="H148">
        <v>0</v>
      </c>
      <c r="I148">
        <v>0</v>
      </c>
      <c r="J148" s="92">
        <v>0</v>
      </c>
    </row>
    <row r="149" spans="1:10" x14ac:dyDescent="0.3">
      <c r="A149" s="92">
        <v>5600</v>
      </c>
      <c r="B149">
        <v>5600</v>
      </c>
      <c r="C149">
        <v>0</v>
      </c>
      <c r="D149">
        <v>0</v>
      </c>
      <c r="E149">
        <v>0</v>
      </c>
      <c r="F149">
        <v>0</v>
      </c>
      <c r="G149">
        <v>0</v>
      </c>
      <c r="H149">
        <v>0</v>
      </c>
      <c r="I149">
        <v>0</v>
      </c>
      <c r="J149" s="92">
        <v>0</v>
      </c>
    </row>
    <row r="150" spans="1:10" x14ac:dyDescent="0.3">
      <c r="A150" s="92">
        <v>5700</v>
      </c>
      <c r="B150">
        <v>5700</v>
      </c>
      <c r="C150">
        <v>0</v>
      </c>
      <c r="D150">
        <v>0</v>
      </c>
      <c r="E150">
        <v>3</v>
      </c>
      <c r="F150">
        <v>0</v>
      </c>
      <c r="G150">
        <v>0</v>
      </c>
      <c r="H150">
        <v>0</v>
      </c>
      <c r="I150">
        <v>0</v>
      </c>
      <c r="J150" s="92">
        <v>3</v>
      </c>
    </row>
    <row r="151" spans="1:10" x14ac:dyDescent="0.3">
      <c r="A151" s="92">
        <v>5800</v>
      </c>
      <c r="B151">
        <v>5800</v>
      </c>
      <c r="C151">
        <v>0</v>
      </c>
      <c r="D151">
        <v>0</v>
      </c>
      <c r="E151">
        <v>3</v>
      </c>
      <c r="F151">
        <v>0</v>
      </c>
      <c r="G151">
        <v>0</v>
      </c>
      <c r="H151">
        <v>0</v>
      </c>
      <c r="I151">
        <v>0</v>
      </c>
      <c r="J151" s="92">
        <v>3</v>
      </c>
    </row>
    <row r="152" spans="1:10" x14ac:dyDescent="0.3">
      <c r="A152" s="92">
        <v>5900</v>
      </c>
      <c r="B152">
        <v>5900</v>
      </c>
      <c r="C152">
        <v>0</v>
      </c>
      <c r="D152">
        <v>0</v>
      </c>
      <c r="E152">
        <v>0</v>
      </c>
      <c r="F152">
        <v>0</v>
      </c>
      <c r="G152">
        <v>0</v>
      </c>
      <c r="H152">
        <v>0</v>
      </c>
      <c r="I152">
        <v>0</v>
      </c>
      <c r="J152" s="92">
        <v>0</v>
      </c>
    </row>
    <row r="153" spans="1:10" x14ac:dyDescent="0.3">
      <c r="A153" s="92">
        <v>6000</v>
      </c>
      <c r="B153">
        <v>6000</v>
      </c>
      <c r="C153">
        <v>0</v>
      </c>
      <c r="D153">
        <v>0</v>
      </c>
      <c r="E153">
        <v>0</v>
      </c>
      <c r="F153">
        <v>0</v>
      </c>
      <c r="G153">
        <v>0</v>
      </c>
      <c r="H153">
        <v>0</v>
      </c>
      <c r="I153">
        <v>0</v>
      </c>
      <c r="J153" s="92">
        <v>0</v>
      </c>
    </row>
    <row r="154" spans="1:10" x14ac:dyDescent="0.3">
      <c r="A154" s="92">
        <v>7000</v>
      </c>
      <c r="B154">
        <v>7000</v>
      </c>
      <c r="C154">
        <v>0</v>
      </c>
      <c r="D154">
        <v>0</v>
      </c>
      <c r="E154">
        <v>0</v>
      </c>
      <c r="F154">
        <v>0</v>
      </c>
      <c r="G154">
        <v>0</v>
      </c>
      <c r="H154">
        <v>0</v>
      </c>
      <c r="I154">
        <v>0</v>
      </c>
      <c r="J154" s="92">
        <v>0</v>
      </c>
    </row>
    <row r="155" spans="1:10" x14ac:dyDescent="0.3">
      <c r="A155" s="92">
        <v>8000</v>
      </c>
      <c r="B155">
        <v>8000</v>
      </c>
      <c r="C155">
        <v>0</v>
      </c>
      <c r="D155">
        <v>0</v>
      </c>
      <c r="E155">
        <v>0</v>
      </c>
      <c r="F155">
        <v>0</v>
      </c>
      <c r="G155">
        <v>0</v>
      </c>
      <c r="H155">
        <v>0</v>
      </c>
      <c r="I155">
        <v>0</v>
      </c>
      <c r="J155" s="92">
        <v>0</v>
      </c>
    </row>
    <row r="156" spans="1:10" x14ac:dyDescent="0.3">
      <c r="A156" s="92">
        <v>9000</v>
      </c>
      <c r="B156">
        <v>9000</v>
      </c>
      <c r="C156">
        <v>0</v>
      </c>
      <c r="D156">
        <v>0</v>
      </c>
      <c r="E156">
        <v>0</v>
      </c>
      <c r="F156">
        <v>0</v>
      </c>
      <c r="G156">
        <v>0</v>
      </c>
      <c r="H156">
        <v>0</v>
      </c>
      <c r="I156">
        <v>0</v>
      </c>
      <c r="J156" s="92">
        <v>0</v>
      </c>
    </row>
    <row r="157" spans="1:10" x14ac:dyDescent="0.3">
      <c r="A157" t="s">
        <v>274</v>
      </c>
      <c r="B157">
        <v>10000</v>
      </c>
      <c r="C157">
        <v>0</v>
      </c>
      <c r="D157">
        <v>0</v>
      </c>
      <c r="E157">
        <v>0</v>
      </c>
      <c r="F157">
        <v>0</v>
      </c>
      <c r="G157">
        <v>0</v>
      </c>
      <c r="H157">
        <v>0</v>
      </c>
      <c r="I157">
        <v>0</v>
      </c>
      <c r="J157">
        <v>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EB733-9B69-42AF-8E84-890BC833E657}">
  <dimension ref="A1:J157"/>
  <sheetViews>
    <sheetView workbookViewId="0"/>
  </sheetViews>
  <sheetFormatPr baseColWidth="10" defaultColWidth="8.88671875" defaultRowHeight="14.4" x14ac:dyDescent="0.3"/>
  <sheetData>
    <row r="1" spans="1:10" x14ac:dyDescent="0.3">
      <c r="A1" s="101" t="s">
        <v>283</v>
      </c>
      <c r="B1" s="101" t="s">
        <v>255</v>
      </c>
      <c r="C1" s="101" t="s">
        <v>282</v>
      </c>
      <c r="D1" s="101" t="s">
        <v>281</v>
      </c>
      <c r="E1" s="101" t="s">
        <v>280</v>
      </c>
      <c r="F1" s="101" t="s">
        <v>279</v>
      </c>
      <c r="G1" s="101" t="s">
        <v>278</v>
      </c>
      <c r="H1" s="101" t="s">
        <v>277</v>
      </c>
      <c r="I1" s="101" t="s">
        <v>276</v>
      </c>
      <c r="J1" s="101" t="s">
        <v>275</v>
      </c>
    </row>
    <row r="2" spans="1:10" x14ac:dyDescent="0.3">
      <c r="A2" s="92">
        <v>1000</v>
      </c>
      <c r="B2">
        <v>1000</v>
      </c>
      <c r="C2">
        <v>0</v>
      </c>
      <c r="D2">
        <v>0</v>
      </c>
      <c r="E2">
        <v>1</v>
      </c>
      <c r="F2">
        <v>0</v>
      </c>
      <c r="G2">
        <v>0</v>
      </c>
      <c r="H2">
        <v>0</v>
      </c>
      <c r="I2">
        <v>0</v>
      </c>
      <c r="J2" s="92">
        <v>1</v>
      </c>
    </row>
    <row r="3" spans="1:10" x14ac:dyDescent="0.3">
      <c r="A3" s="92">
        <v>1100</v>
      </c>
      <c r="B3">
        <v>1100</v>
      </c>
      <c r="C3">
        <v>0</v>
      </c>
      <c r="D3">
        <v>0</v>
      </c>
      <c r="E3">
        <v>0</v>
      </c>
      <c r="F3">
        <v>0</v>
      </c>
      <c r="G3">
        <v>0</v>
      </c>
      <c r="H3">
        <v>0</v>
      </c>
      <c r="I3">
        <v>0</v>
      </c>
      <c r="J3" s="92">
        <v>0</v>
      </c>
    </row>
    <row r="4" spans="1:10" x14ac:dyDescent="0.3">
      <c r="A4" s="92">
        <v>1150</v>
      </c>
      <c r="B4">
        <v>1150</v>
      </c>
      <c r="C4">
        <v>0</v>
      </c>
      <c r="D4">
        <v>0</v>
      </c>
      <c r="E4">
        <v>774</v>
      </c>
      <c r="F4">
        <v>0</v>
      </c>
      <c r="G4">
        <v>0</v>
      </c>
      <c r="H4">
        <v>0</v>
      </c>
      <c r="I4">
        <v>0</v>
      </c>
      <c r="J4" s="92">
        <v>774</v>
      </c>
    </row>
    <row r="5" spans="1:10" x14ac:dyDescent="0.3">
      <c r="A5" s="92">
        <v>1200</v>
      </c>
      <c r="B5">
        <v>1200</v>
      </c>
      <c r="C5">
        <v>0</v>
      </c>
      <c r="D5">
        <v>0</v>
      </c>
      <c r="E5">
        <v>782</v>
      </c>
      <c r="F5">
        <v>0</v>
      </c>
      <c r="G5">
        <v>0</v>
      </c>
      <c r="H5">
        <v>0</v>
      </c>
      <c r="I5">
        <v>0</v>
      </c>
      <c r="J5" s="92">
        <v>782</v>
      </c>
    </row>
    <row r="6" spans="1:10" x14ac:dyDescent="0.3">
      <c r="A6" s="92">
        <v>1250</v>
      </c>
      <c r="B6">
        <v>1250</v>
      </c>
      <c r="C6">
        <v>0</v>
      </c>
      <c r="D6">
        <v>0</v>
      </c>
      <c r="E6">
        <v>41</v>
      </c>
      <c r="F6">
        <v>0</v>
      </c>
      <c r="G6">
        <v>0</v>
      </c>
      <c r="H6">
        <v>0</v>
      </c>
      <c r="I6">
        <v>0</v>
      </c>
      <c r="J6" s="92">
        <v>41</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2</v>
      </c>
      <c r="F10">
        <v>0</v>
      </c>
      <c r="G10">
        <v>0</v>
      </c>
      <c r="H10">
        <v>0</v>
      </c>
      <c r="I10">
        <v>0</v>
      </c>
      <c r="J10" s="92">
        <v>2</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275</v>
      </c>
      <c r="F12">
        <v>0</v>
      </c>
      <c r="G12">
        <v>0</v>
      </c>
      <c r="H12">
        <v>0</v>
      </c>
      <c r="I12">
        <v>0</v>
      </c>
      <c r="J12" s="92">
        <v>275</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400</v>
      </c>
      <c r="F14">
        <v>0</v>
      </c>
      <c r="G14">
        <v>0</v>
      </c>
      <c r="H14">
        <v>0</v>
      </c>
      <c r="I14">
        <v>0</v>
      </c>
      <c r="J14" s="92">
        <v>400</v>
      </c>
    </row>
    <row r="15" spans="1:10" x14ac:dyDescent="0.3">
      <c r="A15" s="92">
        <v>1800</v>
      </c>
      <c r="B15">
        <v>1800</v>
      </c>
      <c r="C15">
        <v>0</v>
      </c>
      <c r="D15">
        <v>0</v>
      </c>
      <c r="E15">
        <v>50</v>
      </c>
      <c r="F15">
        <v>0</v>
      </c>
      <c r="G15">
        <v>0</v>
      </c>
      <c r="H15">
        <v>0</v>
      </c>
      <c r="I15">
        <v>0</v>
      </c>
      <c r="J15" s="92">
        <v>50</v>
      </c>
    </row>
    <row r="16" spans="1:10" x14ac:dyDescent="0.3">
      <c r="A16" s="92">
        <v>1900</v>
      </c>
      <c r="B16">
        <v>1900</v>
      </c>
      <c r="C16">
        <v>0</v>
      </c>
      <c r="D16">
        <v>0</v>
      </c>
      <c r="E16">
        <v>4018</v>
      </c>
      <c r="F16">
        <v>0</v>
      </c>
      <c r="G16">
        <v>0</v>
      </c>
      <c r="H16">
        <v>0</v>
      </c>
      <c r="I16">
        <v>0</v>
      </c>
      <c r="J16" s="92">
        <v>4018</v>
      </c>
    </row>
    <row r="17" spans="1:10" x14ac:dyDescent="0.3">
      <c r="A17" s="92">
        <v>1950</v>
      </c>
      <c r="B17">
        <v>1950</v>
      </c>
      <c r="C17">
        <v>0</v>
      </c>
      <c r="D17">
        <v>0</v>
      </c>
      <c r="E17">
        <v>110</v>
      </c>
      <c r="F17">
        <v>0</v>
      </c>
      <c r="G17">
        <v>0</v>
      </c>
      <c r="H17">
        <v>0</v>
      </c>
      <c r="I17">
        <v>0</v>
      </c>
      <c r="J17" s="92">
        <v>110</v>
      </c>
    </row>
    <row r="18" spans="1:10" x14ac:dyDescent="0.3">
      <c r="A18" s="92">
        <v>2000</v>
      </c>
      <c r="B18">
        <v>2000</v>
      </c>
      <c r="C18">
        <v>0</v>
      </c>
      <c r="D18">
        <v>0</v>
      </c>
      <c r="E18">
        <v>10</v>
      </c>
      <c r="F18">
        <v>0</v>
      </c>
      <c r="G18">
        <v>0</v>
      </c>
      <c r="H18">
        <v>0</v>
      </c>
      <c r="I18">
        <v>0</v>
      </c>
      <c r="J18" s="92">
        <v>10</v>
      </c>
    </row>
    <row r="19" spans="1:10" x14ac:dyDescent="0.3">
      <c r="A19" s="92">
        <v>2050</v>
      </c>
      <c r="B19">
        <v>2050</v>
      </c>
      <c r="C19">
        <v>0</v>
      </c>
      <c r="D19">
        <v>0</v>
      </c>
      <c r="E19">
        <v>726</v>
      </c>
      <c r="F19">
        <v>0</v>
      </c>
      <c r="G19">
        <v>0</v>
      </c>
      <c r="H19">
        <v>0</v>
      </c>
      <c r="I19">
        <v>0</v>
      </c>
      <c r="J19" s="92">
        <v>726</v>
      </c>
    </row>
    <row r="20" spans="1:10" x14ac:dyDescent="0.3">
      <c r="A20" s="92">
        <v>2100</v>
      </c>
      <c r="B20">
        <v>2100</v>
      </c>
      <c r="C20">
        <v>0</v>
      </c>
      <c r="D20">
        <v>0</v>
      </c>
      <c r="E20">
        <v>531</v>
      </c>
      <c r="F20">
        <v>0</v>
      </c>
      <c r="G20">
        <v>0</v>
      </c>
      <c r="H20">
        <v>0</v>
      </c>
      <c r="I20">
        <v>0</v>
      </c>
      <c r="J20" s="92">
        <v>531</v>
      </c>
    </row>
    <row r="21" spans="1:10" x14ac:dyDescent="0.3">
      <c r="A21" s="92">
        <v>2150</v>
      </c>
      <c r="B21">
        <v>2150</v>
      </c>
      <c r="C21">
        <v>0</v>
      </c>
      <c r="D21">
        <v>0</v>
      </c>
      <c r="E21">
        <v>9</v>
      </c>
      <c r="F21">
        <v>0</v>
      </c>
      <c r="G21">
        <v>0</v>
      </c>
      <c r="H21">
        <v>0</v>
      </c>
      <c r="I21">
        <v>0</v>
      </c>
      <c r="J21" s="92">
        <v>9</v>
      </c>
    </row>
    <row r="22" spans="1:10" x14ac:dyDescent="0.3">
      <c r="A22" s="92">
        <v>2200</v>
      </c>
      <c r="B22">
        <v>2200</v>
      </c>
      <c r="C22">
        <v>0</v>
      </c>
      <c r="D22">
        <v>0</v>
      </c>
      <c r="E22">
        <v>146</v>
      </c>
      <c r="F22">
        <v>0</v>
      </c>
      <c r="G22">
        <v>0</v>
      </c>
      <c r="H22">
        <v>0</v>
      </c>
      <c r="I22">
        <v>0</v>
      </c>
      <c r="J22" s="92">
        <v>146</v>
      </c>
    </row>
    <row r="23" spans="1:10" x14ac:dyDescent="0.3">
      <c r="A23" s="92">
        <v>2250</v>
      </c>
      <c r="B23">
        <v>2250</v>
      </c>
      <c r="C23">
        <v>0</v>
      </c>
      <c r="D23">
        <v>0</v>
      </c>
      <c r="E23">
        <v>112</v>
      </c>
      <c r="F23">
        <v>0</v>
      </c>
      <c r="G23">
        <v>0</v>
      </c>
      <c r="H23">
        <v>0</v>
      </c>
      <c r="I23">
        <v>0</v>
      </c>
      <c r="J23" s="92">
        <v>112</v>
      </c>
    </row>
    <row r="24" spans="1:10" x14ac:dyDescent="0.3">
      <c r="A24" s="92">
        <v>2275</v>
      </c>
      <c r="B24">
        <v>2275</v>
      </c>
      <c r="C24">
        <v>0</v>
      </c>
      <c r="D24">
        <v>0</v>
      </c>
      <c r="E24">
        <v>0</v>
      </c>
      <c r="F24">
        <v>0</v>
      </c>
      <c r="G24">
        <v>0</v>
      </c>
      <c r="H24">
        <v>0</v>
      </c>
      <c r="I24">
        <v>0</v>
      </c>
      <c r="J24" s="92">
        <v>0</v>
      </c>
    </row>
    <row r="25" spans="1:10" x14ac:dyDescent="0.3">
      <c r="A25" s="92">
        <v>2300</v>
      </c>
      <c r="B25">
        <v>2300</v>
      </c>
      <c r="C25">
        <v>0</v>
      </c>
      <c r="D25">
        <v>0</v>
      </c>
      <c r="E25">
        <v>217</v>
      </c>
      <c r="F25">
        <v>0</v>
      </c>
      <c r="G25">
        <v>0</v>
      </c>
      <c r="H25">
        <v>0</v>
      </c>
      <c r="I25">
        <v>0</v>
      </c>
      <c r="J25" s="92">
        <v>217</v>
      </c>
    </row>
    <row r="26" spans="1:10" x14ac:dyDescent="0.3">
      <c r="A26" s="92">
        <v>2325</v>
      </c>
      <c r="B26">
        <v>2325</v>
      </c>
      <c r="C26">
        <v>0</v>
      </c>
      <c r="D26">
        <v>0</v>
      </c>
      <c r="E26">
        <v>42</v>
      </c>
      <c r="F26">
        <v>0</v>
      </c>
      <c r="G26">
        <v>0</v>
      </c>
      <c r="H26">
        <v>0</v>
      </c>
      <c r="I26">
        <v>0</v>
      </c>
      <c r="J26" s="92">
        <v>42</v>
      </c>
    </row>
    <row r="27" spans="1:10" x14ac:dyDescent="0.3">
      <c r="A27" s="92">
        <v>2350</v>
      </c>
      <c r="B27">
        <v>2350</v>
      </c>
      <c r="C27">
        <v>0</v>
      </c>
      <c r="D27">
        <v>0</v>
      </c>
      <c r="E27">
        <v>61</v>
      </c>
      <c r="F27">
        <v>0</v>
      </c>
      <c r="G27">
        <v>0</v>
      </c>
      <c r="H27">
        <v>0</v>
      </c>
      <c r="I27">
        <v>0</v>
      </c>
      <c r="J27" s="92">
        <v>61</v>
      </c>
    </row>
    <row r="28" spans="1:10" x14ac:dyDescent="0.3">
      <c r="A28" s="92">
        <v>2375</v>
      </c>
      <c r="B28">
        <v>2375</v>
      </c>
      <c r="C28">
        <v>0</v>
      </c>
      <c r="D28">
        <v>0</v>
      </c>
      <c r="E28">
        <v>101</v>
      </c>
      <c r="F28">
        <v>0</v>
      </c>
      <c r="G28">
        <v>0</v>
      </c>
      <c r="H28">
        <v>0</v>
      </c>
      <c r="I28">
        <v>0</v>
      </c>
      <c r="J28" s="92">
        <v>101</v>
      </c>
    </row>
    <row r="29" spans="1:10" x14ac:dyDescent="0.3">
      <c r="A29" s="92">
        <v>2400</v>
      </c>
      <c r="B29">
        <v>2400</v>
      </c>
      <c r="C29">
        <v>0</v>
      </c>
      <c r="D29">
        <v>0</v>
      </c>
      <c r="E29">
        <v>249</v>
      </c>
      <c r="F29">
        <v>0</v>
      </c>
      <c r="G29">
        <v>0</v>
      </c>
      <c r="H29">
        <v>0</v>
      </c>
      <c r="I29">
        <v>0</v>
      </c>
      <c r="J29" s="92">
        <v>249</v>
      </c>
    </row>
    <row r="30" spans="1:10" x14ac:dyDescent="0.3">
      <c r="A30" s="92">
        <v>2425</v>
      </c>
      <c r="B30">
        <v>2425</v>
      </c>
      <c r="C30">
        <v>0</v>
      </c>
      <c r="D30">
        <v>0</v>
      </c>
      <c r="E30">
        <v>50</v>
      </c>
      <c r="F30">
        <v>0</v>
      </c>
      <c r="G30">
        <v>0</v>
      </c>
      <c r="H30">
        <v>0</v>
      </c>
      <c r="I30">
        <v>0</v>
      </c>
      <c r="J30" s="92">
        <v>50</v>
      </c>
    </row>
    <row r="31" spans="1:10" x14ac:dyDescent="0.3">
      <c r="A31" s="92">
        <v>2450</v>
      </c>
      <c r="B31">
        <v>2450</v>
      </c>
      <c r="C31">
        <v>0</v>
      </c>
      <c r="D31">
        <v>0</v>
      </c>
      <c r="E31">
        <v>1855</v>
      </c>
      <c r="F31">
        <v>0</v>
      </c>
      <c r="G31">
        <v>0</v>
      </c>
      <c r="H31">
        <v>0</v>
      </c>
      <c r="I31">
        <v>0</v>
      </c>
      <c r="J31" s="92">
        <v>1855</v>
      </c>
    </row>
    <row r="32" spans="1:10" x14ac:dyDescent="0.3">
      <c r="A32" s="92">
        <v>2475</v>
      </c>
      <c r="B32">
        <v>2475</v>
      </c>
      <c r="C32">
        <v>0</v>
      </c>
      <c r="D32">
        <v>0</v>
      </c>
      <c r="E32">
        <v>55</v>
      </c>
      <c r="F32">
        <v>0</v>
      </c>
      <c r="G32">
        <v>0</v>
      </c>
      <c r="H32">
        <v>0</v>
      </c>
      <c r="I32">
        <v>0</v>
      </c>
      <c r="J32" s="92">
        <v>55</v>
      </c>
    </row>
    <row r="33" spans="1:10" x14ac:dyDescent="0.3">
      <c r="A33" s="92">
        <v>2500</v>
      </c>
      <c r="B33">
        <v>2500</v>
      </c>
      <c r="C33">
        <v>0</v>
      </c>
      <c r="D33">
        <v>0</v>
      </c>
      <c r="E33">
        <v>1419</v>
      </c>
      <c r="F33">
        <v>0</v>
      </c>
      <c r="G33">
        <v>0</v>
      </c>
      <c r="H33">
        <v>0</v>
      </c>
      <c r="I33">
        <v>0</v>
      </c>
      <c r="J33" s="92">
        <v>1419</v>
      </c>
    </row>
    <row r="34" spans="1:10" x14ac:dyDescent="0.3">
      <c r="A34" s="92">
        <v>2525</v>
      </c>
      <c r="B34">
        <v>2525</v>
      </c>
      <c r="C34">
        <v>0</v>
      </c>
      <c r="D34">
        <v>0</v>
      </c>
      <c r="E34">
        <v>2</v>
      </c>
      <c r="F34">
        <v>0</v>
      </c>
      <c r="G34">
        <v>0</v>
      </c>
      <c r="H34">
        <v>0</v>
      </c>
      <c r="I34">
        <v>0</v>
      </c>
      <c r="J34" s="92">
        <v>2</v>
      </c>
    </row>
    <row r="35" spans="1:10" x14ac:dyDescent="0.3">
      <c r="A35" s="92">
        <v>2550</v>
      </c>
      <c r="B35">
        <v>2550</v>
      </c>
      <c r="C35">
        <v>0</v>
      </c>
      <c r="D35">
        <v>0</v>
      </c>
      <c r="E35">
        <v>116</v>
      </c>
      <c r="F35">
        <v>0</v>
      </c>
      <c r="G35">
        <v>0</v>
      </c>
      <c r="H35">
        <v>0</v>
      </c>
      <c r="I35">
        <v>0</v>
      </c>
      <c r="J35" s="92">
        <v>116</v>
      </c>
    </row>
    <row r="36" spans="1:10" x14ac:dyDescent="0.3">
      <c r="A36" s="92">
        <v>2575</v>
      </c>
      <c r="B36">
        <v>2575</v>
      </c>
      <c r="C36">
        <v>0</v>
      </c>
      <c r="D36">
        <v>0</v>
      </c>
      <c r="E36">
        <v>170</v>
      </c>
      <c r="F36">
        <v>0</v>
      </c>
      <c r="G36">
        <v>0</v>
      </c>
      <c r="H36">
        <v>0</v>
      </c>
      <c r="I36">
        <v>0</v>
      </c>
      <c r="J36" s="92">
        <v>170</v>
      </c>
    </row>
    <row r="37" spans="1:10" x14ac:dyDescent="0.3">
      <c r="A37" s="92">
        <v>2600</v>
      </c>
      <c r="B37">
        <v>2600</v>
      </c>
      <c r="C37">
        <v>0</v>
      </c>
      <c r="D37">
        <v>0</v>
      </c>
      <c r="E37">
        <v>9060</v>
      </c>
      <c r="F37">
        <v>0</v>
      </c>
      <c r="G37">
        <v>0</v>
      </c>
      <c r="H37">
        <v>0</v>
      </c>
      <c r="I37">
        <v>0</v>
      </c>
      <c r="J37" s="92">
        <v>9060</v>
      </c>
    </row>
    <row r="38" spans="1:10" x14ac:dyDescent="0.3">
      <c r="A38" s="92">
        <v>2625</v>
      </c>
      <c r="B38">
        <v>2625</v>
      </c>
      <c r="C38">
        <v>0</v>
      </c>
      <c r="D38">
        <v>0</v>
      </c>
      <c r="E38">
        <v>1</v>
      </c>
      <c r="F38">
        <v>0</v>
      </c>
      <c r="G38">
        <v>0</v>
      </c>
      <c r="H38">
        <v>0</v>
      </c>
      <c r="I38">
        <v>0</v>
      </c>
      <c r="J38" s="92">
        <v>1</v>
      </c>
    </row>
    <row r="39" spans="1:10" x14ac:dyDescent="0.3">
      <c r="A39" s="92">
        <v>2650</v>
      </c>
      <c r="B39">
        <v>2650</v>
      </c>
      <c r="C39">
        <v>0</v>
      </c>
      <c r="D39">
        <v>0</v>
      </c>
      <c r="E39">
        <v>18</v>
      </c>
      <c r="F39">
        <v>0</v>
      </c>
      <c r="G39">
        <v>0</v>
      </c>
      <c r="H39">
        <v>0</v>
      </c>
      <c r="I39">
        <v>0</v>
      </c>
      <c r="J39" s="92">
        <v>18</v>
      </c>
    </row>
    <row r="40" spans="1:10" x14ac:dyDescent="0.3">
      <c r="A40" s="92">
        <v>2675</v>
      </c>
      <c r="B40">
        <v>2675</v>
      </c>
      <c r="C40">
        <v>0</v>
      </c>
      <c r="D40">
        <v>0</v>
      </c>
      <c r="E40">
        <v>72</v>
      </c>
      <c r="F40">
        <v>0</v>
      </c>
      <c r="G40">
        <v>0</v>
      </c>
      <c r="H40">
        <v>0</v>
      </c>
      <c r="I40">
        <v>0</v>
      </c>
      <c r="J40" s="92">
        <v>72</v>
      </c>
    </row>
    <row r="41" spans="1:10" x14ac:dyDescent="0.3">
      <c r="A41" s="92">
        <v>2700</v>
      </c>
      <c r="B41">
        <v>2700</v>
      </c>
      <c r="C41">
        <v>0</v>
      </c>
      <c r="D41">
        <v>0</v>
      </c>
      <c r="E41">
        <v>442</v>
      </c>
      <c r="F41">
        <v>0</v>
      </c>
      <c r="G41">
        <v>0</v>
      </c>
      <c r="H41">
        <v>0</v>
      </c>
      <c r="I41">
        <v>0</v>
      </c>
      <c r="J41" s="92">
        <v>442</v>
      </c>
    </row>
    <row r="42" spans="1:10" x14ac:dyDescent="0.3">
      <c r="A42" s="92">
        <v>2725</v>
      </c>
      <c r="B42">
        <v>2725</v>
      </c>
      <c r="C42">
        <v>0</v>
      </c>
      <c r="D42">
        <v>0</v>
      </c>
      <c r="E42">
        <v>10</v>
      </c>
      <c r="F42">
        <v>0</v>
      </c>
      <c r="G42">
        <v>0</v>
      </c>
      <c r="H42">
        <v>0</v>
      </c>
      <c r="I42">
        <v>0</v>
      </c>
      <c r="J42" s="92">
        <v>10</v>
      </c>
    </row>
    <row r="43" spans="1:10" x14ac:dyDescent="0.3">
      <c r="A43" s="92">
        <v>2750</v>
      </c>
      <c r="B43">
        <v>2750</v>
      </c>
      <c r="C43">
        <v>0</v>
      </c>
      <c r="D43">
        <v>0</v>
      </c>
      <c r="E43">
        <v>67</v>
      </c>
      <c r="F43">
        <v>0</v>
      </c>
      <c r="G43">
        <v>0</v>
      </c>
      <c r="H43">
        <v>0</v>
      </c>
      <c r="I43">
        <v>0</v>
      </c>
      <c r="J43" s="92">
        <v>67</v>
      </c>
    </row>
    <row r="44" spans="1:10" x14ac:dyDescent="0.3">
      <c r="A44" s="92">
        <v>2775</v>
      </c>
      <c r="B44">
        <v>2775</v>
      </c>
      <c r="C44">
        <v>0</v>
      </c>
      <c r="D44">
        <v>0</v>
      </c>
      <c r="E44">
        <v>522</v>
      </c>
      <c r="F44">
        <v>0</v>
      </c>
      <c r="G44">
        <v>0</v>
      </c>
      <c r="H44">
        <v>0</v>
      </c>
      <c r="I44">
        <v>0</v>
      </c>
      <c r="J44" s="92">
        <v>522</v>
      </c>
    </row>
    <row r="45" spans="1:10" x14ac:dyDescent="0.3">
      <c r="A45" s="92">
        <v>2800</v>
      </c>
      <c r="B45">
        <v>2800</v>
      </c>
      <c r="C45">
        <v>0</v>
      </c>
      <c r="D45">
        <v>0</v>
      </c>
      <c r="E45">
        <v>2650</v>
      </c>
      <c r="F45">
        <v>0</v>
      </c>
      <c r="G45">
        <v>0</v>
      </c>
      <c r="H45">
        <v>0</v>
      </c>
      <c r="I45">
        <v>0</v>
      </c>
      <c r="J45" s="92">
        <v>2650</v>
      </c>
    </row>
    <row r="46" spans="1:10" x14ac:dyDescent="0.3">
      <c r="A46" s="92">
        <v>2825</v>
      </c>
      <c r="B46">
        <v>2825</v>
      </c>
      <c r="C46">
        <v>0</v>
      </c>
      <c r="D46">
        <v>4</v>
      </c>
      <c r="E46">
        <v>34</v>
      </c>
      <c r="F46">
        <v>0.5</v>
      </c>
      <c r="G46">
        <v>0.5</v>
      </c>
      <c r="H46">
        <v>0.5</v>
      </c>
      <c r="I46">
        <v>0.5</v>
      </c>
      <c r="J46" s="92">
        <v>34</v>
      </c>
    </row>
    <row r="47" spans="1:10" x14ac:dyDescent="0.3">
      <c r="A47" s="92">
        <v>2850</v>
      </c>
      <c r="B47">
        <v>2850</v>
      </c>
      <c r="C47">
        <v>0</v>
      </c>
      <c r="D47">
        <v>1</v>
      </c>
      <c r="E47">
        <v>1144</v>
      </c>
      <c r="F47">
        <v>0</v>
      </c>
      <c r="G47">
        <v>0</v>
      </c>
      <c r="H47">
        <v>0</v>
      </c>
      <c r="I47">
        <v>0</v>
      </c>
      <c r="J47" s="92">
        <v>1144</v>
      </c>
    </row>
    <row r="48" spans="1:10" x14ac:dyDescent="0.3">
      <c r="A48" s="92">
        <v>2875</v>
      </c>
      <c r="B48">
        <v>2875</v>
      </c>
      <c r="C48">
        <v>0</v>
      </c>
      <c r="D48">
        <v>0</v>
      </c>
      <c r="E48">
        <v>107</v>
      </c>
      <c r="F48">
        <v>0</v>
      </c>
      <c r="G48">
        <v>0</v>
      </c>
      <c r="H48">
        <v>0</v>
      </c>
      <c r="I48">
        <v>0</v>
      </c>
      <c r="J48" s="92">
        <v>107</v>
      </c>
    </row>
    <row r="49" spans="1:10" x14ac:dyDescent="0.3">
      <c r="A49" s="92">
        <v>2900</v>
      </c>
      <c r="B49">
        <v>2900</v>
      </c>
      <c r="C49">
        <v>0</v>
      </c>
      <c r="D49">
        <v>0</v>
      </c>
      <c r="E49">
        <v>3403</v>
      </c>
      <c r="F49">
        <v>0</v>
      </c>
      <c r="G49">
        <v>0</v>
      </c>
      <c r="H49">
        <v>0</v>
      </c>
      <c r="I49">
        <v>0</v>
      </c>
      <c r="J49" s="92">
        <v>3403</v>
      </c>
    </row>
    <row r="50" spans="1:10" x14ac:dyDescent="0.3">
      <c r="A50" s="92">
        <v>2925</v>
      </c>
      <c r="B50">
        <v>2925</v>
      </c>
      <c r="C50">
        <v>0</v>
      </c>
      <c r="D50">
        <v>656</v>
      </c>
      <c r="E50">
        <v>1321</v>
      </c>
      <c r="F50">
        <v>0.6</v>
      </c>
      <c r="G50">
        <v>0.6</v>
      </c>
      <c r="H50">
        <v>0.5</v>
      </c>
      <c r="I50">
        <v>0.5</v>
      </c>
      <c r="J50" s="92">
        <v>1321</v>
      </c>
    </row>
    <row r="51" spans="1:10" x14ac:dyDescent="0.3">
      <c r="A51" s="92">
        <v>2950</v>
      </c>
      <c r="B51">
        <v>2950</v>
      </c>
      <c r="C51">
        <v>0</v>
      </c>
      <c r="D51">
        <v>0</v>
      </c>
      <c r="E51">
        <v>481</v>
      </c>
      <c r="F51">
        <v>0</v>
      </c>
      <c r="G51">
        <v>0</v>
      </c>
      <c r="H51">
        <v>0</v>
      </c>
      <c r="I51">
        <v>0</v>
      </c>
      <c r="J51" s="92">
        <v>481</v>
      </c>
    </row>
    <row r="52" spans="1:10" x14ac:dyDescent="0.3">
      <c r="A52" s="92">
        <v>2975</v>
      </c>
      <c r="B52">
        <v>2975</v>
      </c>
      <c r="C52">
        <v>0</v>
      </c>
      <c r="D52">
        <v>0</v>
      </c>
      <c r="E52">
        <v>1219</v>
      </c>
      <c r="F52">
        <v>0</v>
      </c>
      <c r="G52">
        <v>0</v>
      </c>
      <c r="H52">
        <v>0</v>
      </c>
      <c r="I52">
        <v>0</v>
      </c>
      <c r="J52" s="92">
        <v>1219</v>
      </c>
    </row>
    <row r="53" spans="1:10" x14ac:dyDescent="0.3">
      <c r="A53" s="92">
        <v>3000</v>
      </c>
      <c r="B53">
        <v>3000</v>
      </c>
      <c r="C53">
        <v>0</v>
      </c>
      <c r="D53">
        <v>2002</v>
      </c>
      <c r="E53">
        <v>6309</v>
      </c>
      <c r="F53">
        <v>0.8</v>
      </c>
      <c r="G53">
        <v>0.9</v>
      </c>
      <c r="H53">
        <v>0.7</v>
      </c>
      <c r="I53">
        <v>0.8</v>
      </c>
      <c r="J53" s="92">
        <v>6309</v>
      </c>
    </row>
    <row r="54" spans="1:10" x14ac:dyDescent="0.3">
      <c r="A54" s="92">
        <v>3025</v>
      </c>
      <c r="B54">
        <v>3025</v>
      </c>
      <c r="C54">
        <v>0</v>
      </c>
      <c r="D54">
        <v>0</v>
      </c>
      <c r="E54">
        <v>1065</v>
      </c>
      <c r="F54">
        <v>0</v>
      </c>
      <c r="G54">
        <v>0</v>
      </c>
      <c r="H54">
        <v>0</v>
      </c>
      <c r="I54">
        <v>0</v>
      </c>
      <c r="J54" s="92">
        <v>1065</v>
      </c>
    </row>
    <row r="55" spans="1:10" x14ac:dyDescent="0.3">
      <c r="A55" s="92">
        <v>3050</v>
      </c>
      <c r="B55">
        <v>3050</v>
      </c>
      <c r="C55">
        <v>0</v>
      </c>
      <c r="D55">
        <v>0</v>
      </c>
      <c r="E55">
        <v>640</v>
      </c>
      <c r="F55">
        <v>0</v>
      </c>
      <c r="G55">
        <v>0</v>
      </c>
      <c r="H55">
        <v>0</v>
      </c>
      <c r="I55">
        <v>0</v>
      </c>
      <c r="J55" s="92">
        <v>640</v>
      </c>
    </row>
    <row r="56" spans="1:10" x14ac:dyDescent="0.3">
      <c r="A56" s="92">
        <v>3075</v>
      </c>
      <c r="B56">
        <v>3075</v>
      </c>
      <c r="C56">
        <v>0</v>
      </c>
      <c r="D56">
        <v>0</v>
      </c>
      <c r="E56">
        <v>511</v>
      </c>
      <c r="F56">
        <v>0</v>
      </c>
      <c r="G56">
        <v>0</v>
      </c>
      <c r="H56">
        <v>0</v>
      </c>
      <c r="I56">
        <v>0</v>
      </c>
      <c r="J56" s="92">
        <v>511</v>
      </c>
    </row>
    <row r="57" spans="1:10" x14ac:dyDescent="0.3">
      <c r="A57" s="92">
        <v>3100</v>
      </c>
      <c r="B57">
        <v>3100</v>
      </c>
      <c r="C57">
        <v>0</v>
      </c>
      <c r="D57">
        <v>0</v>
      </c>
      <c r="E57">
        <v>6625</v>
      </c>
      <c r="F57">
        <v>0</v>
      </c>
      <c r="G57">
        <v>0</v>
      </c>
      <c r="H57">
        <v>0</v>
      </c>
      <c r="I57">
        <v>0</v>
      </c>
      <c r="J57" s="92">
        <v>6625</v>
      </c>
    </row>
    <row r="58" spans="1:10" x14ac:dyDescent="0.3">
      <c r="A58" s="92">
        <v>3125</v>
      </c>
      <c r="B58">
        <v>3125</v>
      </c>
      <c r="C58">
        <v>0</v>
      </c>
      <c r="D58">
        <v>0</v>
      </c>
      <c r="E58">
        <v>10138</v>
      </c>
      <c r="F58">
        <v>0</v>
      </c>
      <c r="G58">
        <v>0</v>
      </c>
      <c r="H58">
        <v>0</v>
      </c>
      <c r="I58">
        <v>0</v>
      </c>
      <c r="J58" s="92">
        <v>10138</v>
      </c>
    </row>
    <row r="59" spans="1:10" x14ac:dyDescent="0.3">
      <c r="A59" s="92">
        <v>3150</v>
      </c>
      <c r="B59">
        <v>3150</v>
      </c>
      <c r="C59">
        <v>0</v>
      </c>
      <c r="D59">
        <v>0</v>
      </c>
      <c r="E59">
        <v>1219</v>
      </c>
      <c r="F59">
        <v>0</v>
      </c>
      <c r="G59">
        <v>0</v>
      </c>
      <c r="H59">
        <v>0</v>
      </c>
      <c r="I59">
        <v>0</v>
      </c>
      <c r="J59" s="92">
        <v>1219</v>
      </c>
    </row>
    <row r="60" spans="1:10" x14ac:dyDescent="0.3">
      <c r="A60" s="92">
        <v>3175</v>
      </c>
      <c r="B60">
        <v>3175</v>
      </c>
      <c r="C60">
        <v>0</v>
      </c>
      <c r="D60">
        <v>20</v>
      </c>
      <c r="E60">
        <v>269</v>
      </c>
      <c r="F60">
        <v>1.2</v>
      </c>
      <c r="G60">
        <v>1.2</v>
      </c>
      <c r="H60">
        <v>1.2</v>
      </c>
      <c r="I60">
        <v>1.2</v>
      </c>
      <c r="J60" s="92">
        <v>269</v>
      </c>
    </row>
    <row r="61" spans="1:10" x14ac:dyDescent="0.3">
      <c r="A61" s="92">
        <v>3200</v>
      </c>
      <c r="B61">
        <v>3200</v>
      </c>
      <c r="C61">
        <v>0</v>
      </c>
      <c r="D61">
        <v>140</v>
      </c>
      <c r="E61">
        <v>10475</v>
      </c>
      <c r="F61">
        <v>1.6</v>
      </c>
      <c r="G61">
        <v>1.6</v>
      </c>
      <c r="H61">
        <v>1.6</v>
      </c>
      <c r="I61">
        <v>1.6</v>
      </c>
      <c r="J61" s="92">
        <v>10475</v>
      </c>
    </row>
    <row r="62" spans="1:10" x14ac:dyDescent="0.3">
      <c r="A62" s="92">
        <v>3225</v>
      </c>
      <c r="B62">
        <v>3225</v>
      </c>
      <c r="C62">
        <v>0</v>
      </c>
      <c r="D62">
        <v>0</v>
      </c>
      <c r="E62">
        <v>1541</v>
      </c>
      <c r="F62">
        <v>0</v>
      </c>
      <c r="G62">
        <v>0</v>
      </c>
      <c r="H62">
        <v>0</v>
      </c>
      <c r="I62">
        <v>0</v>
      </c>
      <c r="J62" s="92">
        <v>1541</v>
      </c>
    </row>
    <row r="63" spans="1:10" x14ac:dyDescent="0.3">
      <c r="A63" s="92">
        <v>3250</v>
      </c>
      <c r="B63">
        <v>3250</v>
      </c>
      <c r="C63">
        <v>0</v>
      </c>
      <c r="D63">
        <v>0</v>
      </c>
      <c r="E63">
        <v>2170</v>
      </c>
      <c r="F63">
        <v>0</v>
      </c>
      <c r="G63">
        <v>0</v>
      </c>
      <c r="H63">
        <v>0</v>
      </c>
      <c r="I63">
        <v>0</v>
      </c>
      <c r="J63" s="92">
        <v>2170</v>
      </c>
    </row>
    <row r="64" spans="1:10" x14ac:dyDescent="0.3">
      <c r="A64" s="92">
        <v>3275</v>
      </c>
      <c r="B64">
        <v>3275</v>
      </c>
      <c r="C64">
        <v>0</v>
      </c>
      <c r="D64">
        <v>463</v>
      </c>
      <c r="E64">
        <v>2786</v>
      </c>
      <c r="F64">
        <v>0</v>
      </c>
      <c r="G64">
        <v>0</v>
      </c>
      <c r="H64">
        <v>0</v>
      </c>
      <c r="I64">
        <v>0</v>
      </c>
      <c r="J64" s="92">
        <v>2786</v>
      </c>
    </row>
    <row r="65" spans="1:10" x14ac:dyDescent="0.3">
      <c r="A65" s="92">
        <v>3300</v>
      </c>
      <c r="B65">
        <v>3300</v>
      </c>
      <c r="C65">
        <v>0</v>
      </c>
      <c r="D65">
        <v>10</v>
      </c>
      <c r="E65">
        <v>3389</v>
      </c>
      <c r="F65">
        <v>2.1</v>
      </c>
      <c r="G65">
        <v>2.1</v>
      </c>
      <c r="H65">
        <v>2.1</v>
      </c>
      <c r="I65">
        <v>2.1</v>
      </c>
      <c r="J65" s="92">
        <v>3389</v>
      </c>
    </row>
    <row r="66" spans="1:10" x14ac:dyDescent="0.3">
      <c r="A66" s="92">
        <v>3325</v>
      </c>
      <c r="B66">
        <v>3325</v>
      </c>
      <c r="C66">
        <v>0</v>
      </c>
      <c r="D66">
        <v>0</v>
      </c>
      <c r="E66">
        <v>1148</v>
      </c>
      <c r="F66">
        <v>0</v>
      </c>
      <c r="G66">
        <v>0</v>
      </c>
      <c r="H66">
        <v>0</v>
      </c>
      <c r="I66">
        <v>0</v>
      </c>
      <c r="J66" s="92">
        <v>1148</v>
      </c>
    </row>
    <row r="67" spans="1:10" x14ac:dyDescent="0.3">
      <c r="A67" s="92">
        <v>3350</v>
      </c>
      <c r="B67">
        <v>3350</v>
      </c>
      <c r="C67">
        <v>0</v>
      </c>
      <c r="D67">
        <v>0</v>
      </c>
      <c r="E67">
        <v>1035</v>
      </c>
      <c r="F67">
        <v>0</v>
      </c>
      <c r="G67">
        <v>0</v>
      </c>
      <c r="H67">
        <v>0</v>
      </c>
      <c r="I67">
        <v>0</v>
      </c>
      <c r="J67" s="92">
        <v>1035</v>
      </c>
    </row>
    <row r="68" spans="1:10" x14ac:dyDescent="0.3">
      <c r="A68" s="92">
        <v>3375</v>
      </c>
      <c r="B68">
        <v>3375</v>
      </c>
      <c r="C68">
        <v>0</v>
      </c>
      <c r="D68">
        <v>0</v>
      </c>
      <c r="E68">
        <v>745</v>
      </c>
      <c r="F68">
        <v>0</v>
      </c>
      <c r="G68">
        <v>0</v>
      </c>
      <c r="H68">
        <v>0</v>
      </c>
      <c r="I68">
        <v>0</v>
      </c>
      <c r="J68" s="92">
        <v>745</v>
      </c>
    </row>
    <row r="69" spans="1:10" x14ac:dyDescent="0.3">
      <c r="A69" s="92">
        <v>3400</v>
      </c>
      <c r="B69">
        <v>3400</v>
      </c>
      <c r="C69">
        <v>0</v>
      </c>
      <c r="D69">
        <v>0</v>
      </c>
      <c r="E69">
        <v>13449</v>
      </c>
      <c r="F69">
        <v>0</v>
      </c>
      <c r="G69">
        <v>0</v>
      </c>
      <c r="H69">
        <v>0</v>
      </c>
      <c r="I69">
        <v>0</v>
      </c>
      <c r="J69" s="92">
        <v>13449</v>
      </c>
    </row>
    <row r="70" spans="1:10" x14ac:dyDescent="0.3">
      <c r="A70" s="92">
        <v>3425</v>
      </c>
      <c r="B70">
        <v>3425</v>
      </c>
      <c r="C70">
        <v>0</v>
      </c>
      <c r="D70">
        <v>0</v>
      </c>
      <c r="E70">
        <v>1266</v>
      </c>
      <c r="F70">
        <v>0</v>
      </c>
      <c r="G70">
        <v>0</v>
      </c>
      <c r="H70">
        <v>0</v>
      </c>
      <c r="I70">
        <v>0</v>
      </c>
      <c r="J70" s="92">
        <v>1266</v>
      </c>
    </row>
    <row r="71" spans="1:10" x14ac:dyDescent="0.3">
      <c r="A71" s="92">
        <v>3450</v>
      </c>
      <c r="B71">
        <v>3450</v>
      </c>
      <c r="C71">
        <v>0</v>
      </c>
      <c r="D71">
        <v>0</v>
      </c>
      <c r="E71">
        <v>7200</v>
      </c>
      <c r="F71">
        <v>0</v>
      </c>
      <c r="G71">
        <v>0</v>
      </c>
      <c r="H71">
        <v>0</v>
      </c>
      <c r="I71">
        <v>0</v>
      </c>
      <c r="J71" s="92">
        <v>7200</v>
      </c>
    </row>
    <row r="72" spans="1:10" x14ac:dyDescent="0.3">
      <c r="A72" s="92">
        <v>3475</v>
      </c>
      <c r="B72">
        <v>3475</v>
      </c>
      <c r="C72">
        <v>0</v>
      </c>
      <c r="D72">
        <v>0</v>
      </c>
      <c r="E72">
        <v>1846</v>
      </c>
      <c r="F72">
        <v>0</v>
      </c>
      <c r="G72">
        <v>0</v>
      </c>
      <c r="H72">
        <v>0</v>
      </c>
      <c r="I72">
        <v>0</v>
      </c>
      <c r="J72" s="92">
        <v>1846</v>
      </c>
    </row>
    <row r="73" spans="1:10" x14ac:dyDescent="0.3">
      <c r="A73" s="92">
        <v>3500</v>
      </c>
      <c r="B73">
        <v>3500</v>
      </c>
      <c r="C73">
        <v>0</v>
      </c>
      <c r="D73">
        <v>3110</v>
      </c>
      <c r="E73">
        <v>29667</v>
      </c>
      <c r="F73">
        <v>3.5</v>
      </c>
      <c r="G73">
        <v>3.5</v>
      </c>
      <c r="H73">
        <v>3.5</v>
      </c>
      <c r="I73">
        <v>3.5</v>
      </c>
      <c r="J73" s="92">
        <v>29667</v>
      </c>
    </row>
    <row r="74" spans="1:10" x14ac:dyDescent="0.3">
      <c r="A74" s="92">
        <v>3525</v>
      </c>
      <c r="B74">
        <v>3525</v>
      </c>
      <c r="C74">
        <v>0</v>
      </c>
      <c r="D74">
        <v>0</v>
      </c>
      <c r="E74">
        <v>3529</v>
      </c>
      <c r="F74">
        <v>0</v>
      </c>
      <c r="G74">
        <v>0</v>
      </c>
      <c r="H74">
        <v>0</v>
      </c>
      <c r="I74">
        <v>0</v>
      </c>
      <c r="J74" s="92">
        <v>3529</v>
      </c>
    </row>
    <row r="75" spans="1:10" x14ac:dyDescent="0.3">
      <c r="A75" s="92">
        <v>3550</v>
      </c>
      <c r="B75">
        <v>3550</v>
      </c>
      <c r="C75">
        <v>0</v>
      </c>
      <c r="D75">
        <v>0</v>
      </c>
      <c r="E75">
        <v>45383</v>
      </c>
      <c r="F75">
        <v>0</v>
      </c>
      <c r="G75">
        <v>0</v>
      </c>
      <c r="H75">
        <v>0</v>
      </c>
      <c r="I75">
        <v>0</v>
      </c>
      <c r="J75" s="92">
        <v>45383</v>
      </c>
    </row>
    <row r="76" spans="1:10" x14ac:dyDescent="0.3">
      <c r="A76" s="92">
        <v>3575</v>
      </c>
      <c r="B76">
        <v>3575</v>
      </c>
      <c r="C76">
        <v>0</v>
      </c>
      <c r="D76">
        <v>121</v>
      </c>
      <c r="E76">
        <v>2924</v>
      </c>
      <c r="F76">
        <v>4.3</v>
      </c>
      <c r="G76">
        <v>4.3</v>
      </c>
      <c r="H76">
        <v>3.5</v>
      </c>
      <c r="I76">
        <v>3.5</v>
      </c>
      <c r="J76" s="92">
        <v>2924</v>
      </c>
    </row>
    <row r="77" spans="1:10" x14ac:dyDescent="0.3">
      <c r="A77" s="92">
        <v>3600</v>
      </c>
      <c r="B77">
        <v>3600</v>
      </c>
      <c r="C77">
        <v>0</v>
      </c>
      <c r="D77">
        <v>2295</v>
      </c>
      <c r="E77">
        <v>56361</v>
      </c>
      <c r="F77">
        <v>4.4000000000000004</v>
      </c>
      <c r="G77">
        <v>5.4</v>
      </c>
      <c r="H77">
        <v>4.4000000000000004</v>
      </c>
      <c r="I77">
        <v>5.4</v>
      </c>
      <c r="J77" s="92">
        <v>56361</v>
      </c>
    </row>
    <row r="78" spans="1:10" x14ac:dyDescent="0.3">
      <c r="A78" s="92">
        <v>3625</v>
      </c>
      <c r="B78">
        <v>3625</v>
      </c>
      <c r="C78">
        <v>0</v>
      </c>
      <c r="D78">
        <v>544</v>
      </c>
      <c r="E78">
        <v>1642</v>
      </c>
      <c r="F78">
        <v>4.4000000000000004</v>
      </c>
      <c r="G78">
        <v>4.5</v>
      </c>
      <c r="H78">
        <v>4.4000000000000004</v>
      </c>
      <c r="I78">
        <v>4.4000000000000004</v>
      </c>
      <c r="J78" s="92">
        <v>1642</v>
      </c>
    </row>
    <row r="79" spans="1:10" x14ac:dyDescent="0.3">
      <c r="A79" s="92">
        <v>3650</v>
      </c>
      <c r="B79">
        <v>3650</v>
      </c>
      <c r="C79">
        <v>0</v>
      </c>
      <c r="D79">
        <v>14</v>
      </c>
      <c r="E79">
        <v>10101</v>
      </c>
      <c r="F79">
        <v>4.8</v>
      </c>
      <c r="G79">
        <v>6.2</v>
      </c>
      <c r="H79">
        <v>4.8</v>
      </c>
      <c r="I79">
        <v>5.2</v>
      </c>
      <c r="J79" s="92">
        <v>10101</v>
      </c>
    </row>
    <row r="80" spans="1:10" x14ac:dyDescent="0.3">
      <c r="A80" s="92">
        <v>3675</v>
      </c>
      <c r="B80">
        <v>3675</v>
      </c>
      <c r="C80">
        <v>0</v>
      </c>
      <c r="D80">
        <v>256</v>
      </c>
      <c r="E80">
        <v>2473</v>
      </c>
      <c r="F80">
        <v>5.3</v>
      </c>
      <c r="G80">
        <v>5.4</v>
      </c>
      <c r="H80">
        <v>5.2</v>
      </c>
      <c r="I80">
        <v>5.4</v>
      </c>
      <c r="J80" s="92">
        <v>2473</v>
      </c>
    </row>
    <row r="81" spans="1:10" x14ac:dyDescent="0.3">
      <c r="A81" s="92">
        <v>3700</v>
      </c>
      <c r="B81">
        <v>3700</v>
      </c>
      <c r="C81">
        <v>0</v>
      </c>
      <c r="D81">
        <v>1</v>
      </c>
      <c r="E81">
        <v>53530</v>
      </c>
      <c r="F81">
        <v>7.7</v>
      </c>
      <c r="G81">
        <v>7.7</v>
      </c>
      <c r="H81">
        <v>7.7</v>
      </c>
      <c r="I81">
        <v>7.7</v>
      </c>
      <c r="J81" s="92">
        <v>53530</v>
      </c>
    </row>
    <row r="82" spans="1:10" x14ac:dyDescent="0.3">
      <c r="A82" s="92">
        <v>3725</v>
      </c>
      <c r="B82">
        <v>3725</v>
      </c>
      <c r="C82">
        <v>0</v>
      </c>
      <c r="D82">
        <v>218</v>
      </c>
      <c r="E82">
        <v>9206</v>
      </c>
      <c r="F82">
        <v>7.2</v>
      </c>
      <c r="G82">
        <v>8.6999999999999993</v>
      </c>
      <c r="H82">
        <v>5.8</v>
      </c>
      <c r="I82">
        <v>5.8</v>
      </c>
      <c r="J82" s="92">
        <v>9206</v>
      </c>
    </row>
    <row r="83" spans="1:10" x14ac:dyDescent="0.3">
      <c r="A83" s="92">
        <v>3750</v>
      </c>
      <c r="B83">
        <v>3750</v>
      </c>
      <c r="C83">
        <v>0</v>
      </c>
      <c r="D83">
        <v>2723</v>
      </c>
      <c r="E83">
        <v>47448</v>
      </c>
      <c r="F83">
        <v>6.9</v>
      </c>
      <c r="G83">
        <v>8.3000000000000007</v>
      </c>
      <c r="H83">
        <v>6.9</v>
      </c>
      <c r="I83">
        <v>7.5</v>
      </c>
      <c r="J83" s="92">
        <v>47448</v>
      </c>
    </row>
    <row r="84" spans="1:10" x14ac:dyDescent="0.3">
      <c r="A84" s="92">
        <v>3775</v>
      </c>
      <c r="B84">
        <v>3775</v>
      </c>
      <c r="C84">
        <v>0</v>
      </c>
      <c r="D84">
        <v>165</v>
      </c>
      <c r="E84">
        <v>5649</v>
      </c>
      <c r="F84">
        <v>8.3000000000000007</v>
      </c>
      <c r="G84">
        <v>8.3000000000000007</v>
      </c>
      <c r="H84">
        <v>8.3000000000000007</v>
      </c>
      <c r="I84">
        <v>8.3000000000000007</v>
      </c>
      <c r="J84" s="92">
        <v>5649</v>
      </c>
    </row>
    <row r="85" spans="1:10" x14ac:dyDescent="0.3">
      <c r="A85" s="92">
        <v>3800</v>
      </c>
      <c r="B85">
        <v>3800</v>
      </c>
      <c r="C85">
        <v>0</v>
      </c>
      <c r="D85">
        <v>2056</v>
      </c>
      <c r="E85">
        <v>76814</v>
      </c>
      <c r="F85">
        <v>9</v>
      </c>
      <c r="G85">
        <v>12</v>
      </c>
      <c r="H85">
        <v>7.6</v>
      </c>
      <c r="I85">
        <v>7.6</v>
      </c>
      <c r="J85" s="92">
        <v>76814</v>
      </c>
    </row>
    <row r="86" spans="1:10" x14ac:dyDescent="0.3">
      <c r="A86" s="92">
        <v>3825</v>
      </c>
      <c r="B86">
        <v>3825</v>
      </c>
      <c r="C86">
        <v>0</v>
      </c>
      <c r="D86">
        <v>220</v>
      </c>
      <c r="E86">
        <v>6166</v>
      </c>
      <c r="F86">
        <v>10</v>
      </c>
      <c r="G86">
        <v>11.3</v>
      </c>
      <c r="H86">
        <v>10</v>
      </c>
      <c r="I86">
        <v>11.3</v>
      </c>
      <c r="J86" s="92">
        <v>6166</v>
      </c>
    </row>
    <row r="87" spans="1:10" x14ac:dyDescent="0.3">
      <c r="A87" s="92">
        <v>3850</v>
      </c>
      <c r="B87">
        <v>3850</v>
      </c>
      <c r="C87">
        <v>0</v>
      </c>
      <c r="D87">
        <v>1016</v>
      </c>
      <c r="E87">
        <v>34521</v>
      </c>
      <c r="F87">
        <v>14.9</v>
      </c>
      <c r="G87">
        <v>15.5</v>
      </c>
      <c r="H87">
        <v>9.6999999999999993</v>
      </c>
      <c r="I87">
        <v>9.6999999999999993</v>
      </c>
      <c r="J87" s="92">
        <v>34521</v>
      </c>
    </row>
    <row r="88" spans="1:10" x14ac:dyDescent="0.3">
      <c r="A88" s="92">
        <v>3875</v>
      </c>
      <c r="B88">
        <v>3875</v>
      </c>
      <c r="C88">
        <v>0</v>
      </c>
      <c r="D88">
        <v>308</v>
      </c>
      <c r="E88">
        <v>16097</v>
      </c>
      <c r="F88">
        <v>14.5</v>
      </c>
      <c r="G88">
        <v>14.5</v>
      </c>
      <c r="H88">
        <v>11</v>
      </c>
      <c r="I88">
        <v>11</v>
      </c>
      <c r="J88" s="92">
        <v>16097</v>
      </c>
    </row>
    <row r="89" spans="1:10" x14ac:dyDescent="0.3">
      <c r="A89" s="92">
        <v>3900</v>
      </c>
      <c r="B89">
        <v>3900</v>
      </c>
      <c r="C89">
        <v>0</v>
      </c>
      <c r="D89">
        <v>543</v>
      </c>
      <c r="E89">
        <v>78158</v>
      </c>
      <c r="F89">
        <v>13.5</v>
      </c>
      <c r="G89">
        <v>19.3</v>
      </c>
      <c r="H89">
        <v>12.9</v>
      </c>
      <c r="I89">
        <v>13</v>
      </c>
      <c r="J89" s="92">
        <v>78158</v>
      </c>
    </row>
    <row r="90" spans="1:10" x14ac:dyDescent="0.3">
      <c r="A90" s="92">
        <v>3925</v>
      </c>
      <c r="B90">
        <v>3925</v>
      </c>
      <c r="C90">
        <v>0</v>
      </c>
      <c r="D90">
        <v>732</v>
      </c>
      <c r="E90">
        <v>4517</v>
      </c>
      <c r="F90">
        <v>17.8</v>
      </c>
      <c r="G90">
        <v>21</v>
      </c>
      <c r="H90">
        <v>14</v>
      </c>
      <c r="I90">
        <v>14</v>
      </c>
      <c r="J90" s="92">
        <v>4517</v>
      </c>
    </row>
    <row r="91" spans="1:10" x14ac:dyDescent="0.3">
      <c r="A91" s="92">
        <v>3950</v>
      </c>
      <c r="B91">
        <v>3950</v>
      </c>
      <c r="C91">
        <v>0</v>
      </c>
      <c r="D91">
        <v>3554</v>
      </c>
      <c r="E91">
        <v>41134</v>
      </c>
      <c r="F91">
        <v>17.8</v>
      </c>
      <c r="G91">
        <v>24.2</v>
      </c>
      <c r="H91">
        <v>16.600000000000001</v>
      </c>
      <c r="I91">
        <v>16.8</v>
      </c>
      <c r="J91" s="92">
        <v>41134</v>
      </c>
    </row>
    <row r="92" spans="1:10" x14ac:dyDescent="0.3">
      <c r="A92" s="92">
        <v>3975</v>
      </c>
      <c r="B92">
        <v>3975</v>
      </c>
      <c r="C92">
        <v>0</v>
      </c>
      <c r="D92">
        <v>1092</v>
      </c>
      <c r="E92">
        <v>14376</v>
      </c>
      <c r="F92">
        <v>19.899999999999999</v>
      </c>
      <c r="G92">
        <v>24.2</v>
      </c>
      <c r="H92">
        <v>19.7</v>
      </c>
      <c r="I92">
        <v>19.8</v>
      </c>
      <c r="J92" s="92">
        <v>14376</v>
      </c>
    </row>
    <row r="93" spans="1:10" x14ac:dyDescent="0.3">
      <c r="A93" s="92">
        <v>4000</v>
      </c>
      <c r="B93">
        <v>4000</v>
      </c>
      <c r="C93">
        <v>0</v>
      </c>
      <c r="D93">
        <v>16346</v>
      </c>
      <c r="E93">
        <v>113243</v>
      </c>
      <c r="F93">
        <v>23.1</v>
      </c>
      <c r="G93">
        <v>33</v>
      </c>
      <c r="H93">
        <v>20.2</v>
      </c>
      <c r="I93">
        <v>20.5</v>
      </c>
      <c r="J93" s="92">
        <v>113243</v>
      </c>
    </row>
    <row r="94" spans="1:10" x14ac:dyDescent="0.3">
      <c r="A94" s="92">
        <v>4025</v>
      </c>
      <c r="B94">
        <v>4025</v>
      </c>
      <c r="C94">
        <v>0</v>
      </c>
      <c r="D94">
        <v>1489</v>
      </c>
      <c r="E94">
        <v>10251</v>
      </c>
      <c r="F94">
        <v>27.4</v>
      </c>
      <c r="G94">
        <v>37.1</v>
      </c>
      <c r="H94">
        <v>27.4</v>
      </c>
      <c r="I94">
        <v>31.1</v>
      </c>
      <c r="J94" s="92">
        <v>10251</v>
      </c>
    </row>
    <row r="95" spans="1:10" x14ac:dyDescent="0.3">
      <c r="A95" s="92">
        <v>4050</v>
      </c>
      <c r="B95">
        <v>4050</v>
      </c>
      <c r="C95">
        <v>0</v>
      </c>
      <c r="D95">
        <v>308</v>
      </c>
      <c r="E95">
        <v>64603</v>
      </c>
      <c r="F95">
        <v>31</v>
      </c>
      <c r="G95">
        <v>41.3</v>
      </c>
      <c r="H95">
        <v>31</v>
      </c>
      <c r="I95">
        <v>31.3</v>
      </c>
      <c r="J95" s="92">
        <v>64603</v>
      </c>
    </row>
    <row r="96" spans="1:10" x14ac:dyDescent="0.3">
      <c r="A96" s="92">
        <v>4075</v>
      </c>
      <c r="B96">
        <v>4075</v>
      </c>
      <c r="C96">
        <v>0</v>
      </c>
      <c r="D96">
        <v>40</v>
      </c>
      <c r="E96">
        <v>5375</v>
      </c>
      <c r="F96">
        <v>32.9</v>
      </c>
      <c r="G96">
        <v>44.7</v>
      </c>
      <c r="H96">
        <v>32.9</v>
      </c>
      <c r="I96">
        <v>44.7</v>
      </c>
      <c r="J96" s="92">
        <v>5375</v>
      </c>
    </row>
    <row r="97" spans="1:10" x14ac:dyDescent="0.3">
      <c r="A97" s="92">
        <v>4100</v>
      </c>
      <c r="B97">
        <v>4100</v>
      </c>
      <c r="C97">
        <v>0</v>
      </c>
      <c r="D97">
        <v>16548</v>
      </c>
      <c r="E97">
        <v>142710</v>
      </c>
      <c r="F97">
        <v>38</v>
      </c>
      <c r="G97">
        <v>54</v>
      </c>
      <c r="H97">
        <v>35.1</v>
      </c>
      <c r="I97">
        <v>35.4</v>
      </c>
      <c r="J97" s="92">
        <v>142710</v>
      </c>
    </row>
    <row r="98" spans="1:10" x14ac:dyDescent="0.3">
      <c r="A98" s="92">
        <v>4125</v>
      </c>
      <c r="B98">
        <v>4125</v>
      </c>
      <c r="C98">
        <v>0</v>
      </c>
      <c r="D98">
        <v>277</v>
      </c>
      <c r="E98">
        <v>13465</v>
      </c>
      <c r="F98">
        <v>52.7</v>
      </c>
      <c r="G98">
        <v>52.7</v>
      </c>
      <c r="H98">
        <v>42.6</v>
      </c>
      <c r="I98">
        <v>42.6</v>
      </c>
      <c r="J98" s="92">
        <v>13465</v>
      </c>
    </row>
    <row r="99" spans="1:10" x14ac:dyDescent="0.3">
      <c r="A99" s="92">
        <v>4150</v>
      </c>
      <c r="B99">
        <v>4150</v>
      </c>
      <c r="C99">
        <v>0</v>
      </c>
      <c r="D99">
        <v>9976</v>
      </c>
      <c r="E99">
        <v>45168</v>
      </c>
      <c r="F99">
        <v>59.3</v>
      </c>
      <c r="G99">
        <v>69.5</v>
      </c>
      <c r="H99">
        <v>46.7</v>
      </c>
      <c r="I99">
        <v>46.7</v>
      </c>
      <c r="J99" s="92">
        <v>45168</v>
      </c>
    </row>
    <row r="100" spans="1:10" x14ac:dyDescent="0.3">
      <c r="A100" s="92">
        <v>4175</v>
      </c>
      <c r="B100">
        <v>4175</v>
      </c>
      <c r="C100">
        <v>0</v>
      </c>
      <c r="D100">
        <v>655</v>
      </c>
      <c r="E100">
        <v>30786</v>
      </c>
      <c r="F100">
        <v>76.5</v>
      </c>
      <c r="G100">
        <v>76.7</v>
      </c>
      <c r="H100">
        <v>66.599999999999994</v>
      </c>
      <c r="I100">
        <v>66.599999999999994</v>
      </c>
      <c r="J100" s="92">
        <v>30786</v>
      </c>
    </row>
    <row r="101" spans="1:10" x14ac:dyDescent="0.3">
      <c r="A101" s="92">
        <v>4200</v>
      </c>
      <c r="B101">
        <v>4200</v>
      </c>
      <c r="C101">
        <v>0</v>
      </c>
      <c r="D101">
        <v>8676</v>
      </c>
      <c r="E101">
        <v>83903</v>
      </c>
      <c r="F101">
        <v>67</v>
      </c>
      <c r="G101">
        <v>89.8</v>
      </c>
      <c r="H101">
        <v>65.5</v>
      </c>
      <c r="I101">
        <v>66</v>
      </c>
      <c r="J101" s="92">
        <v>83903</v>
      </c>
    </row>
    <row r="102" spans="1:10" x14ac:dyDescent="0.3">
      <c r="A102" s="92">
        <v>4225</v>
      </c>
      <c r="B102">
        <v>4225</v>
      </c>
      <c r="C102">
        <v>0</v>
      </c>
      <c r="D102">
        <v>4186</v>
      </c>
      <c r="E102">
        <v>10972</v>
      </c>
      <c r="F102">
        <v>73.5</v>
      </c>
      <c r="G102">
        <v>96.9</v>
      </c>
      <c r="H102">
        <v>70.8</v>
      </c>
      <c r="I102">
        <v>71.400000000000006</v>
      </c>
      <c r="J102" s="92">
        <v>10972</v>
      </c>
    </row>
    <row r="103" spans="1:10" x14ac:dyDescent="0.3">
      <c r="A103" s="92">
        <v>4250</v>
      </c>
      <c r="B103">
        <v>4250</v>
      </c>
      <c r="C103">
        <v>0</v>
      </c>
      <c r="D103">
        <v>3710</v>
      </c>
      <c r="E103">
        <v>57116</v>
      </c>
      <c r="F103">
        <v>109</v>
      </c>
      <c r="G103">
        <v>111.8</v>
      </c>
      <c r="H103">
        <v>84.1</v>
      </c>
      <c r="I103">
        <v>84.1</v>
      </c>
      <c r="J103" s="92">
        <v>57116</v>
      </c>
    </row>
    <row r="104" spans="1:10" x14ac:dyDescent="0.3">
      <c r="A104" s="92">
        <v>4275</v>
      </c>
      <c r="B104">
        <v>4275</v>
      </c>
      <c r="C104">
        <v>0</v>
      </c>
      <c r="D104">
        <v>523</v>
      </c>
      <c r="E104">
        <v>10634</v>
      </c>
      <c r="F104">
        <v>98</v>
      </c>
      <c r="G104">
        <v>103.7</v>
      </c>
      <c r="H104">
        <v>93.3</v>
      </c>
      <c r="I104">
        <v>94.3</v>
      </c>
      <c r="J104" s="92">
        <v>10634</v>
      </c>
    </row>
    <row r="105" spans="1:10" x14ac:dyDescent="0.3">
      <c r="A105" s="92">
        <v>4300</v>
      </c>
      <c r="B105">
        <v>4300</v>
      </c>
      <c r="C105">
        <v>0</v>
      </c>
      <c r="D105">
        <v>776</v>
      </c>
      <c r="E105">
        <v>40724</v>
      </c>
      <c r="F105">
        <v>117.5</v>
      </c>
      <c r="G105">
        <v>132</v>
      </c>
      <c r="H105">
        <v>105.9</v>
      </c>
      <c r="I105">
        <v>106.1</v>
      </c>
      <c r="J105" s="92">
        <v>40724</v>
      </c>
    </row>
    <row r="106" spans="1:10" x14ac:dyDescent="0.3">
      <c r="A106" s="92">
        <v>4325</v>
      </c>
      <c r="B106">
        <v>4325</v>
      </c>
      <c r="C106">
        <v>0</v>
      </c>
      <c r="D106">
        <v>1</v>
      </c>
      <c r="E106">
        <v>8217</v>
      </c>
      <c r="F106">
        <v>0</v>
      </c>
      <c r="G106">
        <v>0</v>
      </c>
      <c r="H106">
        <v>0</v>
      </c>
      <c r="I106">
        <v>0</v>
      </c>
      <c r="J106" s="92">
        <v>8217</v>
      </c>
    </row>
    <row r="107" spans="1:10" x14ac:dyDescent="0.3">
      <c r="A107" s="92">
        <v>4350</v>
      </c>
      <c r="B107">
        <v>4350</v>
      </c>
      <c r="C107">
        <v>0</v>
      </c>
      <c r="D107">
        <v>83</v>
      </c>
      <c r="E107">
        <v>19687</v>
      </c>
      <c r="F107">
        <v>157.5</v>
      </c>
      <c r="G107">
        <v>157.5</v>
      </c>
      <c r="H107">
        <v>138</v>
      </c>
      <c r="I107">
        <v>138</v>
      </c>
      <c r="J107" s="92">
        <v>19687</v>
      </c>
    </row>
    <row r="108" spans="1:10" x14ac:dyDescent="0.3">
      <c r="A108" s="92">
        <v>4375</v>
      </c>
      <c r="B108">
        <v>4375</v>
      </c>
      <c r="C108">
        <v>0</v>
      </c>
      <c r="D108">
        <v>0</v>
      </c>
      <c r="E108">
        <v>21449</v>
      </c>
      <c r="F108">
        <v>0</v>
      </c>
      <c r="G108">
        <v>0</v>
      </c>
      <c r="H108">
        <v>0</v>
      </c>
      <c r="I108">
        <v>0</v>
      </c>
      <c r="J108" s="92">
        <v>21449</v>
      </c>
    </row>
    <row r="109" spans="1:10" x14ac:dyDescent="0.3">
      <c r="A109" s="92">
        <v>4400</v>
      </c>
      <c r="B109">
        <v>4400</v>
      </c>
      <c r="C109">
        <v>0</v>
      </c>
      <c r="D109">
        <v>29</v>
      </c>
      <c r="E109">
        <v>8465</v>
      </c>
      <c r="F109">
        <v>213.4</v>
      </c>
      <c r="G109">
        <v>213.4</v>
      </c>
      <c r="H109">
        <v>177</v>
      </c>
      <c r="I109">
        <v>177</v>
      </c>
      <c r="J109" s="92">
        <v>8465</v>
      </c>
    </row>
    <row r="110" spans="1:10" x14ac:dyDescent="0.3">
      <c r="A110" s="92">
        <v>4425</v>
      </c>
      <c r="B110">
        <v>4425</v>
      </c>
      <c r="C110">
        <v>0</v>
      </c>
      <c r="D110">
        <v>0</v>
      </c>
      <c r="E110">
        <v>2875</v>
      </c>
      <c r="F110">
        <v>0</v>
      </c>
      <c r="G110">
        <v>0</v>
      </c>
      <c r="H110">
        <v>0</v>
      </c>
      <c r="I110">
        <v>0</v>
      </c>
      <c r="J110" s="92">
        <v>2875</v>
      </c>
    </row>
    <row r="111" spans="1:10" x14ac:dyDescent="0.3">
      <c r="A111" s="92">
        <v>4450</v>
      </c>
      <c r="B111">
        <v>4450</v>
      </c>
      <c r="C111">
        <v>0</v>
      </c>
      <c r="D111">
        <v>1</v>
      </c>
      <c r="E111">
        <v>1283</v>
      </c>
      <c r="F111">
        <v>257.2</v>
      </c>
      <c r="G111">
        <v>257.2</v>
      </c>
      <c r="H111">
        <v>257.2</v>
      </c>
      <c r="I111">
        <v>257.2</v>
      </c>
      <c r="J111" s="92">
        <v>1283</v>
      </c>
    </row>
    <row r="112" spans="1:10" x14ac:dyDescent="0.3">
      <c r="A112" s="92">
        <v>4475</v>
      </c>
      <c r="B112">
        <v>4475</v>
      </c>
      <c r="C112">
        <v>0</v>
      </c>
      <c r="D112">
        <v>1</v>
      </c>
      <c r="E112">
        <v>112</v>
      </c>
      <c r="F112">
        <v>264.39999999999998</v>
      </c>
      <c r="G112">
        <v>264.39999999999998</v>
      </c>
      <c r="H112">
        <v>264.39999999999998</v>
      </c>
      <c r="I112">
        <v>264.39999999999998</v>
      </c>
      <c r="J112" s="92">
        <v>112</v>
      </c>
    </row>
    <row r="113" spans="1:10" x14ac:dyDescent="0.3">
      <c r="A113" s="92">
        <v>4500</v>
      </c>
      <c r="B113">
        <v>4500</v>
      </c>
      <c r="C113">
        <v>0</v>
      </c>
      <c r="D113">
        <v>0</v>
      </c>
      <c r="E113">
        <v>545</v>
      </c>
      <c r="F113">
        <v>0</v>
      </c>
      <c r="G113">
        <v>0</v>
      </c>
      <c r="H113">
        <v>0</v>
      </c>
      <c r="I113">
        <v>0</v>
      </c>
      <c r="J113" s="92">
        <v>545</v>
      </c>
    </row>
    <row r="114" spans="1:10" x14ac:dyDescent="0.3">
      <c r="A114" s="92">
        <v>4525</v>
      </c>
      <c r="B114">
        <v>4525</v>
      </c>
      <c r="C114">
        <v>0</v>
      </c>
      <c r="D114">
        <v>0</v>
      </c>
      <c r="E114">
        <v>790</v>
      </c>
      <c r="F114">
        <v>0</v>
      </c>
      <c r="G114">
        <v>0</v>
      </c>
      <c r="H114">
        <v>0</v>
      </c>
      <c r="I114">
        <v>0</v>
      </c>
      <c r="J114" s="92">
        <v>790</v>
      </c>
    </row>
    <row r="115" spans="1:10" x14ac:dyDescent="0.3">
      <c r="A115" s="92">
        <v>4550</v>
      </c>
      <c r="B115">
        <v>4550</v>
      </c>
      <c r="C115">
        <v>0</v>
      </c>
      <c r="D115">
        <v>0</v>
      </c>
      <c r="E115">
        <v>41</v>
      </c>
      <c r="F115">
        <v>0</v>
      </c>
      <c r="G115">
        <v>0</v>
      </c>
      <c r="H115">
        <v>0</v>
      </c>
      <c r="I115">
        <v>0</v>
      </c>
      <c r="J115" s="92">
        <v>41</v>
      </c>
    </row>
    <row r="116" spans="1:10" x14ac:dyDescent="0.3">
      <c r="A116" s="92">
        <v>4575</v>
      </c>
      <c r="B116">
        <v>4575</v>
      </c>
      <c r="C116">
        <v>0</v>
      </c>
      <c r="D116">
        <v>0</v>
      </c>
      <c r="E116">
        <v>260</v>
      </c>
      <c r="F116">
        <v>0</v>
      </c>
      <c r="G116">
        <v>0</v>
      </c>
      <c r="H116">
        <v>0</v>
      </c>
      <c r="I116">
        <v>0</v>
      </c>
      <c r="J116" s="92">
        <v>260</v>
      </c>
    </row>
    <row r="117" spans="1:10" x14ac:dyDescent="0.3">
      <c r="A117" s="92">
        <v>4600</v>
      </c>
      <c r="B117">
        <v>4600</v>
      </c>
      <c r="C117">
        <v>0</v>
      </c>
      <c r="D117">
        <v>0</v>
      </c>
      <c r="E117">
        <v>52</v>
      </c>
      <c r="F117">
        <v>0</v>
      </c>
      <c r="G117">
        <v>0</v>
      </c>
      <c r="H117">
        <v>0</v>
      </c>
      <c r="I117">
        <v>0</v>
      </c>
      <c r="J117" s="92">
        <v>52</v>
      </c>
    </row>
    <row r="118" spans="1:10" x14ac:dyDescent="0.3">
      <c r="A118" s="92">
        <v>4625</v>
      </c>
      <c r="B118">
        <v>4625</v>
      </c>
      <c r="C118">
        <v>0</v>
      </c>
      <c r="D118">
        <v>0</v>
      </c>
      <c r="E118">
        <v>0</v>
      </c>
      <c r="F118">
        <v>0</v>
      </c>
      <c r="G118">
        <v>0</v>
      </c>
      <c r="H118">
        <v>0</v>
      </c>
      <c r="I118">
        <v>0</v>
      </c>
      <c r="J118" s="92">
        <v>0</v>
      </c>
    </row>
    <row r="119" spans="1:10" x14ac:dyDescent="0.3">
      <c r="A119" s="92">
        <v>4650</v>
      </c>
      <c r="B119">
        <v>4650</v>
      </c>
      <c r="C119">
        <v>0</v>
      </c>
      <c r="D119">
        <v>0</v>
      </c>
      <c r="E119">
        <v>1</v>
      </c>
      <c r="F119">
        <v>0</v>
      </c>
      <c r="G119">
        <v>0</v>
      </c>
      <c r="H119">
        <v>0</v>
      </c>
      <c r="I119">
        <v>0</v>
      </c>
      <c r="J119" s="92">
        <v>1</v>
      </c>
    </row>
    <row r="120" spans="1:10" x14ac:dyDescent="0.3">
      <c r="A120" s="92">
        <v>4675</v>
      </c>
      <c r="B120">
        <v>4675</v>
      </c>
      <c r="C120">
        <v>0</v>
      </c>
      <c r="D120">
        <v>0</v>
      </c>
      <c r="E120">
        <v>0</v>
      </c>
      <c r="F120">
        <v>0</v>
      </c>
      <c r="G120">
        <v>0</v>
      </c>
      <c r="H120">
        <v>0</v>
      </c>
      <c r="I120">
        <v>0</v>
      </c>
      <c r="J120" s="92">
        <v>0</v>
      </c>
    </row>
    <row r="121" spans="1:10" x14ac:dyDescent="0.3">
      <c r="A121" s="92">
        <v>4700</v>
      </c>
      <c r="B121">
        <v>4700</v>
      </c>
      <c r="C121">
        <v>0</v>
      </c>
      <c r="D121">
        <v>0</v>
      </c>
      <c r="E121">
        <v>4</v>
      </c>
      <c r="F121">
        <v>0</v>
      </c>
      <c r="G121">
        <v>0</v>
      </c>
      <c r="H121">
        <v>0</v>
      </c>
      <c r="I121">
        <v>0</v>
      </c>
      <c r="J121" s="92">
        <v>4</v>
      </c>
    </row>
    <row r="122" spans="1:10" x14ac:dyDescent="0.3">
      <c r="A122" s="92">
        <v>4725</v>
      </c>
      <c r="B122">
        <v>4725</v>
      </c>
      <c r="C122">
        <v>0</v>
      </c>
      <c r="D122">
        <v>0</v>
      </c>
      <c r="E122">
        <v>0</v>
      </c>
      <c r="F122">
        <v>0</v>
      </c>
      <c r="G122">
        <v>0</v>
      </c>
      <c r="H122">
        <v>0</v>
      </c>
      <c r="I122">
        <v>0</v>
      </c>
      <c r="J122" s="92">
        <v>0</v>
      </c>
    </row>
    <row r="123" spans="1:10" x14ac:dyDescent="0.3">
      <c r="A123" s="92">
        <v>4750</v>
      </c>
      <c r="B123">
        <v>4750</v>
      </c>
      <c r="C123">
        <v>0</v>
      </c>
      <c r="D123">
        <v>0</v>
      </c>
      <c r="E123">
        <v>0</v>
      </c>
      <c r="F123">
        <v>0</v>
      </c>
      <c r="G123">
        <v>0</v>
      </c>
      <c r="H123">
        <v>0</v>
      </c>
      <c r="I123">
        <v>0</v>
      </c>
      <c r="J123" s="92">
        <v>0</v>
      </c>
    </row>
    <row r="124" spans="1:10" x14ac:dyDescent="0.3">
      <c r="A124" s="92">
        <v>4775</v>
      </c>
      <c r="B124">
        <v>4775</v>
      </c>
      <c r="C124">
        <v>0</v>
      </c>
      <c r="D124">
        <v>0</v>
      </c>
      <c r="E124">
        <v>0</v>
      </c>
      <c r="F124">
        <v>0</v>
      </c>
      <c r="G124">
        <v>0</v>
      </c>
      <c r="H124">
        <v>0</v>
      </c>
      <c r="I124">
        <v>0</v>
      </c>
      <c r="J124" s="92">
        <v>0</v>
      </c>
    </row>
    <row r="125" spans="1:10" x14ac:dyDescent="0.3">
      <c r="A125" s="92">
        <v>4800</v>
      </c>
      <c r="B125">
        <v>4800</v>
      </c>
      <c r="C125">
        <v>0</v>
      </c>
      <c r="D125">
        <v>0</v>
      </c>
      <c r="E125">
        <v>0</v>
      </c>
      <c r="F125">
        <v>0</v>
      </c>
      <c r="G125">
        <v>0</v>
      </c>
      <c r="H125">
        <v>0</v>
      </c>
      <c r="I125">
        <v>0</v>
      </c>
      <c r="J125" s="92">
        <v>0</v>
      </c>
    </row>
    <row r="126" spans="1:10" x14ac:dyDescent="0.3">
      <c r="A126" s="92">
        <v>4825</v>
      </c>
      <c r="B126">
        <v>4825</v>
      </c>
      <c r="C126">
        <v>0</v>
      </c>
      <c r="D126">
        <v>0</v>
      </c>
      <c r="E126">
        <v>0</v>
      </c>
      <c r="F126">
        <v>0</v>
      </c>
      <c r="G126">
        <v>0</v>
      </c>
      <c r="H126">
        <v>0</v>
      </c>
      <c r="I126">
        <v>0</v>
      </c>
      <c r="J126" s="92">
        <v>0</v>
      </c>
    </row>
    <row r="127" spans="1:10" x14ac:dyDescent="0.3">
      <c r="A127" s="92">
        <v>4850</v>
      </c>
      <c r="B127">
        <v>4850</v>
      </c>
      <c r="C127">
        <v>0</v>
      </c>
      <c r="D127">
        <v>0</v>
      </c>
      <c r="E127">
        <v>0</v>
      </c>
      <c r="F127">
        <v>0</v>
      </c>
      <c r="G127">
        <v>0</v>
      </c>
      <c r="H127">
        <v>0</v>
      </c>
      <c r="I127">
        <v>0</v>
      </c>
      <c r="J127" s="92">
        <v>0</v>
      </c>
    </row>
    <row r="128" spans="1:10" x14ac:dyDescent="0.3">
      <c r="A128" s="92">
        <v>4875</v>
      </c>
      <c r="B128">
        <v>4875</v>
      </c>
      <c r="C128">
        <v>0</v>
      </c>
      <c r="D128">
        <v>0</v>
      </c>
      <c r="E128">
        <v>0</v>
      </c>
      <c r="F128">
        <v>0</v>
      </c>
      <c r="G128">
        <v>0</v>
      </c>
      <c r="H128">
        <v>0</v>
      </c>
      <c r="I128">
        <v>0</v>
      </c>
      <c r="J128" s="92">
        <v>0</v>
      </c>
    </row>
    <row r="129" spans="1:10" x14ac:dyDescent="0.3">
      <c r="A129" s="92">
        <v>4900</v>
      </c>
      <c r="B129">
        <v>4900</v>
      </c>
      <c r="C129">
        <v>0</v>
      </c>
      <c r="D129">
        <v>0</v>
      </c>
      <c r="E129">
        <v>0</v>
      </c>
      <c r="F129">
        <v>0</v>
      </c>
      <c r="G129">
        <v>0</v>
      </c>
      <c r="H129">
        <v>0</v>
      </c>
      <c r="I129">
        <v>0</v>
      </c>
      <c r="J129" s="92">
        <v>0</v>
      </c>
    </row>
    <row r="130" spans="1:10" x14ac:dyDescent="0.3">
      <c r="A130" s="92">
        <v>4925</v>
      </c>
      <c r="B130">
        <v>4925</v>
      </c>
      <c r="C130">
        <v>0</v>
      </c>
      <c r="D130">
        <v>0</v>
      </c>
      <c r="E130">
        <v>0</v>
      </c>
      <c r="F130">
        <v>0</v>
      </c>
      <c r="G130">
        <v>0</v>
      </c>
      <c r="H130">
        <v>0</v>
      </c>
      <c r="I130">
        <v>0</v>
      </c>
      <c r="J130" s="92">
        <v>0</v>
      </c>
    </row>
    <row r="131" spans="1:10" x14ac:dyDescent="0.3">
      <c r="A131" s="92">
        <v>4950</v>
      </c>
      <c r="B131">
        <v>4950</v>
      </c>
      <c r="C131">
        <v>0</v>
      </c>
      <c r="D131">
        <v>0</v>
      </c>
      <c r="E131">
        <v>0</v>
      </c>
      <c r="F131">
        <v>0</v>
      </c>
      <c r="G131">
        <v>0</v>
      </c>
      <c r="H131">
        <v>0</v>
      </c>
      <c r="I131">
        <v>0</v>
      </c>
      <c r="J131" s="92">
        <v>0</v>
      </c>
    </row>
    <row r="132" spans="1:10" x14ac:dyDescent="0.3">
      <c r="A132" s="92">
        <v>4975</v>
      </c>
      <c r="B132">
        <v>4975</v>
      </c>
      <c r="C132">
        <v>0</v>
      </c>
      <c r="D132">
        <v>0</v>
      </c>
      <c r="E132">
        <v>0</v>
      </c>
      <c r="F132">
        <v>0</v>
      </c>
      <c r="G132">
        <v>0</v>
      </c>
      <c r="H132">
        <v>0</v>
      </c>
      <c r="I132">
        <v>0</v>
      </c>
      <c r="J132" s="92">
        <v>0</v>
      </c>
    </row>
    <row r="133" spans="1:10" x14ac:dyDescent="0.3">
      <c r="A133" s="92">
        <v>5000</v>
      </c>
      <c r="B133">
        <v>5000</v>
      </c>
      <c r="C133">
        <v>0</v>
      </c>
      <c r="D133">
        <v>0</v>
      </c>
      <c r="E133">
        <v>1</v>
      </c>
      <c r="F133">
        <v>0</v>
      </c>
      <c r="G133">
        <v>0</v>
      </c>
      <c r="H133">
        <v>0</v>
      </c>
      <c r="I133">
        <v>0</v>
      </c>
      <c r="J133" s="92">
        <v>1</v>
      </c>
    </row>
    <row r="134" spans="1:10" x14ac:dyDescent="0.3">
      <c r="A134" s="92">
        <v>5025</v>
      </c>
      <c r="B134">
        <v>5025</v>
      </c>
      <c r="C134">
        <v>0</v>
      </c>
      <c r="D134">
        <v>0</v>
      </c>
      <c r="E134">
        <v>0</v>
      </c>
      <c r="F134">
        <v>0</v>
      </c>
      <c r="G134">
        <v>0</v>
      </c>
      <c r="H134">
        <v>0</v>
      </c>
      <c r="I134">
        <v>0</v>
      </c>
      <c r="J134" s="92">
        <v>0</v>
      </c>
    </row>
    <row r="135" spans="1:10" x14ac:dyDescent="0.3">
      <c r="A135" s="92">
        <v>5050</v>
      </c>
      <c r="B135">
        <v>5050</v>
      </c>
      <c r="C135">
        <v>0</v>
      </c>
      <c r="D135">
        <v>0</v>
      </c>
      <c r="E135">
        <v>0</v>
      </c>
      <c r="F135">
        <v>0</v>
      </c>
      <c r="G135">
        <v>0</v>
      </c>
      <c r="H135">
        <v>0</v>
      </c>
      <c r="I135">
        <v>0</v>
      </c>
      <c r="J135" s="92">
        <v>0</v>
      </c>
    </row>
    <row r="136" spans="1:10" x14ac:dyDescent="0.3">
      <c r="A136" s="92">
        <v>5075</v>
      </c>
      <c r="B136">
        <v>5075</v>
      </c>
      <c r="C136">
        <v>0</v>
      </c>
      <c r="D136">
        <v>0</v>
      </c>
      <c r="E136">
        <v>0</v>
      </c>
      <c r="F136">
        <v>0</v>
      </c>
      <c r="G136">
        <v>0</v>
      </c>
      <c r="H136">
        <v>0</v>
      </c>
      <c r="I136">
        <v>0</v>
      </c>
      <c r="J136" s="92">
        <v>0</v>
      </c>
    </row>
    <row r="137" spans="1:10" x14ac:dyDescent="0.3">
      <c r="A137" s="92">
        <v>5100</v>
      </c>
      <c r="B137">
        <v>5100</v>
      </c>
      <c r="C137">
        <v>0</v>
      </c>
      <c r="D137">
        <v>0</v>
      </c>
      <c r="E137">
        <v>2</v>
      </c>
      <c r="F137">
        <v>0</v>
      </c>
      <c r="G137">
        <v>0</v>
      </c>
      <c r="H137">
        <v>0</v>
      </c>
      <c r="I137">
        <v>0</v>
      </c>
      <c r="J137" s="92">
        <v>2</v>
      </c>
    </row>
    <row r="138" spans="1:10" x14ac:dyDescent="0.3">
      <c r="A138" s="92">
        <v>5125</v>
      </c>
      <c r="B138">
        <v>5125</v>
      </c>
      <c r="C138">
        <v>0</v>
      </c>
      <c r="D138">
        <v>0</v>
      </c>
      <c r="E138">
        <v>0</v>
      </c>
      <c r="F138">
        <v>0</v>
      </c>
      <c r="G138">
        <v>0</v>
      </c>
      <c r="H138">
        <v>0</v>
      </c>
      <c r="I138">
        <v>0</v>
      </c>
      <c r="J138" s="92">
        <v>0</v>
      </c>
    </row>
    <row r="139" spans="1:10" x14ac:dyDescent="0.3">
      <c r="A139" s="92">
        <v>5150</v>
      </c>
      <c r="B139">
        <v>5150</v>
      </c>
      <c r="C139">
        <v>0</v>
      </c>
      <c r="D139">
        <v>0</v>
      </c>
      <c r="E139">
        <v>0</v>
      </c>
      <c r="F139">
        <v>0</v>
      </c>
      <c r="G139">
        <v>0</v>
      </c>
      <c r="H139">
        <v>0</v>
      </c>
      <c r="I139">
        <v>0</v>
      </c>
      <c r="J139" s="92">
        <v>0</v>
      </c>
    </row>
    <row r="140" spans="1:10" x14ac:dyDescent="0.3">
      <c r="A140" s="92">
        <v>5175</v>
      </c>
      <c r="B140">
        <v>5175</v>
      </c>
      <c r="C140">
        <v>0</v>
      </c>
      <c r="D140">
        <v>0</v>
      </c>
      <c r="E140">
        <v>0</v>
      </c>
      <c r="F140">
        <v>0</v>
      </c>
      <c r="G140">
        <v>0</v>
      </c>
      <c r="H140">
        <v>0</v>
      </c>
      <c r="I140">
        <v>0</v>
      </c>
      <c r="J140" s="92">
        <v>0</v>
      </c>
    </row>
    <row r="141" spans="1:10" x14ac:dyDescent="0.3">
      <c r="A141" s="92">
        <v>5200</v>
      </c>
      <c r="B141">
        <v>5200</v>
      </c>
      <c r="C141">
        <v>0</v>
      </c>
      <c r="D141">
        <v>0</v>
      </c>
      <c r="E141">
        <v>0</v>
      </c>
      <c r="F141">
        <v>0</v>
      </c>
      <c r="G141">
        <v>0</v>
      </c>
      <c r="H141">
        <v>0</v>
      </c>
      <c r="I141">
        <v>0</v>
      </c>
      <c r="J141" s="92">
        <v>0</v>
      </c>
    </row>
    <row r="142" spans="1:10" x14ac:dyDescent="0.3">
      <c r="A142" s="92">
        <v>5225</v>
      </c>
      <c r="B142">
        <v>5225</v>
      </c>
      <c r="C142">
        <v>0</v>
      </c>
      <c r="D142">
        <v>0</v>
      </c>
      <c r="E142">
        <v>0</v>
      </c>
      <c r="F142">
        <v>0</v>
      </c>
      <c r="G142">
        <v>0</v>
      </c>
      <c r="H142">
        <v>0</v>
      </c>
      <c r="I142">
        <v>0</v>
      </c>
      <c r="J142" s="92">
        <v>0</v>
      </c>
    </row>
    <row r="143" spans="1:10" x14ac:dyDescent="0.3">
      <c r="A143" s="92">
        <v>5250</v>
      </c>
      <c r="B143">
        <v>5250</v>
      </c>
      <c r="C143">
        <v>0</v>
      </c>
      <c r="D143">
        <v>0</v>
      </c>
      <c r="E143">
        <v>0</v>
      </c>
      <c r="F143">
        <v>0</v>
      </c>
      <c r="G143">
        <v>0</v>
      </c>
      <c r="H143">
        <v>0</v>
      </c>
      <c r="I143">
        <v>0</v>
      </c>
      <c r="J143" s="92">
        <v>0</v>
      </c>
    </row>
    <row r="144" spans="1:10" x14ac:dyDescent="0.3">
      <c r="A144" s="92">
        <v>5275</v>
      </c>
      <c r="B144">
        <v>5275</v>
      </c>
      <c r="C144">
        <v>0</v>
      </c>
      <c r="D144">
        <v>0</v>
      </c>
      <c r="E144">
        <v>0</v>
      </c>
      <c r="F144">
        <v>0</v>
      </c>
      <c r="G144">
        <v>0</v>
      </c>
      <c r="H144">
        <v>0</v>
      </c>
      <c r="I144">
        <v>0</v>
      </c>
      <c r="J144" s="92">
        <v>0</v>
      </c>
    </row>
    <row r="145" spans="1:10" x14ac:dyDescent="0.3">
      <c r="A145" s="92">
        <v>5300</v>
      </c>
      <c r="B145">
        <v>5300</v>
      </c>
      <c r="C145">
        <v>0</v>
      </c>
      <c r="D145">
        <v>0</v>
      </c>
      <c r="E145">
        <v>0</v>
      </c>
      <c r="F145">
        <v>0</v>
      </c>
      <c r="G145">
        <v>0</v>
      </c>
      <c r="H145">
        <v>0</v>
      </c>
      <c r="I145">
        <v>0</v>
      </c>
      <c r="J145" s="92">
        <v>0</v>
      </c>
    </row>
    <row r="146" spans="1:10" x14ac:dyDescent="0.3">
      <c r="A146" s="92">
        <v>5325</v>
      </c>
      <c r="B146">
        <v>5325</v>
      </c>
      <c r="C146">
        <v>0</v>
      </c>
      <c r="D146">
        <v>0</v>
      </c>
      <c r="E146">
        <v>0</v>
      </c>
      <c r="F146">
        <v>0</v>
      </c>
      <c r="G146">
        <v>0</v>
      </c>
      <c r="H146">
        <v>0</v>
      </c>
      <c r="I146">
        <v>0</v>
      </c>
      <c r="J146" s="92">
        <v>0</v>
      </c>
    </row>
    <row r="147" spans="1:10" x14ac:dyDescent="0.3">
      <c r="A147" s="92">
        <v>5400</v>
      </c>
      <c r="B147">
        <v>5400</v>
      </c>
      <c r="C147">
        <v>0</v>
      </c>
      <c r="D147">
        <v>0</v>
      </c>
      <c r="E147">
        <v>0</v>
      </c>
      <c r="F147">
        <v>0</v>
      </c>
      <c r="G147">
        <v>0</v>
      </c>
      <c r="H147">
        <v>0</v>
      </c>
      <c r="I147">
        <v>0</v>
      </c>
      <c r="J147" s="92">
        <v>0</v>
      </c>
    </row>
    <row r="148" spans="1:10" x14ac:dyDescent="0.3">
      <c r="A148" s="92">
        <v>5500</v>
      </c>
      <c r="B148">
        <v>5500</v>
      </c>
      <c r="C148">
        <v>0</v>
      </c>
      <c r="D148">
        <v>0</v>
      </c>
      <c r="E148">
        <v>0</v>
      </c>
      <c r="F148">
        <v>0</v>
      </c>
      <c r="G148">
        <v>0</v>
      </c>
      <c r="H148">
        <v>0</v>
      </c>
      <c r="I148">
        <v>0</v>
      </c>
      <c r="J148" s="92">
        <v>0</v>
      </c>
    </row>
    <row r="149" spans="1:10" x14ac:dyDescent="0.3">
      <c r="A149" s="92">
        <v>5600</v>
      </c>
      <c r="B149">
        <v>5600</v>
      </c>
      <c r="C149">
        <v>0</v>
      </c>
      <c r="D149">
        <v>0</v>
      </c>
      <c r="E149">
        <v>0</v>
      </c>
      <c r="F149">
        <v>0</v>
      </c>
      <c r="G149">
        <v>0</v>
      </c>
      <c r="H149">
        <v>0</v>
      </c>
      <c r="I149">
        <v>0</v>
      </c>
      <c r="J149" s="92">
        <v>0</v>
      </c>
    </row>
    <row r="150" spans="1:10" x14ac:dyDescent="0.3">
      <c r="A150" s="92">
        <v>5700</v>
      </c>
      <c r="B150">
        <v>5700</v>
      </c>
      <c r="C150">
        <v>0</v>
      </c>
      <c r="D150">
        <v>0</v>
      </c>
      <c r="E150">
        <v>3</v>
      </c>
      <c r="F150">
        <v>0</v>
      </c>
      <c r="G150">
        <v>0</v>
      </c>
      <c r="H150">
        <v>0</v>
      </c>
      <c r="I150">
        <v>0</v>
      </c>
      <c r="J150" s="92">
        <v>3</v>
      </c>
    </row>
    <row r="151" spans="1:10" x14ac:dyDescent="0.3">
      <c r="A151" s="92">
        <v>5800</v>
      </c>
      <c r="B151">
        <v>5800</v>
      </c>
      <c r="C151">
        <v>0</v>
      </c>
      <c r="D151">
        <v>0</v>
      </c>
      <c r="E151">
        <v>3</v>
      </c>
      <c r="F151">
        <v>0</v>
      </c>
      <c r="G151">
        <v>0</v>
      </c>
      <c r="H151">
        <v>0</v>
      </c>
      <c r="I151">
        <v>0</v>
      </c>
      <c r="J151" s="92">
        <v>3</v>
      </c>
    </row>
    <row r="152" spans="1:10" x14ac:dyDescent="0.3">
      <c r="A152" s="92">
        <v>5900</v>
      </c>
      <c r="B152">
        <v>5900</v>
      </c>
      <c r="C152">
        <v>0</v>
      </c>
      <c r="D152">
        <v>0</v>
      </c>
      <c r="E152">
        <v>0</v>
      </c>
      <c r="F152">
        <v>0</v>
      </c>
      <c r="G152">
        <v>0</v>
      </c>
      <c r="H152">
        <v>0</v>
      </c>
      <c r="I152">
        <v>0</v>
      </c>
      <c r="J152" s="92">
        <v>0</v>
      </c>
    </row>
    <row r="153" spans="1:10" x14ac:dyDescent="0.3">
      <c r="A153" s="92">
        <v>6000</v>
      </c>
      <c r="B153">
        <v>6000</v>
      </c>
      <c r="C153">
        <v>0</v>
      </c>
      <c r="D153">
        <v>0</v>
      </c>
      <c r="E153">
        <v>0</v>
      </c>
      <c r="F153">
        <v>0</v>
      </c>
      <c r="G153">
        <v>0</v>
      </c>
      <c r="H153">
        <v>0</v>
      </c>
      <c r="I153">
        <v>0</v>
      </c>
      <c r="J153" s="92">
        <v>0</v>
      </c>
    </row>
    <row r="154" spans="1:10" x14ac:dyDescent="0.3">
      <c r="A154" s="92">
        <v>7000</v>
      </c>
      <c r="B154">
        <v>7000</v>
      </c>
      <c r="C154">
        <v>0</v>
      </c>
      <c r="D154">
        <v>0</v>
      </c>
      <c r="E154">
        <v>0</v>
      </c>
      <c r="F154">
        <v>0</v>
      </c>
      <c r="G154">
        <v>0</v>
      </c>
      <c r="H154">
        <v>0</v>
      </c>
      <c r="I154">
        <v>0</v>
      </c>
      <c r="J154" s="92">
        <v>0</v>
      </c>
    </row>
    <row r="155" spans="1:10" x14ac:dyDescent="0.3">
      <c r="A155" s="92">
        <v>8000</v>
      </c>
      <c r="B155">
        <v>8000</v>
      </c>
      <c r="C155">
        <v>0</v>
      </c>
      <c r="D155">
        <v>0</v>
      </c>
      <c r="E155">
        <v>0</v>
      </c>
      <c r="F155">
        <v>0</v>
      </c>
      <c r="G155">
        <v>0</v>
      </c>
      <c r="H155">
        <v>0</v>
      </c>
      <c r="I155">
        <v>0</v>
      </c>
      <c r="J155" s="92">
        <v>0</v>
      </c>
    </row>
    <row r="156" spans="1:10" x14ac:dyDescent="0.3">
      <c r="A156" s="92">
        <v>9000</v>
      </c>
      <c r="B156">
        <v>9000</v>
      </c>
      <c r="C156">
        <v>0</v>
      </c>
      <c r="D156">
        <v>0</v>
      </c>
      <c r="E156">
        <v>0</v>
      </c>
      <c r="F156">
        <v>0</v>
      </c>
      <c r="G156">
        <v>0</v>
      </c>
      <c r="H156">
        <v>0</v>
      </c>
      <c r="I156">
        <v>0</v>
      </c>
      <c r="J156" s="92">
        <v>0</v>
      </c>
    </row>
    <row r="157" spans="1:10" x14ac:dyDescent="0.3">
      <c r="A157" t="s">
        <v>284</v>
      </c>
      <c r="B157">
        <v>10000</v>
      </c>
      <c r="C157">
        <v>0</v>
      </c>
      <c r="D157">
        <v>0</v>
      </c>
      <c r="E157">
        <v>0</v>
      </c>
      <c r="F157">
        <v>0</v>
      </c>
      <c r="G157">
        <v>0</v>
      </c>
      <c r="H157">
        <v>0</v>
      </c>
      <c r="I157">
        <v>0</v>
      </c>
      <c r="J157">
        <v>5722.8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57F5-D26F-4527-9E01-78ADFC7C1056}">
  <sheetPr codeName="Tabelle13"/>
  <dimension ref="A2:I47"/>
  <sheetViews>
    <sheetView view="pageBreakPreview" topLeftCell="A19"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163</v>
      </c>
      <c r="F5" s="85"/>
    </row>
    <row r="7" spans="1:6" ht="23.4" x14ac:dyDescent="0.45">
      <c r="E7" s="86" t="s">
        <v>151</v>
      </c>
    </row>
    <row r="8" spans="1:6" ht="23.4" x14ac:dyDescent="0.45">
      <c r="E8" s="86" t="s">
        <v>152</v>
      </c>
    </row>
    <row r="9" spans="1:6" ht="23.4" x14ac:dyDescent="0.45">
      <c r="E9" s="86" t="s">
        <v>153</v>
      </c>
    </row>
    <row r="11" spans="1:6" ht="23.4" x14ac:dyDescent="0.45">
      <c r="E11" s="86" t="s">
        <v>144</v>
      </c>
    </row>
    <row r="12" spans="1:6" ht="23.4" x14ac:dyDescent="0.45">
      <c r="E12" s="86" t="s">
        <v>154</v>
      </c>
    </row>
    <row r="15" spans="1:6" ht="23.4" x14ac:dyDescent="0.45">
      <c r="A15" s="82" t="s">
        <v>145</v>
      </c>
      <c r="E15" s="86" t="s">
        <v>155</v>
      </c>
    </row>
    <row r="16" spans="1:6" ht="23.4" x14ac:dyDescent="0.45">
      <c r="E16" s="86" t="s">
        <v>156</v>
      </c>
    </row>
    <row r="17" spans="1:5" ht="23.4" x14ac:dyDescent="0.45">
      <c r="E17" s="86" t="s">
        <v>157</v>
      </c>
    </row>
    <row r="18" spans="1:5" ht="23.4" x14ac:dyDescent="0.45">
      <c r="E18" s="86" t="s">
        <v>158</v>
      </c>
    </row>
    <row r="20" spans="1:5" ht="23.4" x14ac:dyDescent="0.45">
      <c r="E20" s="86" t="s">
        <v>144</v>
      </c>
    </row>
    <row r="21" spans="1:5" ht="23.4" x14ac:dyDescent="0.45">
      <c r="E21" s="86" t="s">
        <v>154</v>
      </c>
    </row>
    <row r="24" spans="1:5" x14ac:dyDescent="0.3">
      <c r="A24" t="s">
        <v>146</v>
      </c>
    </row>
    <row r="27" spans="1:5" ht="18" x14ac:dyDescent="0.35">
      <c r="A27" s="82" t="s">
        <v>147</v>
      </c>
    </row>
    <row r="29" spans="1:5" ht="23.4" x14ac:dyDescent="0.3">
      <c r="A29" s="83" t="s">
        <v>148</v>
      </c>
    </row>
    <row r="30" spans="1:5" ht="23.4" x14ac:dyDescent="0.45">
      <c r="A30" s="83" t="s">
        <v>159</v>
      </c>
      <c r="E30" s="86" t="s">
        <v>161</v>
      </c>
    </row>
    <row r="31" spans="1:5" ht="23.4" x14ac:dyDescent="0.3">
      <c r="A31" s="83" t="s">
        <v>160</v>
      </c>
    </row>
    <row r="32" spans="1:5" ht="23.4" x14ac:dyDescent="0.3">
      <c r="A32" s="83" t="s">
        <v>149</v>
      </c>
    </row>
    <row r="35" spans="1:9" x14ac:dyDescent="0.3">
      <c r="A35" s="87" t="s">
        <v>150</v>
      </c>
    </row>
    <row r="40" spans="1:9" x14ac:dyDescent="0.3">
      <c r="A40" s="106"/>
      <c r="B40" s="106"/>
      <c r="C40" s="106"/>
      <c r="D40" s="106"/>
      <c r="E40" s="106"/>
      <c r="F40" s="106"/>
      <c r="G40" s="106"/>
      <c r="H40" s="106"/>
      <c r="I40" s="106"/>
    </row>
    <row r="47" spans="1:9" x14ac:dyDescent="0.3">
      <c r="A47" s="106" t="s">
        <v>162</v>
      </c>
      <c r="B47" s="106"/>
      <c r="C47" s="106"/>
      <c r="D47" s="106"/>
      <c r="E47" s="106"/>
      <c r="F47" s="106"/>
      <c r="G47" s="106"/>
      <c r="H47" s="106"/>
      <c r="I47" s="106"/>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02E4C-9905-4F9A-A321-32DACF94E9B9}">
  <sheetPr codeName="Tabelle18"/>
  <dimension ref="A2:I48"/>
  <sheetViews>
    <sheetView view="pageBreakPreview"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164</v>
      </c>
      <c r="F5" s="85"/>
    </row>
    <row r="7" spans="1:6" ht="23.4" x14ac:dyDescent="0.45">
      <c r="E7" s="86" t="s">
        <v>151</v>
      </c>
    </row>
    <row r="8" spans="1:6" ht="23.4" x14ac:dyDescent="0.45">
      <c r="E8" s="86" t="s">
        <v>152</v>
      </c>
    </row>
    <row r="9" spans="1:6" ht="23.4" x14ac:dyDescent="0.45">
      <c r="E9" s="86" t="s">
        <v>165</v>
      </c>
    </row>
    <row r="11" spans="1:6" ht="23.4" x14ac:dyDescent="0.45">
      <c r="E11" s="86" t="s">
        <v>144</v>
      </c>
    </row>
    <row r="12" spans="1:6" ht="23.4" x14ac:dyDescent="0.45">
      <c r="E12" s="86" t="s">
        <v>154</v>
      </c>
    </row>
    <row r="15" spans="1:6" ht="18" x14ac:dyDescent="0.35">
      <c r="A15" s="82" t="s">
        <v>145</v>
      </c>
      <c r="E15" s="85" t="s">
        <v>166</v>
      </c>
    </row>
    <row r="16" spans="1:6" ht="18" x14ac:dyDescent="0.35">
      <c r="A16" s="82"/>
      <c r="E16" s="85"/>
    </row>
    <row r="17" spans="1:5" ht="23.4" x14ac:dyDescent="0.45">
      <c r="E17" s="86" t="s">
        <v>155</v>
      </c>
    </row>
    <row r="18" spans="1:5" ht="23.4" x14ac:dyDescent="0.45">
      <c r="E18" s="86" t="s">
        <v>156</v>
      </c>
    </row>
    <row r="19" spans="1:5" ht="23.4" x14ac:dyDescent="0.45">
      <c r="E19" s="86" t="s">
        <v>157</v>
      </c>
    </row>
    <row r="20" spans="1:5" ht="23.4" x14ac:dyDescent="0.45">
      <c r="E20" s="86" t="s">
        <v>167</v>
      </c>
    </row>
    <row r="22" spans="1:5" ht="23.4" x14ac:dyDescent="0.45">
      <c r="E22" s="86" t="s">
        <v>144</v>
      </c>
    </row>
    <row r="23" spans="1:5" ht="23.4" x14ac:dyDescent="0.45">
      <c r="E23" s="86" t="s">
        <v>154</v>
      </c>
    </row>
    <row r="25" spans="1:5" x14ac:dyDescent="0.3">
      <c r="A25" t="s">
        <v>146</v>
      </c>
    </row>
    <row r="28" spans="1:5" ht="18" x14ac:dyDescent="0.35">
      <c r="A28" s="82" t="s">
        <v>147</v>
      </c>
    </row>
    <row r="30" spans="1:5" ht="23.4" x14ac:dyDescent="0.3">
      <c r="A30" s="83" t="s">
        <v>148</v>
      </c>
    </row>
    <row r="31" spans="1:5" ht="23.4" x14ac:dyDescent="0.45">
      <c r="A31" s="83" t="s">
        <v>159</v>
      </c>
      <c r="E31" s="86" t="s">
        <v>161</v>
      </c>
    </row>
    <row r="32" spans="1:5" ht="23.4" x14ac:dyDescent="0.3">
      <c r="A32" s="83" t="s">
        <v>160</v>
      </c>
    </row>
    <row r="33" spans="1:9" ht="23.4" x14ac:dyDescent="0.3">
      <c r="A33" s="83" t="s">
        <v>149</v>
      </c>
    </row>
    <row r="36" spans="1:9" x14ac:dyDescent="0.3">
      <c r="A36" s="87" t="s">
        <v>150</v>
      </c>
    </row>
    <row r="41" spans="1:9" x14ac:dyDescent="0.3">
      <c r="A41" s="106"/>
      <c r="B41" s="106"/>
      <c r="C41" s="106"/>
      <c r="D41" s="106"/>
      <c r="E41" s="106"/>
      <c r="F41" s="106"/>
      <c r="G41" s="106"/>
      <c r="H41" s="106"/>
      <c r="I41" s="106"/>
    </row>
    <row r="48" spans="1:9" x14ac:dyDescent="0.3">
      <c r="A48" s="106" t="s">
        <v>162</v>
      </c>
      <c r="B48" s="106"/>
      <c r="C48" s="106"/>
      <c r="D48" s="106"/>
      <c r="E48" s="106"/>
      <c r="F48" s="106"/>
      <c r="G48" s="106"/>
      <c r="H48" s="106"/>
      <c r="I48" s="106"/>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D66"/>
  <sheetViews>
    <sheetView topLeftCell="F10" zoomScale="80" zoomScaleNormal="80" workbookViewId="0">
      <selection activeCell="P40" sqref="P40"/>
    </sheetView>
  </sheetViews>
  <sheetFormatPr baseColWidth="10" defaultRowHeight="14.4" x14ac:dyDescent="0.3"/>
  <cols>
    <col min="1" max="1" width="20.109375" customWidth="1"/>
    <col min="14" max="14" width="15.5546875" customWidth="1"/>
  </cols>
  <sheetData>
    <row r="1" spans="1:30" x14ac:dyDescent="0.3">
      <c r="A1" t="s">
        <v>14</v>
      </c>
      <c r="B1" s="46" t="s">
        <v>90</v>
      </c>
      <c r="N1" t="s">
        <v>91</v>
      </c>
      <c r="AD1" s="80" t="s">
        <v>136</v>
      </c>
    </row>
    <row r="2" spans="1:30" x14ac:dyDescent="0.3">
      <c r="A2" t="s">
        <v>92</v>
      </c>
      <c r="B2" s="46" t="s">
        <v>96</v>
      </c>
      <c r="AD2" s="79" t="s">
        <v>135</v>
      </c>
    </row>
    <row r="3" spans="1:30" x14ac:dyDescent="0.3">
      <c r="B3" s="46"/>
      <c r="AD3" s="79" t="s">
        <v>133</v>
      </c>
    </row>
    <row r="6" spans="1:30" x14ac:dyDescent="0.3">
      <c r="N6" t="s">
        <v>168</v>
      </c>
      <c r="O6" t="s">
        <v>171</v>
      </c>
    </row>
    <row r="7" spans="1:30" x14ac:dyDescent="0.3">
      <c r="N7" t="s">
        <v>169</v>
      </c>
      <c r="O7" t="s">
        <v>172</v>
      </c>
    </row>
    <row r="8" spans="1:30" x14ac:dyDescent="0.3">
      <c r="N8" t="s">
        <v>170</v>
      </c>
      <c r="O8" t="s">
        <v>172</v>
      </c>
    </row>
    <row r="22" spans="1:20" x14ac:dyDescent="0.3">
      <c r="O22" t="s">
        <v>189</v>
      </c>
      <c r="P22" t="s">
        <v>301</v>
      </c>
    </row>
    <row r="23" spans="1:20" ht="18" x14ac:dyDescent="0.3">
      <c r="A23" s="54" t="s">
        <v>33</v>
      </c>
    </row>
    <row r="24" spans="1:20" x14ac:dyDescent="0.3">
      <c r="A24" t="str">
        <f>"STOXX "&amp;A23 &amp; " - " &amp;STOXX_Summery!C3 &amp; " Tage bis Verfall  - " &amp; (DAY(STOXX_Summery!C9) &amp; "."&amp; MONTH(STOXX_Summery!C9) &amp;"."&amp;YEAR(STOXX_Summery!C9))</f>
        <v>STOXX Änderung des Hedgebedarfs für den Frontmonat (Kontrakte/P) - 4 Tage bis Verfall  - 11.9.2023</v>
      </c>
    </row>
    <row r="26" spans="1:20" x14ac:dyDescent="0.3">
      <c r="A26" t="s">
        <v>38</v>
      </c>
    </row>
    <row r="28" spans="1:20" x14ac:dyDescent="0.3">
      <c r="A28" t="str">
        <f>"STOXX "&amp;A26 &amp; " - " &amp;STOXX_Summery!C3 &amp; " days until expiration    -   " &amp; (YEAR(STOXX_Summery!C9)&amp;"-"&amp;MONTH(STOXX_Summery!C9)&amp;"-"&amp;DAY(STOXX_Summery!C9))&amp;" (last trading day closing:  "&amp;Ueberhaenge!X4&amp;")"</f>
        <v>STOXX Change in hedge requirement for front and following month (contracts/P, estimated) - 4 days until expiration    -   2023-9-11 (last trading day closing:  4241,34)</v>
      </c>
    </row>
    <row r="30" spans="1:20" x14ac:dyDescent="0.3">
      <c r="N30" t="s">
        <v>134</v>
      </c>
      <c r="O30" s="79" t="s">
        <v>133</v>
      </c>
    </row>
    <row r="31" spans="1:20" x14ac:dyDescent="0.3">
      <c r="A31" t="s">
        <v>3</v>
      </c>
      <c r="B31" t="str">
        <f>O34&amp;"-"&amp;P34</f>
        <v>2023-09</v>
      </c>
    </row>
    <row r="32" spans="1:20" x14ac:dyDescent="0.3">
      <c r="A32" t="s">
        <v>40</v>
      </c>
      <c r="B32" t="str">
        <f>O36&amp;"-"&amp;P36</f>
        <v>2023-10</v>
      </c>
      <c r="N32" s="109" t="s">
        <v>73</v>
      </c>
      <c r="O32" s="108" t="s">
        <v>22</v>
      </c>
      <c r="P32" s="108"/>
      <c r="S32" s="108" t="s">
        <v>176</v>
      </c>
      <c r="T32" s="108"/>
    </row>
    <row r="33" spans="1:20" x14ac:dyDescent="0.3">
      <c r="A33" t="s">
        <v>41</v>
      </c>
      <c r="B33" t="str">
        <f>B31&amp;"+"&amp;B32</f>
        <v>2023-09+2023-10</v>
      </c>
      <c r="N33" s="109"/>
      <c r="O33" s="47" t="s">
        <v>74</v>
      </c>
      <c r="P33" s="47" t="s">
        <v>75</v>
      </c>
    </row>
    <row r="34" spans="1:20" x14ac:dyDescent="0.3">
      <c r="N34" t="s">
        <v>97</v>
      </c>
      <c r="O34" s="49">
        <v>2023</v>
      </c>
      <c r="P34" s="48" t="s">
        <v>245</v>
      </c>
      <c r="Q34" t="s">
        <v>205</v>
      </c>
      <c r="R34" s="52"/>
      <c r="S34" s="41">
        <v>45184</v>
      </c>
      <c r="T34" t="s">
        <v>246</v>
      </c>
    </row>
    <row r="35" spans="1:20" x14ac:dyDescent="0.3">
      <c r="A35" t="s">
        <v>42</v>
      </c>
      <c r="N35" t="s">
        <v>98</v>
      </c>
      <c r="O35" s="49">
        <v>2023</v>
      </c>
      <c r="P35" s="48" t="s">
        <v>245</v>
      </c>
      <c r="Q35" t="s">
        <v>205</v>
      </c>
      <c r="R35" s="52"/>
      <c r="S35" s="41"/>
    </row>
    <row r="36" spans="1:20" x14ac:dyDescent="0.3">
      <c r="N36" t="s">
        <v>108</v>
      </c>
      <c r="O36" s="49">
        <v>2023</v>
      </c>
      <c r="P36" s="48" t="s">
        <v>286</v>
      </c>
      <c r="Q36" t="s">
        <v>205</v>
      </c>
      <c r="R36" s="52"/>
      <c r="S36" s="41">
        <v>45219</v>
      </c>
      <c r="T36" t="s">
        <v>206</v>
      </c>
    </row>
    <row r="37" spans="1:20" x14ac:dyDescent="0.3">
      <c r="N37" t="s">
        <v>109</v>
      </c>
      <c r="O37" s="49">
        <v>2023</v>
      </c>
      <c r="P37" s="48" t="s">
        <v>286</v>
      </c>
      <c r="Q37" t="s">
        <v>205</v>
      </c>
      <c r="R37" s="52"/>
      <c r="S37" s="41"/>
    </row>
    <row r="38" spans="1:20" x14ac:dyDescent="0.3">
      <c r="N38" t="s">
        <v>173</v>
      </c>
      <c r="O38" s="49">
        <v>2023</v>
      </c>
      <c r="P38" s="48" t="s">
        <v>245</v>
      </c>
      <c r="Q38" t="s">
        <v>205</v>
      </c>
      <c r="R38" s="52"/>
    </row>
    <row r="39" spans="1:20" x14ac:dyDescent="0.3">
      <c r="A39" t="s">
        <v>54</v>
      </c>
      <c r="B39" t="s">
        <v>220</v>
      </c>
      <c r="N39" t="s">
        <v>174</v>
      </c>
      <c r="O39" s="49">
        <v>2023</v>
      </c>
      <c r="P39" s="48" t="s">
        <v>245</v>
      </c>
      <c r="Q39" t="s">
        <v>205</v>
      </c>
      <c r="R39" s="52"/>
    </row>
    <row r="40" spans="1:20" x14ac:dyDescent="0.3">
      <c r="A40" t="s">
        <v>55</v>
      </c>
      <c r="B40" t="s">
        <v>103</v>
      </c>
      <c r="O40" s="49"/>
      <c r="P40" s="48"/>
      <c r="R40" s="39"/>
    </row>
    <row r="41" spans="1:20" x14ac:dyDescent="0.3">
      <c r="O41" s="49"/>
      <c r="P41" s="48"/>
      <c r="R41" s="39"/>
    </row>
    <row r="42" spans="1:20" x14ac:dyDescent="0.3">
      <c r="A42" t="s">
        <v>85</v>
      </c>
      <c r="O42" s="49"/>
      <c r="P42" s="48"/>
      <c r="R42" s="39"/>
    </row>
    <row r="43" spans="1:20" x14ac:dyDescent="0.3">
      <c r="A43" t="s">
        <v>81</v>
      </c>
      <c r="B43" t="s">
        <v>86</v>
      </c>
      <c r="C43" t="s">
        <v>87</v>
      </c>
      <c r="O43" s="49"/>
      <c r="P43" s="48"/>
      <c r="R43" s="39"/>
    </row>
    <row r="44" spans="1:20" x14ac:dyDescent="0.3">
      <c r="B44" t="s">
        <v>37</v>
      </c>
      <c r="C44" s="46" t="s">
        <v>88</v>
      </c>
      <c r="O44" s="49"/>
      <c r="P44" s="48"/>
      <c r="R44" s="39"/>
    </row>
    <row r="45" spans="1:20" x14ac:dyDescent="0.3">
      <c r="A45" t="s">
        <v>58</v>
      </c>
      <c r="B45" t="s">
        <v>81</v>
      </c>
      <c r="C45" t="s">
        <v>89</v>
      </c>
      <c r="O45" s="49"/>
      <c r="P45" s="48"/>
      <c r="R45" s="39"/>
    </row>
    <row r="46" spans="1:20" x14ac:dyDescent="0.3">
      <c r="O46" s="49"/>
      <c r="P46" s="48"/>
      <c r="R46" s="52"/>
    </row>
    <row r="47" spans="1:20" x14ac:dyDescent="0.3">
      <c r="O47" s="49"/>
      <c r="P47" s="48"/>
      <c r="R47" s="52"/>
    </row>
    <row r="49" spans="1:26" x14ac:dyDescent="0.3">
      <c r="A49" s="110" t="s">
        <v>71</v>
      </c>
      <c r="B49" s="110"/>
      <c r="C49" s="110"/>
      <c r="D49" s="110"/>
      <c r="E49" s="110"/>
      <c r="F49" s="110"/>
      <c r="G49" s="110"/>
      <c r="H49" s="110"/>
      <c r="I49" s="110"/>
      <c r="J49" s="110"/>
      <c r="K49" s="110"/>
      <c r="L49" s="110"/>
      <c r="M49" s="110"/>
      <c r="N49" s="110"/>
    </row>
    <row r="50" spans="1:26" ht="110.25" customHeight="1" x14ac:dyDescent="0.3">
      <c r="A50" t="s">
        <v>97</v>
      </c>
      <c r="B50" s="107" t="s">
        <v>247</v>
      </c>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row>
    <row r="51" spans="1:26" ht="114.9" customHeight="1" x14ac:dyDescent="0.3">
      <c r="A51" t="s">
        <v>98</v>
      </c>
      <c r="B51" s="107" t="s">
        <v>248</v>
      </c>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row>
    <row r="52" spans="1:26" ht="114.9" customHeight="1" x14ac:dyDescent="0.3">
      <c r="A52" t="s">
        <v>108</v>
      </c>
      <c r="B52" s="107" t="s">
        <v>249</v>
      </c>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row>
    <row r="53" spans="1:26" ht="114.9" customHeight="1" x14ac:dyDescent="0.3">
      <c r="A53" t="s">
        <v>109</v>
      </c>
      <c r="B53" s="107" t="s">
        <v>250</v>
      </c>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row>
    <row r="54" spans="1:26" ht="114.9" customHeight="1" x14ac:dyDescent="0.3">
      <c r="A54" t="s">
        <v>173</v>
      </c>
      <c r="B54" s="107" t="s">
        <v>251</v>
      </c>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row>
    <row r="55" spans="1:26" ht="114.9" customHeight="1" x14ac:dyDescent="0.3">
      <c r="A55" t="s">
        <v>174</v>
      </c>
      <c r="B55" s="107" t="s">
        <v>252</v>
      </c>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row>
    <row r="56" spans="1:26" ht="114.9" customHeight="1" x14ac:dyDescent="0.3">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row>
    <row r="57" spans="1:26" ht="114.9" customHeight="1" x14ac:dyDescent="0.3">
      <c r="B57" s="111"/>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row>
    <row r="58" spans="1:26" ht="22.5" customHeight="1" x14ac:dyDescent="0.3">
      <c r="B58" s="111"/>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row>
    <row r="59" spans="1:26" ht="114.9" customHeight="1" x14ac:dyDescent="0.3">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row>
    <row r="60" spans="1:26" ht="114.9" customHeight="1" x14ac:dyDescent="0.3">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row>
    <row r="61" spans="1:26" ht="114.9" customHeight="1" x14ac:dyDescent="0.3">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row>
    <row r="62" spans="1:26" ht="114.9" customHeight="1" x14ac:dyDescent="0.3">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row>
    <row r="63" spans="1:26" ht="114.9" customHeight="1" x14ac:dyDescent="0.3">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row>
    <row r="66" spans="1:2" ht="409.6" x14ac:dyDescent="0.3">
      <c r="A66" t="s">
        <v>93</v>
      </c>
      <c r="B66" s="25" t="s">
        <v>95</v>
      </c>
    </row>
  </sheetData>
  <mergeCells count="18">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 ref="O32:P32"/>
    <mergeCell ref="N32:N33"/>
    <mergeCell ref="B62:Z62"/>
    <mergeCell ref="S32:T32"/>
  </mergeCells>
  <dataValidations count="1">
    <dataValidation type="list" allowBlank="1" showInputMessage="1" showErrorMessage="1" sqref="O30" xr:uid="{24828781-BBCC-4224-9093-F9D4D66D3F56}">
      <formula1>$AD$2:$AD$3</formula1>
    </dataValidation>
  </dataValidations>
  <hyperlinks>
    <hyperlink ref="C44" r:id="rId1" xr:uid="{13AC0715-F374-445E-A314-83D1C782352C}"/>
    <hyperlink ref="B1" r:id="rId2" xr:uid="{0E2D53BC-B9E7-4F6C-AC07-1D7B09D3D37F}"/>
    <hyperlink ref="B2" r:id="rId3" xr:uid="{FB1C85F9-4D1B-4A63-9753-083F016C21E8}"/>
  </hyperlinks>
  <pageMargins left="0.7" right="0.7" top="0.78740157499999996" bottom="0.78740157499999996" header="0.3" footer="0.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F080-70CC-42BA-AE63-9C808AAEA095}">
  <sheetPr codeName="Tabelle20">
    <pageSetUpPr fitToPage="1"/>
  </sheetPr>
  <dimension ref="A1:V193"/>
  <sheetViews>
    <sheetView view="pageBreakPreview" zoomScaleNormal="70" zoomScaleSheetLayoutView="100" workbookViewId="0">
      <selection activeCell="A2" sqref="A2:K47"/>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9" t="s">
        <v>101</v>
      </c>
      <c r="B1" s="120"/>
      <c r="C1" s="120"/>
      <c r="D1" s="120"/>
      <c r="E1" s="120"/>
      <c r="F1" s="120"/>
      <c r="G1" s="121">
        <f>Ueberhaenge!G1</f>
        <v>45180</v>
      </c>
      <c r="H1" s="121"/>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4</v>
      </c>
      <c r="D3" s="62"/>
      <c r="E3" s="64" t="s">
        <v>31</v>
      </c>
      <c r="F3" s="64">
        <v>0.5</v>
      </c>
      <c r="G3" s="62"/>
      <c r="H3" s="67"/>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22" t="s">
        <v>104</v>
      </c>
      <c r="B6" s="123"/>
      <c r="C6" s="123"/>
      <c r="D6" s="123"/>
      <c r="E6" s="123"/>
      <c r="F6" s="123"/>
      <c r="G6" s="123"/>
      <c r="H6" s="123"/>
      <c r="I6" s="123"/>
      <c r="J6" s="59"/>
      <c r="K6" s="59"/>
      <c r="L6" s="1"/>
      <c r="M6" s="1"/>
      <c r="N6" s="124" t="s">
        <v>32</v>
      </c>
      <c r="O6" s="124"/>
      <c r="P6" s="124"/>
      <c r="Q6" s="124"/>
      <c r="R6" s="1"/>
      <c r="S6" s="1"/>
    </row>
    <row r="7" spans="1:22" ht="32.25" customHeight="1" thickBot="1" x14ac:dyDescent="0.65">
      <c r="A7" s="125" t="s">
        <v>1</v>
      </c>
      <c r="B7" s="128" t="str">
        <f xml:space="preserve"> "Front: " &amp; Ueberhaenge!D8</f>
        <v>Front: 2023-09</v>
      </c>
      <c r="C7" s="129"/>
      <c r="D7" s="130"/>
      <c r="E7" s="58"/>
      <c r="F7" s="58"/>
      <c r="G7" s="58"/>
      <c r="H7" s="59"/>
      <c r="I7" s="59"/>
      <c r="J7" s="59"/>
      <c r="K7" s="59"/>
      <c r="L7" s="1"/>
      <c r="M7" s="1"/>
      <c r="N7" s="124"/>
      <c r="O7" s="124"/>
      <c r="P7" s="124"/>
      <c r="Q7" s="124"/>
      <c r="R7" s="38"/>
      <c r="S7" s="38"/>
      <c r="T7" s="37"/>
      <c r="U7" s="37"/>
      <c r="V7" s="37"/>
    </row>
    <row r="8" spans="1:22" ht="21.6" thickBot="1" x14ac:dyDescent="0.45">
      <c r="A8" s="126"/>
      <c r="B8" s="131"/>
      <c r="C8" s="132"/>
      <c r="D8" s="133"/>
      <c r="E8" s="60"/>
      <c r="F8" s="59"/>
      <c r="G8" s="59"/>
      <c r="H8" s="59"/>
      <c r="I8" s="59"/>
      <c r="J8" s="59"/>
      <c r="K8" s="59"/>
      <c r="L8" s="1"/>
      <c r="M8" s="1"/>
      <c r="N8" s="35"/>
      <c r="O8" s="134" t="str">
        <f xml:space="preserve"> "Summe: " &amp; Ueberhaenge!D8 &amp; " bis " &amp; Ueberhaenge!I8</f>
        <v>Summe: 2023-09 bis -</v>
      </c>
      <c r="P8" s="135"/>
      <c r="Q8" s="136"/>
      <c r="R8" s="1"/>
      <c r="S8" s="1"/>
    </row>
    <row r="9" spans="1:22" ht="18.600000000000001" thickBot="1" x14ac:dyDescent="0.4">
      <c r="A9" s="127"/>
      <c r="B9" s="56" t="s">
        <v>26</v>
      </c>
      <c r="C9" s="57">
        <f>Ueberhaenge!G5</f>
        <v>45180</v>
      </c>
      <c r="D9" s="57">
        <f>IF(WEEKDAY(C9,2)=1,C9-3,C9-1)</f>
        <v>45177</v>
      </c>
      <c r="E9" s="60"/>
      <c r="F9" s="59"/>
      <c r="G9" s="59"/>
      <c r="H9" s="59"/>
      <c r="I9" s="59"/>
      <c r="J9" s="59"/>
      <c r="K9" s="59"/>
      <c r="L9" s="1"/>
      <c r="M9" s="1"/>
      <c r="N9" s="36" t="s">
        <v>1</v>
      </c>
      <c r="O9" s="22" t="s">
        <v>26</v>
      </c>
      <c r="P9" s="21">
        <f>C9</f>
        <v>45180</v>
      </c>
      <c r="Q9" s="21">
        <f>D9</f>
        <v>45177</v>
      </c>
      <c r="R9" s="1"/>
      <c r="S9" s="1"/>
    </row>
    <row r="10" spans="1:22" ht="23.1" customHeight="1" x14ac:dyDescent="0.35">
      <c r="A10" s="26">
        <v>4500</v>
      </c>
      <c r="B10" s="27">
        <f>STOXX_Summery!B10</f>
        <v>125</v>
      </c>
      <c r="C10" s="28">
        <v>-19654</v>
      </c>
      <c r="D10" s="28">
        <v>-19654</v>
      </c>
      <c r="E10" s="1"/>
      <c r="F10" s="1"/>
      <c r="G10" s="1"/>
      <c r="H10" s="1"/>
      <c r="I10" s="1"/>
      <c r="J10" s="1"/>
      <c r="K10" s="1"/>
      <c r="L10" s="1"/>
      <c r="M10" s="1"/>
      <c r="N10" s="26">
        <v>4500</v>
      </c>
      <c r="O10" s="29">
        <v>12777</v>
      </c>
      <c r="P10" s="30">
        <v>-33985</v>
      </c>
      <c r="Q10" s="31">
        <v>-46762</v>
      </c>
      <c r="R10" s="1"/>
      <c r="S10" s="1"/>
      <c r="T10" s="23">
        <v>-46762</v>
      </c>
    </row>
    <row r="11" spans="1:22" ht="23.1" customHeight="1" x14ac:dyDescent="0.35">
      <c r="A11" s="26">
        <v>4475</v>
      </c>
      <c r="B11" s="29">
        <v>-195</v>
      </c>
      <c r="C11" s="30">
        <v>-4219.5</v>
      </c>
      <c r="D11" s="30">
        <v>-4024.5</v>
      </c>
      <c r="E11" s="1"/>
      <c r="F11" s="1"/>
      <c r="G11" s="1"/>
      <c r="H11" s="1"/>
      <c r="I11" s="1"/>
      <c r="J11" s="1"/>
      <c r="K11" s="1"/>
      <c r="L11" s="1"/>
      <c r="M11" s="1"/>
      <c r="N11" s="26">
        <v>4475</v>
      </c>
      <c r="O11" s="29">
        <v>419</v>
      </c>
      <c r="P11" s="30">
        <v>-4931</v>
      </c>
      <c r="Q11" s="31">
        <v>-5350</v>
      </c>
      <c r="R11" s="1"/>
      <c r="S11" s="1"/>
      <c r="T11" s="23">
        <v>-5350</v>
      </c>
    </row>
    <row r="12" spans="1:22" ht="23.1" customHeight="1" x14ac:dyDescent="0.35">
      <c r="A12" s="26">
        <v>4450</v>
      </c>
      <c r="B12" s="29">
        <v>-1.5</v>
      </c>
      <c r="C12" s="30">
        <v>-6306</v>
      </c>
      <c r="D12" s="30">
        <v>-6304.5</v>
      </c>
      <c r="E12" s="1"/>
      <c r="F12" s="1"/>
      <c r="G12" s="1"/>
      <c r="H12" s="1"/>
      <c r="I12" s="1"/>
      <c r="J12" s="1"/>
      <c r="K12" s="1"/>
      <c r="L12" s="1"/>
      <c r="M12" s="1"/>
      <c r="N12" s="26">
        <v>4450</v>
      </c>
      <c r="O12" s="29">
        <v>36031.5</v>
      </c>
      <c r="P12" s="30">
        <v>-21315</v>
      </c>
      <c r="Q12" s="31">
        <v>-57346.5</v>
      </c>
      <c r="R12" s="1"/>
      <c r="S12" s="1"/>
      <c r="T12" s="23">
        <v>-57346.5</v>
      </c>
    </row>
    <row r="13" spans="1:22" ht="23.1" customHeight="1" x14ac:dyDescent="0.35">
      <c r="A13" s="26">
        <v>4425</v>
      </c>
      <c r="B13" s="29">
        <v>0</v>
      </c>
      <c r="C13" s="30">
        <v>-3982.5</v>
      </c>
      <c r="D13" s="30">
        <v>-3982.5</v>
      </c>
      <c r="E13" s="1"/>
      <c r="F13" s="1"/>
      <c r="G13" s="1"/>
      <c r="H13" s="1"/>
      <c r="I13" s="1"/>
      <c r="J13" s="1"/>
      <c r="K13" s="1"/>
      <c r="L13" s="1"/>
      <c r="M13" s="1"/>
      <c r="N13" s="26">
        <v>4425</v>
      </c>
      <c r="O13" s="29">
        <v>29932</v>
      </c>
      <c r="P13" s="30">
        <v>-6835.5</v>
      </c>
      <c r="Q13" s="31">
        <v>-36767.5</v>
      </c>
      <c r="R13" s="1"/>
      <c r="S13" s="1"/>
      <c r="T13" s="23">
        <v>-36767.5</v>
      </c>
    </row>
    <row r="14" spans="1:22" ht="23.1" customHeight="1" x14ac:dyDescent="0.35">
      <c r="A14" s="26">
        <v>4400</v>
      </c>
      <c r="B14" s="29">
        <v>437.5</v>
      </c>
      <c r="C14" s="30">
        <v>-24460.5</v>
      </c>
      <c r="D14" s="30">
        <v>-24898</v>
      </c>
      <c r="E14" s="1"/>
      <c r="F14" s="1"/>
      <c r="G14" s="1"/>
      <c r="H14" s="1"/>
      <c r="I14" s="1"/>
      <c r="J14" s="1"/>
      <c r="K14" s="1"/>
      <c r="L14" s="1"/>
      <c r="M14" s="1"/>
      <c r="N14" s="26">
        <v>4400</v>
      </c>
      <c r="O14" s="29">
        <v>46206.5</v>
      </c>
      <c r="P14" s="30">
        <v>-45740.5</v>
      </c>
      <c r="Q14" s="31">
        <v>-91947</v>
      </c>
      <c r="R14" s="1"/>
      <c r="S14" s="1"/>
      <c r="T14" s="23">
        <v>-91947</v>
      </c>
    </row>
    <row r="15" spans="1:22" ht="23.1" customHeight="1" x14ac:dyDescent="0.35">
      <c r="A15" s="26">
        <v>4375</v>
      </c>
      <c r="B15" s="29">
        <v>127</v>
      </c>
      <c r="C15" s="30">
        <v>-17958</v>
      </c>
      <c r="D15" s="30">
        <v>-18085</v>
      </c>
      <c r="E15" s="1"/>
      <c r="F15" s="1"/>
      <c r="G15" s="1"/>
      <c r="H15" s="1"/>
      <c r="I15" s="1"/>
      <c r="J15" s="1"/>
      <c r="K15" s="1"/>
      <c r="L15" s="1"/>
      <c r="M15" s="1"/>
      <c r="N15" s="26">
        <v>4375</v>
      </c>
      <c r="O15" s="29">
        <v>8017</v>
      </c>
      <c r="P15" s="30">
        <v>-25381</v>
      </c>
      <c r="Q15" s="31">
        <v>-33398</v>
      </c>
      <c r="R15" s="1"/>
      <c r="S15" s="1"/>
      <c r="T15" s="23">
        <v>-33398</v>
      </c>
    </row>
    <row r="16" spans="1:22" ht="23.1" customHeight="1" x14ac:dyDescent="0.35">
      <c r="A16" s="26">
        <v>4350</v>
      </c>
      <c r="B16" s="29">
        <v>944.5</v>
      </c>
      <c r="C16" s="30">
        <v>-47051</v>
      </c>
      <c r="D16" s="30">
        <v>-47995.5</v>
      </c>
      <c r="E16" s="1"/>
      <c r="F16" s="1"/>
      <c r="G16" s="1"/>
      <c r="H16" s="1"/>
      <c r="I16" s="1"/>
      <c r="J16" s="1"/>
      <c r="K16" s="1"/>
      <c r="L16" s="1"/>
      <c r="M16" s="1"/>
      <c r="N16" s="26">
        <v>4350</v>
      </c>
      <c r="O16" s="29">
        <v>-11789.601999999999</v>
      </c>
      <c r="P16" s="30">
        <v>-86232.5</v>
      </c>
      <c r="Q16" s="31">
        <v>-74442.898000000001</v>
      </c>
      <c r="R16" s="1"/>
      <c r="S16" s="1"/>
      <c r="T16" s="23">
        <v>-74442.898000000001</v>
      </c>
    </row>
    <row r="17" spans="1:20" ht="23.1" customHeight="1" x14ac:dyDescent="0.35">
      <c r="A17" s="26">
        <v>4325</v>
      </c>
      <c r="B17" s="29">
        <v>859.5</v>
      </c>
      <c r="C17" s="30">
        <v>-20984</v>
      </c>
      <c r="D17" s="30">
        <v>-21843.5</v>
      </c>
      <c r="E17" s="1"/>
      <c r="F17" s="1"/>
      <c r="G17" s="1"/>
      <c r="H17" s="1"/>
      <c r="I17" s="1"/>
      <c r="J17" s="1"/>
      <c r="K17" s="1"/>
      <c r="L17" s="1"/>
      <c r="M17" s="1"/>
      <c r="N17" s="26">
        <v>4325</v>
      </c>
      <c r="O17" s="29">
        <v>-8107.8439999999973</v>
      </c>
      <c r="P17" s="30">
        <v>-31454</v>
      </c>
      <c r="Q17" s="31">
        <v>-23346.156000000003</v>
      </c>
      <c r="R17" s="1"/>
      <c r="S17" s="1"/>
      <c r="T17" s="23">
        <v>-23346.156000000003</v>
      </c>
    </row>
    <row r="18" spans="1:20" ht="23.1" customHeight="1" x14ac:dyDescent="0.35">
      <c r="A18" s="26">
        <v>4300</v>
      </c>
      <c r="B18" s="29">
        <v>2175</v>
      </c>
      <c r="C18" s="30">
        <v>-46155.5</v>
      </c>
      <c r="D18" s="30">
        <v>-48330.5</v>
      </c>
      <c r="E18" s="1"/>
      <c r="F18" s="1"/>
      <c r="G18" s="1"/>
      <c r="H18" s="1"/>
      <c r="I18" s="1"/>
      <c r="J18" s="1"/>
      <c r="K18" s="1"/>
      <c r="L18" s="1"/>
      <c r="M18" s="1"/>
      <c r="N18" s="26">
        <v>4300</v>
      </c>
      <c r="O18" s="29">
        <v>-21065.434999999998</v>
      </c>
      <c r="P18" s="30">
        <v>-84479.454499999993</v>
      </c>
      <c r="Q18" s="31">
        <v>-63414.019499999995</v>
      </c>
      <c r="R18" s="1"/>
      <c r="S18" s="1"/>
      <c r="T18" s="23">
        <v>-63414.019499999995</v>
      </c>
    </row>
    <row r="19" spans="1:20" ht="23.1" customHeight="1" x14ac:dyDescent="0.35">
      <c r="A19" s="26">
        <v>4275</v>
      </c>
      <c r="B19" s="29">
        <v>1355.5</v>
      </c>
      <c r="C19" s="30">
        <v>-23114.5</v>
      </c>
      <c r="D19" s="30">
        <v>-24470</v>
      </c>
      <c r="E19" s="1"/>
      <c r="F19" s="1"/>
      <c r="G19" s="1"/>
      <c r="H19" s="1"/>
      <c r="I19" s="1"/>
      <c r="J19" s="1"/>
      <c r="K19" s="1"/>
      <c r="L19" s="1"/>
      <c r="M19" s="1"/>
      <c r="N19" s="26">
        <v>4275</v>
      </c>
      <c r="O19" s="29">
        <v>-23201.556499999999</v>
      </c>
      <c r="P19" s="30">
        <v>-31271.5</v>
      </c>
      <c r="Q19" s="31">
        <v>-8069.9435000000003</v>
      </c>
      <c r="R19" s="1"/>
      <c r="S19" s="1"/>
      <c r="T19" s="23">
        <v>-8069.9435000000003</v>
      </c>
    </row>
    <row r="20" spans="1:20" ht="23.1" customHeight="1" x14ac:dyDescent="0.35">
      <c r="A20" s="26">
        <v>4250</v>
      </c>
      <c r="B20" s="29">
        <v>307</v>
      </c>
      <c r="C20" s="30">
        <v>-19845</v>
      </c>
      <c r="D20" s="30">
        <v>-20152</v>
      </c>
      <c r="E20" s="1"/>
      <c r="F20" s="1"/>
      <c r="G20" s="1"/>
      <c r="H20" s="1"/>
      <c r="I20" s="1"/>
      <c r="J20" s="1"/>
      <c r="K20" s="1"/>
      <c r="L20" s="1"/>
      <c r="M20" s="1"/>
      <c r="N20" s="26">
        <v>4250</v>
      </c>
      <c r="O20" s="29">
        <v>-6307.320000000007</v>
      </c>
      <c r="P20" s="30">
        <v>-49813.317500000005</v>
      </c>
      <c r="Q20" s="31">
        <v>-43505.997499999998</v>
      </c>
      <c r="R20" s="1"/>
      <c r="S20" s="1"/>
      <c r="T20" s="23">
        <v>-43505.997499999998</v>
      </c>
    </row>
    <row r="21" spans="1:20" ht="23.1" customHeight="1" x14ac:dyDescent="0.35">
      <c r="A21" s="26">
        <v>4225</v>
      </c>
      <c r="B21" s="29">
        <v>-328</v>
      </c>
      <c r="C21" s="30">
        <v>-15341</v>
      </c>
      <c r="D21" s="30">
        <v>-15013</v>
      </c>
      <c r="E21" s="1"/>
      <c r="F21" s="1"/>
      <c r="G21" s="1"/>
      <c r="H21" s="1"/>
      <c r="I21" s="1"/>
      <c r="J21" s="1"/>
      <c r="K21" s="1"/>
      <c r="L21" s="1"/>
      <c r="M21" s="1"/>
      <c r="N21" s="26">
        <v>4225</v>
      </c>
      <c r="O21" s="29">
        <v>-16048.421000000002</v>
      </c>
      <c r="P21" s="30">
        <v>-18631.435000000001</v>
      </c>
      <c r="Q21" s="31">
        <v>-2583.0140000000001</v>
      </c>
      <c r="R21" s="1"/>
      <c r="S21" s="1"/>
      <c r="T21" s="23">
        <v>-2583.0140000000001</v>
      </c>
    </row>
    <row r="22" spans="1:20" ht="23.1" customHeight="1" x14ac:dyDescent="0.35">
      <c r="A22" s="26">
        <v>4200</v>
      </c>
      <c r="B22" s="29">
        <v>1831</v>
      </c>
      <c r="C22" s="30">
        <v>-13410.5</v>
      </c>
      <c r="D22" s="30">
        <v>-15241.5</v>
      </c>
      <c r="E22" s="1"/>
      <c r="F22" s="1"/>
      <c r="G22" s="1"/>
      <c r="H22" s="1"/>
      <c r="I22" s="1"/>
      <c r="J22" s="1"/>
      <c r="K22" s="1"/>
      <c r="L22" s="1"/>
      <c r="M22" s="1"/>
      <c r="N22" s="26">
        <v>4200</v>
      </c>
      <c r="O22" s="29">
        <v>327.80900000000111</v>
      </c>
      <c r="P22" s="30">
        <v>-33765.199000000001</v>
      </c>
      <c r="Q22" s="31">
        <v>-34093.008000000002</v>
      </c>
      <c r="R22" s="1"/>
      <c r="S22" s="1"/>
      <c r="T22" s="23">
        <v>-34093.008000000002</v>
      </c>
    </row>
    <row r="23" spans="1:20" ht="23.1" customHeight="1" x14ac:dyDescent="0.35">
      <c r="A23" s="26">
        <v>4175</v>
      </c>
      <c r="B23" s="29">
        <v>-1594.5</v>
      </c>
      <c r="C23" s="30">
        <v>3353.5</v>
      </c>
      <c r="D23" s="30">
        <v>4948</v>
      </c>
      <c r="E23" s="1"/>
      <c r="F23" s="1"/>
      <c r="G23" s="1"/>
      <c r="H23" s="1"/>
      <c r="I23" s="1"/>
      <c r="J23" s="1"/>
      <c r="K23" s="1"/>
      <c r="L23" s="1"/>
      <c r="M23" s="1"/>
      <c r="N23" s="26">
        <v>4175</v>
      </c>
      <c r="O23" s="29">
        <v>24579.261499999997</v>
      </c>
      <c r="P23" s="30">
        <v>-551.98050000000012</v>
      </c>
      <c r="Q23" s="31">
        <v>-25131.241999999998</v>
      </c>
      <c r="R23" s="1"/>
      <c r="S23" s="1"/>
      <c r="T23" s="23">
        <v>-25131.241999999998</v>
      </c>
    </row>
    <row r="24" spans="1:20" ht="23.1" customHeight="1" x14ac:dyDescent="0.35">
      <c r="A24" s="26">
        <v>4150</v>
      </c>
      <c r="B24" s="29">
        <v>354.5</v>
      </c>
      <c r="C24" s="30">
        <v>6343.5</v>
      </c>
      <c r="D24" s="30">
        <v>5989</v>
      </c>
      <c r="E24" s="1"/>
      <c r="F24" s="1"/>
      <c r="G24" s="1"/>
      <c r="H24" s="1"/>
      <c r="I24" s="1"/>
      <c r="J24" s="1"/>
      <c r="K24" s="1"/>
      <c r="L24" s="1"/>
      <c r="M24" s="1"/>
      <c r="N24" s="26">
        <v>4150</v>
      </c>
      <c r="O24" s="29">
        <v>19158.531999999999</v>
      </c>
      <c r="P24" s="30">
        <v>-4575.6650000000009</v>
      </c>
      <c r="Q24" s="31">
        <v>-23734.197</v>
      </c>
      <c r="R24" s="1"/>
      <c r="S24" s="1"/>
      <c r="T24" s="23">
        <v>-23734.197</v>
      </c>
    </row>
    <row r="25" spans="1:20" ht="23.1" customHeight="1" x14ac:dyDescent="0.35">
      <c r="A25" s="26">
        <v>4125</v>
      </c>
      <c r="B25" s="29">
        <v>375</v>
      </c>
      <c r="C25" s="30">
        <v>2909.5</v>
      </c>
      <c r="D25" s="30">
        <v>2534.5</v>
      </c>
      <c r="E25" s="1"/>
      <c r="F25" s="1"/>
      <c r="G25" s="1"/>
      <c r="H25" s="1"/>
      <c r="I25" s="1"/>
      <c r="J25" s="1"/>
      <c r="K25" s="1"/>
      <c r="L25" s="1"/>
      <c r="M25" s="1"/>
      <c r="N25" s="26">
        <v>4125</v>
      </c>
      <c r="O25" s="29">
        <v>-1118.7754999999997</v>
      </c>
      <c r="P25" s="30">
        <v>1291.8420000000001</v>
      </c>
      <c r="Q25" s="31">
        <v>2410.6174999999998</v>
      </c>
      <c r="R25" s="1"/>
      <c r="S25" s="1"/>
      <c r="T25" s="23">
        <v>2410.6174999999998</v>
      </c>
    </row>
    <row r="26" spans="1:20" ht="23.1" customHeight="1" x14ac:dyDescent="0.35">
      <c r="A26" s="26">
        <v>4100</v>
      </c>
      <c r="B26" s="29">
        <v>-5958.5</v>
      </c>
      <c r="C26" s="30">
        <v>12529</v>
      </c>
      <c r="D26" s="30">
        <v>18487.5</v>
      </c>
      <c r="E26" s="1"/>
      <c r="F26" s="1"/>
      <c r="G26" s="1"/>
      <c r="H26" s="1"/>
      <c r="I26" s="1"/>
      <c r="J26" s="1"/>
      <c r="K26" s="1"/>
      <c r="L26" s="1"/>
      <c r="M26" s="1"/>
      <c r="N26" s="26">
        <v>4100</v>
      </c>
      <c r="O26" s="29">
        <v>-7630.0349999999999</v>
      </c>
      <c r="P26" s="30">
        <v>680.26649999999972</v>
      </c>
      <c r="Q26" s="31">
        <v>8310.3014999999996</v>
      </c>
      <c r="R26" s="1"/>
      <c r="S26" s="1"/>
      <c r="T26" s="23">
        <v>8310.3014999999996</v>
      </c>
    </row>
    <row r="27" spans="1:20" ht="23.1" customHeight="1" x14ac:dyDescent="0.35">
      <c r="A27" s="26">
        <v>4075</v>
      </c>
      <c r="B27" s="29">
        <v>353.5</v>
      </c>
      <c r="C27" s="30">
        <v>11004.5</v>
      </c>
      <c r="D27" s="30">
        <v>10651</v>
      </c>
      <c r="E27" s="1"/>
      <c r="F27" s="1"/>
      <c r="G27" s="1"/>
      <c r="H27" s="1"/>
      <c r="I27" s="1"/>
      <c r="J27" s="1"/>
      <c r="K27" s="1"/>
      <c r="L27" s="1"/>
      <c r="M27" s="1"/>
      <c r="N27" s="26">
        <v>4075</v>
      </c>
      <c r="O27" s="29">
        <v>-24953.145500000006</v>
      </c>
      <c r="P27" s="30">
        <v>10311.139499999999</v>
      </c>
      <c r="Q27" s="31">
        <v>35264.285000000003</v>
      </c>
      <c r="R27" s="1"/>
      <c r="S27" s="1"/>
      <c r="T27" s="23">
        <v>35264.285000000003</v>
      </c>
    </row>
    <row r="28" spans="1:20" ht="23.1" customHeight="1" x14ac:dyDescent="0.35">
      <c r="A28" s="26">
        <v>4050</v>
      </c>
      <c r="B28" s="29">
        <v>4420.5</v>
      </c>
      <c r="C28" s="30">
        <v>3930</v>
      </c>
      <c r="D28" s="30">
        <v>-490.5</v>
      </c>
      <c r="E28" s="1"/>
      <c r="F28" s="1"/>
      <c r="G28" s="1"/>
      <c r="H28" s="1"/>
      <c r="I28" s="1"/>
      <c r="J28" s="1"/>
      <c r="K28" s="1"/>
      <c r="L28" s="1"/>
      <c r="M28" s="1"/>
      <c r="N28" s="26">
        <v>4050</v>
      </c>
      <c r="O28" s="29">
        <v>-3392.3254999999999</v>
      </c>
      <c r="P28" s="30">
        <v>187.47749999999996</v>
      </c>
      <c r="Q28" s="31">
        <v>3579.8029999999999</v>
      </c>
      <c r="R28" s="1"/>
      <c r="S28" s="1"/>
      <c r="T28" s="23">
        <v>3579.8029999999999</v>
      </c>
    </row>
    <row r="29" spans="1:20" ht="23.1" customHeight="1" x14ac:dyDescent="0.35">
      <c r="A29" s="26">
        <v>4025</v>
      </c>
      <c r="B29" s="29">
        <v>305.5</v>
      </c>
      <c r="C29" s="30">
        <v>4650</v>
      </c>
      <c r="D29" s="30">
        <v>4344.5</v>
      </c>
      <c r="E29" s="1"/>
      <c r="F29" s="1"/>
      <c r="G29" s="1"/>
      <c r="H29" s="1"/>
      <c r="I29" s="1"/>
      <c r="J29" s="1"/>
      <c r="K29" s="1"/>
      <c r="L29" s="1"/>
      <c r="M29" s="1"/>
      <c r="N29" s="26">
        <v>4025</v>
      </c>
      <c r="O29" s="29">
        <v>6908.5304999999998</v>
      </c>
      <c r="P29" s="30">
        <v>3007.1594999999998</v>
      </c>
      <c r="Q29" s="31">
        <v>-3901.3710000000001</v>
      </c>
      <c r="R29" s="1"/>
      <c r="S29" s="1"/>
      <c r="T29" s="23">
        <v>-3901.3710000000001</v>
      </c>
    </row>
    <row r="30" spans="1:20" ht="23.1" customHeight="1" x14ac:dyDescent="0.35">
      <c r="A30" s="26">
        <v>4000</v>
      </c>
      <c r="B30" s="29">
        <v>2593</v>
      </c>
      <c r="C30" s="30">
        <v>37111</v>
      </c>
      <c r="D30" s="30">
        <v>34518</v>
      </c>
      <c r="E30" s="1"/>
      <c r="F30" s="1"/>
      <c r="G30" s="1"/>
      <c r="H30" s="1"/>
      <c r="I30" s="1"/>
      <c r="J30" s="1"/>
      <c r="K30" s="1"/>
      <c r="L30" s="1"/>
      <c r="M30" s="1"/>
      <c r="N30" s="26">
        <v>4000</v>
      </c>
      <c r="O30" s="29">
        <v>-4582.2805000000008</v>
      </c>
      <c r="P30" s="30">
        <v>32922.656999999999</v>
      </c>
      <c r="Q30" s="31">
        <v>37504.9375</v>
      </c>
      <c r="R30" s="1"/>
      <c r="S30" s="1"/>
      <c r="T30" s="23">
        <v>37504.9375</v>
      </c>
    </row>
    <row r="31" spans="1:20" ht="23.1" customHeight="1" x14ac:dyDescent="0.35">
      <c r="A31" s="26">
        <v>3975</v>
      </c>
      <c r="B31" s="29">
        <v>-205</v>
      </c>
      <c r="C31" s="30">
        <v>14409</v>
      </c>
      <c r="D31" s="30">
        <v>14614</v>
      </c>
      <c r="E31" s="1"/>
      <c r="F31" s="1"/>
      <c r="G31" s="1"/>
      <c r="H31" s="1"/>
      <c r="I31" s="1"/>
      <c r="J31" s="1"/>
      <c r="K31" s="1"/>
      <c r="L31" s="1"/>
      <c r="M31" s="1"/>
      <c r="N31" s="26">
        <v>3975</v>
      </c>
      <c r="O31" s="29">
        <v>9521.9294999999984</v>
      </c>
      <c r="P31" s="30">
        <v>14036.2215</v>
      </c>
      <c r="Q31" s="31">
        <v>4514.2920000000004</v>
      </c>
      <c r="R31" s="1"/>
      <c r="S31" s="1"/>
      <c r="T31" s="23">
        <v>4514.2920000000004</v>
      </c>
    </row>
    <row r="32" spans="1:20" ht="23.1" customHeight="1" x14ac:dyDescent="0.35">
      <c r="A32" s="26">
        <v>3950</v>
      </c>
      <c r="B32" s="29">
        <v>-2838</v>
      </c>
      <c r="C32" s="30">
        <v>30750</v>
      </c>
      <c r="D32" s="30">
        <v>33588</v>
      </c>
      <c r="E32" s="1"/>
      <c r="F32" s="1"/>
      <c r="G32" s="1"/>
      <c r="H32" s="1"/>
      <c r="I32" s="1"/>
      <c r="J32" s="1"/>
      <c r="K32" s="1"/>
      <c r="L32" s="1"/>
      <c r="M32" s="1"/>
      <c r="N32" s="26">
        <v>3950</v>
      </c>
      <c r="O32" s="29">
        <v>20109.335500000001</v>
      </c>
      <c r="P32" s="30">
        <v>25390.210999999999</v>
      </c>
      <c r="Q32" s="31">
        <v>5280.8755000000001</v>
      </c>
      <c r="R32" s="1"/>
      <c r="S32" s="1"/>
      <c r="T32" s="23">
        <v>5280.8755000000001</v>
      </c>
    </row>
    <row r="33" spans="1:20" ht="23.1" customHeight="1" x14ac:dyDescent="0.35">
      <c r="A33" s="26">
        <v>3925</v>
      </c>
      <c r="B33" s="29">
        <v>99.5</v>
      </c>
      <c r="C33" s="30">
        <v>7718.5</v>
      </c>
      <c r="D33" s="30">
        <v>7619</v>
      </c>
      <c r="E33" s="1"/>
      <c r="F33" s="1"/>
      <c r="G33" s="1"/>
      <c r="H33" s="1"/>
      <c r="I33" s="1"/>
      <c r="J33" s="1"/>
      <c r="K33" s="1"/>
      <c r="L33" s="1"/>
      <c r="M33" s="1"/>
      <c r="N33" s="26">
        <v>3925</v>
      </c>
      <c r="O33" s="29">
        <v>-1055.3644999999997</v>
      </c>
      <c r="P33" s="30">
        <v>7443.6175000000003</v>
      </c>
      <c r="Q33" s="31">
        <v>8498.982</v>
      </c>
      <c r="R33" s="1"/>
      <c r="S33" s="1"/>
      <c r="T33" s="23">
        <v>8498.982</v>
      </c>
    </row>
    <row r="34" spans="1:20" ht="23.1" customHeight="1" x14ac:dyDescent="0.35">
      <c r="A34" s="26">
        <v>3900</v>
      </c>
      <c r="B34" s="29">
        <v>-2117</v>
      </c>
      <c r="C34" s="30">
        <v>88423</v>
      </c>
      <c r="D34" s="30">
        <v>90540</v>
      </c>
      <c r="E34" s="1"/>
      <c r="F34" s="1"/>
      <c r="G34" s="1"/>
      <c r="H34" s="1"/>
      <c r="I34" s="1"/>
      <c r="J34" s="1"/>
      <c r="K34" s="1"/>
      <c r="L34" s="1"/>
      <c r="M34" s="1"/>
      <c r="N34" s="26">
        <v>3900</v>
      </c>
      <c r="O34" s="29">
        <v>76252.282000000007</v>
      </c>
      <c r="P34" s="30">
        <v>88132.131500000003</v>
      </c>
      <c r="Q34" s="31">
        <v>11879.8495</v>
      </c>
      <c r="R34" s="1"/>
      <c r="S34" s="1"/>
      <c r="T34" s="23">
        <v>11879.8495</v>
      </c>
    </row>
    <row r="35" spans="1:20" ht="23.1" customHeight="1" x14ac:dyDescent="0.35">
      <c r="A35" s="26">
        <v>3875</v>
      </c>
      <c r="B35" s="29">
        <v>-22</v>
      </c>
      <c r="C35" s="30">
        <v>9722.5</v>
      </c>
      <c r="D35" s="30">
        <v>9744.5</v>
      </c>
      <c r="E35" s="1"/>
      <c r="F35" s="1"/>
      <c r="G35" s="1"/>
      <c r="H35" s="1"/>
      <c r="I35" s="1"/>
      <c r="J35" s="1"/>
      <c r="K35" s="1"/>
      <c r="L35" s="1"/>
      <c r="M35" s="1"/>
      <c r="N35" s="26">
        <v>3875</v>
      </c>
      <c r="O35" s="29">
        <v>5489.4985000000006</v>
      </c>
      <c r="P35" s="30">
        <v>9723.1370000000006</v>
      </c>
      <c r="Q35" s="31">
        <v>4233.6385</v>
      </c>
      <c r="R35" s="1"/>
      <c r="S35" s="1"/>
      <c r="T35" s="23">
        <v>4233.6385</v>
      </c>
    </row>
    <row r="36" spans="1:20" ht="23.1" customHeight="1" x14ac:dyDescent="0.35">
      <c r="A36" s="26">
        <v>3850</v>
      </c>
      <c r="B36" s="29">
        <v>-1112</v>
      </c>
      <c r="C36" s="30">
        <v>61165.5</v>
      </c>
      <c r="D36" s="30">
        <v>62277.5</v>
      </c>
      <c r="E36" s="1"/>
      <c r="F36" s="1"/>
      <c r="G36" s="1"/>
      <c r="H36" s="1"/>
      <c r="I36" s="1"/>
      <c r="J36" s="1"/>
      <c r="K36" s="1"/>
      <c r="L36" s="1"/>
      <c r="M36" s="1"/>
      <c r="N36" s="26">
        <v>3850</v>
      </c>
      <c r="O36" s="29">
        <v>45431.172999999995</v>
      </c>
      <c r="P36" s="30">
        <v>61149.875999999997</v>
      </c>
      <c r="Q36" s="31">
        <v>15718.703</v>
      </c>
      <c r="R36" s="1"/>
      <c r="S36" s="1"/>
      <c r="T36" s="23">
        <v>15718.703</v>
      </c>
    </row>
    <row r="37" spans="1:20" ht="23.1" customHeight="1" x14ac:dyDescent="0.35">
      <c r="A37" s="26">
        <v>3825</v>
      </c>
      <c r="B37" s="29">
        <v>507</v>
      </c>
      <c r="C37" s="30">
        <v>11707.5</v>
      </c>
      <c r="D37" s="30">
        <v>11200.5</v>
      </c>
      <c r="E37" s="1"/>
      <c r="F37" s="1"/>
      <c r="G37" s="1"/>
      <c r="H37" s="1"/>
      <c r="I37" s="1"/>
      <c r="J37" s="1"/>
      <c r="K37" s="1"/>
      <c r="L37" s="1"/>
      <c r="M37" s="1"/>
      <c r="N37" s="26">
        <v>3825</v>
      </c>
      <c r="O37" s="29">
        <v>5517.4219999999996</v>
      </c>
      <c r="P37" s="30">
        <v>11508.906499999999</v>
      </c>
      <c r="Q37" s="31">
        <v>5991.4844999999996</v>
      </c>
      <c r="R37" s="1"/>
      <c r="S37" s="1"/>
      <c r="T37" s="23">
        <v>5991.4844999999996</v>
      </c>
    </row>
    <row r="38" spans="1:20" ht="23.1" customHeight="1" thickBot="1" x14ac:dyDescent="0.4">
      <c r="A38" s="32">
        <v>3800</v>
      </c>
      <c r="B38" s="29">
        <v>-4099</v>
      </c>
      <c r="C38" s="30">
        <v>50505.5</v>
      </c>
      <c r="D38" s="30">
        <v>54604.5</v>
      </c>
      <c r="E38" s="1"/>
      <c r="F38" s="1"/>
      <c r="G38" s="1"/>
      <c r="H38" s="1"/>
      <c r="I38" s="1"/>
      <c r="J38" s="1"/>
      <c r="K38" s="1"/>
      <c r="L38" s="1"/>
      <c r="M38" s="1"/>
      <c r="N38" s="26">
        <v>3800</v>
      </c>
      <c r="O38" s="29">
        <v>11765.2785</v>
      </c>
      <c r="P38" s="30">
        <v>50189.614999999998</v>
      </c>
      <c r="Q38" s="31">
        <v>38424.336499999998</v>
      </c>
      <c r="R38" s="1"/>
      <c r="S38" s="1"/>
      <c r="T38" s="23">
        <v>38424.336499999998</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14" t="s">
        <v>30</v>
      </c>
      <c r="C42" s="115"/>
      <c r="D42" s="116"/>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t="str">
        <f>STOXX_Infos!B33</f>
        <v>2023-09+2023-10</v>
      </c>
      <c r="H45" s="1"/>
      <c r="I45" s="1"/>
      <c r="J45" s="1"/>
      <c r="K45" s="1"/>
      <c r="L45" s="1"/>
      <c r="M45" s="1"/>
      <c r="N45" s="26"/>
      <c r="O45" s="29"/>
      <c r="P45" s="30"/>
      <c r="Q45" s="31"/>
      <c r="R45" s="1"/>
      <c r="S45" s="1"/>
      <c r="T45" s="23"/>
    </row>
    <row r="46" spans="1:20" ht="18" x14ac:dyDescent="0.35">
      <c r="A46" s="34" t="s">
        <v>29</v>
      </c>
      <c r="B46" s="34"/>
      <c r="C46" s="34"/>
      <c r="D46" s="34"/>
      <c r="E46" s="1"/>
      <c r="F46" s="1"/>
      <c r="G46" s="1" t="str">
        <f>STOXX_Infos!B32</f>
        <v>2023-10</v>
      </c>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00.25" customHeight="1" x14ac:dyDescent="0.3">
      <c r="A50" s="117"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17"/>
      <c r="C50" s="117"/>
      <c r="D50" s="117"/>
      <c r="E50" s="117"/>
      <c r="F50" s="117"/>
      <c r="G50" s="117"/>
      <c r="H50" s="117"/>
      <c r="I50" s="117"/>
      <c r="J50" s="117"/>
      <c r="K50" s="1"/>
      <c r="L50" s="1"/>
      <c r="M50" s="1"/>
      <c r="N50" s="118"/>
      <c r="O50" s="118"/>
      <c r="P50" s="118"/>
      <c r="Q50" s="118"/>
      <c r="R50" s="1"/>
      <c r="S50" s="1"/>
    </row>
    <row r="51" spans="1:19" x14ac:dyDescent="0.3">
      <c r="A51" s="112"/>
      <c r="B51" s="113"/>
      <c r="C51" s="113"/>
      <c r="D51" s="113"/>
      <c r="E51" s="113"/>
      <c r="F51" s="113"/>
      <c r="G51" s="113"/>
      <c r="H51" s="113"/>
      <c r="I51" s="113"/>
      <c r="J51" s="1"/>
      <c r="K51" s="1"/>
      <c r="L51" s="1"/>
      <c r="M51" s="1"/>
      <c r="N51" s="1"/>
      <c r="O51" s="1"/>
      <c r="P51" s="1"/>
      <c r="Q51" s="1"/>
      <c r="R51" s="1"/>
      <c r="S51" s="1"/>
    </row>
    <row r="52" spans="1:19" x14ac:dyDescent="0.3">
      <c r="A52" s="112"/>
      <c r="B52" s="113"/>
      <c r="C52" s="113"/>
      <c r="D52" s="113"/>
      <c r="E52" s="113"/>
      <c r="F52" s="113"/>
      <c r="G52" s="113"/>
      <c r="H52" s="113"/>
      <c r="I52" s="113"/>
      <c r="J52" s="1"/>
      <c r="K52" s="1"/>
      <c r="L52" s="1"/>
      <c r="M52" s="1"/>
      <c r="N52" s="1"/>
      <c r="O52" s="1"/>
      <c r="P52" s="1"/>
      <c r="Q52" s="1"/>
      <c r="R52" s="1"/>
      <c r="S52" s="1"/>
    </row>
    <row r="53" spans="1:19" x14ac:dyDescent="0.3">
      <c r="A53" s="112"/>
      <c r="B53" s="113"/>
      <c r="C53" s="113"/>
      <c r="D53" s="113"/>
      <c r="E53" s="113"/>
      <c r="F53" s="113"/>
      <c r="G53" s="113"/>
      <c r="H53" s="113"/>
      <c r="I53" s="113"/>
      <c r="J53" s="1"/>
      <c r="K53" s="1"/>
      <c r="L53" s="1"/>
      <c r="M53" s="1"/>
      <c r="N53" s="1"/>
      <c r="O53" s="1"/>
      <c r="P53" s="1"/>
      <c r="Q53" s="1"/>
      <c r="R53" s="1"/>
      <c r="S53" s="1"/>
    </row>
    <row r="54" spans="1:19" x14ac:dyDescent="0.3">
      <c r="A54" s="112"/>
      <c r="B54" s="113"/>
      <c r="C54" s="113"/>
      <c r="D54" s="113"/>
      <c r="E54" s="113"/>
      <c r="F54" s="113"/>
      <c r="G54" s="113"/>
      <c r="H54" s="113"/>
      <c r="I54" s="113"/>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A1:F1"/>
    <mergeCell ref="G1:H1"/>
    <mergeCell ref="A6:I6"/>
    <mergeCell ref="N6:Q7"/>
    <mergeCell ref="A7:A9"/>
    <mergeCell ref="B7:D8"/>
    <mergeCell ref="O8:Q8"/>
    <mergeCell ref="A54:I54"/>
    <mergeCell ref="B42:D42"/>
    <mergeCell ref="A50:J50"/>
    <mergeCell ref="N50:Q50"/>
    <mergeCell ref="A51:I51"/>
    <mergeCell ref="A52:I52"/>
    <mergeCell ref="A53:I53"/>
  </mergeCells>
  <conditionalFormatting sqref="C44 C47:C48 C10:D41 P10:Q48">
    <cfRule type="cellIs" dxfId="20" priority="7" operator="lessThan">
      <formula>0</formula>
    </cfRule>
    <cfRule type="cellIs" dxfId="19" priority="8" operator="greaterThan">
      <formula>0</formula>
    </cfRule>
  </conditionalFormatting>
  <conditionalFormatting sqref="B47:B48 B44 B10:B41">
    <cfRule type="colorScale" priority="6">
      <colorScale>
        <cfvo type="num" val="-40000"/>
        <cfvo type="num" val="0"/>
        <cfvo type="num" val="40000"/>
        <color rgb="FFF8696B"/>
        <color rgb="FFFCFCFF"/>
        <color rgb="FF5A8AC6"/>
      </colorScale>
    </cfRule>
  </conditionalFormatting>
  <conditionalFormatting sqref="O10:O48">
    <cfRule type="colorScale" priority="5">
      <colorScale>
        <cfvo type="num" val="-100"/>
        <cfvo type="num" val="0"/>
        <cfvo type="num" val="100"/>
        <color rgb="FFF8696B"/>
        <color rgb="FFFCFCFF"/>
        <color rgb="FF5A8AC6"/>
      </colorScale>
    </cfRule>
  </conditionalFormatting>
  <conditionalFormatting sqref="F3">
    <cfRule type="cellIs" dxfId="18" priority="3" operator="lessThan">
      <formula>0.55</formula>
    </cfRule>
    <cfRule type="cellIs" dxfId="17" priority="4" operator="greaterThan">
      <formula>0.6</formula>
    </cfRule>
  </conditionalFormatting>
  <conditionalFormatting sqref="D44 D47:D48">
    <cfRule type="cellIs" dxfId="16" priority="1" operator="lessThan">
      <formula>0</formula>
    </cfRule>
    <cfRule type="cellIs" dxfId="15" priority="2" operator="greaterThan">
      <formula>0</formula>
    </cfRule>
  </conditionalFormatting>
  <pageMargins left="0.70866141732283472" right="0.70866141732283472" top="0.59055118110236227" bottom="0.39370078740157483" header="0.31496062992125984" footer="0.31496062992125984"/>
  <pageSetup paperSize="9" scale="20" fitToHeight="0" orientation="portrait" r:id="rId1"/>
  <rowBreaks count="1" manualBreakCount="1">
    <brk id="47" max="1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193"/>
  <sheetViews>
    <sheetView tabSelected="1" view="pageBreakPreview" zoomScale="80" zoomScaleNormal="70" zoomScaleSheetLayoutView="80" workbookViewId="0">
      <selection activeCell="C38" sqref="C14:C38"/>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9" t="s">
        <v>101</v>
      </c>
      <c r="B1" s="120"/>
      <c r="C1" s="120"/>
      <c r="D1" s="120"/>
      <c r="E1" s="120"/>
      <c r="F1" s="120"/>
      <c r="G1" s="121">
        <f>Ueberhaenge!G1</f>
        <v>45180</v>
      </c>
      <c r="H1" s="121"/>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4</v>
      </c>
      <c r="D3" s="62"/>
      <c r="E3" s="64" t="s">
        <v>31</v>
      </c>
      <c r="F3" s="64">
        <v>0.5</v>
      </c>
      <c r="G3" s="62"/>
      <c r="H3" s="39" t="str">
        <f>IF(F3&lt;0.9,"",IF(STOXX_Infos!T34="klein","Heute kleiner Verfall","Heute großer Verfall"))</f>
        <v/>
      </c>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22" t="s">
        <v>104</v>
      </c>
      <c r="B6" s="123"/>
      <c r="C6" s="123"/>
      <c r="D6" s="123"/>
      <c r="E6" s="123"/>
      <c r="F6" s="123"/>
      <c r="G6" s="123"/>
      <c r="H6" s="123"/>
      <c r="I6" s="123"/>
      <c r="J6" s="59"/>
      <c r="K6" s="59"/>
      <c r="L6" s="1"/>
      <c r="M6" s="1"/>
      <c r="N6" s="124" t="s">
        <v>32</v>
      </c>
      <c r="O6" s="124"/>
      <c r="P6" s="124"/>
      <c r="Q6" s="124"/>
      <c r="R6" s="1"/>
      <c r="S6" s="1"/>
    </row>
    <row r="7" spans="1:22" ht="32.25" customHeight="1" thickBot="1" x14ac:dyDescent="0.65">
      <c r="A7" s="125" t="s">
        <v>1</v>
      </c>
      <c r="B7" s="128" t="str">
        <f xml:space="preserve"> "Front: " &amp; Ueberhaenge!D8</f>
        <v>Front: 2023-09</v>
      </c>
      <c r="C7" s="129"/>
      <c r="D7" s="130"/>
      <c r="E7" s="58"/>
      <c r="F7" s="58"/>
      <c r="G7" s="58"/>
      <c r="H7" s="59"/>
      <c r="I7" s="59"/>
      <c r="J7" s="59"/>
      <c r="K7" s="59"/>
      <c r="L7" s="1"/>
      <c r="M7" s="1"/>
      <c r="N7" s="124"/>
      <c r="O7" s="124"/>
      <c r="P7" s="124"/>
      <c r="Q7" s="124"/>
      <c r="R7" s="38"/>
      <c r="S7" s="38"/>
      <c r="T7" s="37"/>
      <c r="U7" s="37"/>
      <c r="V7" s="37"/>
    </row>
    <row r="8" spans="1:22" ht="21.6" thickBot="1" x14ac:dyDescent="0.45">
      <c r="A8" s="126"/>
      <c r="B8" s="131"/>
      <c r="C8" s="132"/>
      <c r="D8" s="133"/>
      <c r="E8" s="60"/>
      <c r="F8" s="59"/>
      <c r="G8" s="59"/>
      <c r="H8" s="59"/>
      <c r="I8" s="59"/>
      <c r="J8" s="59"/>
      <c r="K8" s="59"/>
      <c r="L8" s="1"/>
      <c r="M8" s="1"/>
      <c r="N8" s="35"/>
      <c r="O8" s="134" t="str">
        <f xml:space="preserve"> "Summe: " &amp; Ueberhaenge!D8 &amp; " bis " &amp; Ueberhaenge!I8</f>
        <v>Summe: 2023-09 bis -</v>
      </c>
      <c r="P8" s="135"/>
      <c r="Q8" s="136"/>
      <c r="R8" s="1"/>
      <c r="S8" s="1"/>
    </row>
    <row r="9" spans="1:22" ht="18.600000000000001" thickBot="1" x14ac:dyDescent="0.4">
      <c r="A9" s="127"/>
      <c r="B9" s="56" t="s">
        <v>26</v>
      </c>
      <c r="C9" s="57">
        <f>Ueberhaenge!G5</f>
        <v>45180</v>
      </c>
      <c r="D9" s="57">
        <f>IF(WEEKDAY(C9,2)=1,C9-3,C9-1)</f>
        <v>45177</v>
      </c>
      <c r="E9" s="60"/>
      <c r="F9" s="59"/>
      <c r="G9" s="59"/>
      <c r="H9" s="59"/>
      <c r="I9" s="59"/>
      <c r="J9" s="59"/>
      <c r="K9" s="59"/>
      <c r="L9" s="1"/>
      <c r="M9" s="1"/>
      <c r="N9" s="36" t="s">
        <v>1</v>
      </c>
      <c r="O9" s="22" t="s">
        <v>26</v>
      </c>
      <c r="P9" s="21">
        <f>C9</f>
        <v>45180</v>
      </c>
      <c r="Q9" s="21">
        <f>D9</f>
        <v>45177</v>
      </c>
      <c r="R9" s="1"/>
      <c r="S9" s="1"/>
    </row>
    <row r="10" spans="1:22" ht="23.1" customHeight="1" x14ac:dyDescent="0.35">
      <c r="A10" s="26">
        <v>4650</v>
      </c>
      <c r="B10" s="27">
        <v>125</v>
      </c>
      <c r="C10" s="28">
        <v>-66795.5</v>
      </c>
      <c r="D10" s="28">
        <v>-66920.5</v>
      </c>
      <c r="E10" s="1"/>
      <c r="F10" s="1"/>
      <c r="G10" s="1"/>
      <c r="H10" s="1"/>
      <c r="I10" s="1"/>
      <c r="J10" s="1"/>
      <c r="K10" s="1"/>
      <c r="L10" s="1"/>
      <c r="M10" s="1"/>
      <c r="N10" s="26">
        <v>4650</v>
      </c>
      <c r="O10" s="29">
        <v>92</v>
      </c>
      <c r="P10" s="30">
        <v>-78847.5</v>
      </c>
      <c r="Q10" s="31">
        <v>-78939.5</v>
      </c>
      <c r="R10" s="1"/>
      <c r="S10" s="1"/>
      <c r="T10" s="23">
        <v>-78939.5</v>
      </c>
    </row>
    <row r="11" spans="1:22" ht="23.1" customHeight="1" x14ac:dyDescent="0.35">
      <c r="A11" s="26">
        <v>4625</v>
      </c>
      <c r="B11" s="29">
        <v>0</v>
      </c>
      <c r="C11" s="30">
        <v>-17295</v>
      </c>
      <c r="D11" s="30">
        <v>-17295</v>
      </c>
      <c r="E11" s="1"/>
      <c r="F11" s="1"/>
      <c r="G11" s="1"/>
      <c r="H11" s="1"/>
      <c r="I11" s="1"/>
      <c r="J11" s="1"/>
      <c r="K11" s="1"/>
      <c r="L11" s="1"/>
      <c r="M11" s="1"/>
      <c r="N11" s="26">
        <v>4625</v>
      </c>
      <c r="O11" s="29">
        <v>-2</v>
      </c>
      <c r="P11" s="30">
        <v>-18442.5</v>
      </c>
      <c r="Q11" s="31">
        <v>-18440.5</v>
      </c>
      <c r="R11" s="1"/>
      <c r="S11" s="1"/>
      <c r="T11" s="23">
        <v>-18440.5</v>
      </c>
    </row>
    <row r="12" spans="1:22" ht="23.1" customHeight="1" x14ac:dyDescent="0.35">
      <c r="A12" s="26">
        <v>4600</v>
      </c>
      <c r="B12" s="29">
        <v>1625</v>
      </c>
      <c r="C12" s="30">
        <v>-57936</v>
      </c>
      <c r="D12" s="30">
        <v>-59561</v>
      </c>
      <c r="E12" s="1"/>
      <c r="F12" s="1"/>
      <c r="G12" s="1"/>
      <c r="H12" s="1"/>
      <c r="I12" s="1"/>
      <c r="J12" s="1"/>
      <c r="K12" s="1"/>
      <c r="L12" s="1"/>
      <c r="M12" s="1"/>
      <c r="N12" s="26">
        <v>4600</v>
      </c>
      <c r="O12" s="29">
        <v>-107</v>
      </c>
      <c r="P12" s="30">
        <v>-86442.5</v>
      </c>
      <c r="Q12" s="31">
        <v>-86335.5</v>
      </c>
      <c r="R12" s="1"/>
      <c r="S12" s="1"/>
      <c r="T12" s="23">
        <v>-86335.5</v>
      </c>
    </row>
    <row r="13" spans="1:22" ht="23.1" customHeight="1" x14ac:dyDescent="0.35">
      <c r="A13" s="26">
        <v>4575</v>
      </c>
      <c r="B13" s="29">
        <v>0</v>
      </c>
      <c r="C13" s="30">
        <v>-4775.5</v>
      </c>
      <c r="D13" s="30">
        <v>-4775.5</v>
      </c>
      <c r="E13" s="1"/>
      <c r="F13" s="1"/>
      <c r="G13" s="1"/>
      <c r="H13" s="1"/>
      <c r="I13" s="1"/>
      <c r="J13" s="1"/>
      <c r="K13" s="1"/>
      <c r="L13" s="1"/>
      <c r="M13" s="1"/>
      <c r="N13" s="26">
        <v>4575</v>
      </c>
      <c r="O13" s="29">
        <v>4344</v>
      </c>
      <c r="P13" s="30">
        <v>-12385.5</v>
      </c>
      <c r="Q13" s="31">
        <v>-16729.5</v>
      </c>
      <c r="R13" s="1"/>
      <c r="S13" s="1"/>
      <c r="T13" s="23">
        <v>-16729.5</v>
      </c>
    </row>
    <row r="14" spans="1:22" ht="23.1" customHeight="1" x14ac:dyDescent="0.35">
      <c r="A14" s="26">
        <v>4550</v>
      </c>
      <c r="B14" s="29">
        <v>125</v>
      </c>
      <c r="C14" s="30">
        <v>-54200.5</v>
      </c>
      <c r="D14" s="30">
        <v>-54325.5</v>
      </c>
      <c r="E14" s="1"/>
      <c r="F14" s="1"/>
      <c r="G14" s="1"/>
      <c r="H14" s="1"/>
      <c r="I14" s="1"/>
      <c r="J14" s="1"/>
      <c r="K14" s="1"/>
      <c r="L14" s="1"/>
      <c r="M14" s="1"/>
      <c r="N14" s="26">
        <v>4550</v>
      </c>
      <c r="O14" s="29">
        <v>4254</v>
      </c>
      <c r="P14" s="30">
        <v>-70774.5</v>
      </c>
      <c r="Q14" s="31">
        <v>-75028.5</v>
      </c>
      <c r="R14" s="1"/>
      <c r="S14" s="1"/>
      <c r="T14" s="23">
        <v>-75028.5</v>
      </c>
    </row>
    <row r="15" spans="1:22" ht="23.1" customHeight="1" x14ac:dyDescent="0.35">
      <c r="A15" s="26">
        <v>4525</v>
      </c>
      <c r="B15" s="29">
        <v>0</v>
      </c>
      <c r="C15" s="30">
        <v>-11183</v>
      </c>
      <c r="D15" s="30">
        <v>-11183</v>
      </c>
      <c r="E15" s="1"/>
      <c r="F15" s="1"/>
      <c r="G15" s="1"/>
      <c r="H15" s="1"/>
      <c r="I15" s="1"/>
      <c r="J15" s="1"/>
      <c r="K15" s="1"/>
      <c r="L15" s="1"/>
      <c r="M15" s="1"/>
      <c r="N15" s="26">
        <v>4525</v>
      </c>
      <c r="O15" s="29">
        <v>-1006.5</v>
      </c>
      <c r="P15" s="30">
        <v>-30918</v>
      </c>
      <c r="Q15" s="31">
        <v>-29911.5</v>
      </c>
      <c r="R15" s="1"/>
      <c r="S15" s="1"/>
      <c r="T15" s="23">
        <v>-29911.5</v>
      </c>
    </row>
    <row r="16" spans="1:22" ht="23.1" customHeight="1" x14ac:dyDescent="0.35">
      <c r="A16" s="26">
        <v>4500</v>
      </c>
      <c r="B16" s="29">
        <v>950</v>
      </c>
      <c r="C16" s="30">
        <v>-68720.5</v>
      </c>
      <c r="D16" s="30">
        <v>-69670.5</v>
      </c>
      <c r="E16" s="1"/>
      <c r="F16" s="1"/>
      <c r="G16" s="1"/>
      <c r="H16" s="1"/>
      <c r="I16" s="1"/>
      <c r="J16" s="1"/>
      <c r="K16" s="1"/>
      <c r="L16" s="1"/>
      <c r="M16" s="1"/>
      <c r="N16" s="26">
        <v>4500</v>
      </c>
      <c r="O16" s="29">
        <v>-1136</v>
      </c>
      <c r="P16" s="30">
        <v>-105443.5</v>
      </c>
      <c r="Q16" s="31">
        <v>-104307.5</v>
      </c>
      <c r="R16" s="1"/>
      <c r="S16" s="1"/>
      <c r="T16" s="23">
        <v>-104307.5</v>
      </c>
    </row>
    <row r="17" spans="1:20" ht="23.1" customHeight="1" x14ac:dyDescent="0.35">
      <c r="A17" s="26">
        <v>4475</v>
      </c>
      <c r="B17" s="29">
        <v>-690.5</v>
      </c>
      <c r="C17" s="30">
        <v>-16636</v>
      </c>
      <c r="D17" s="30">
        <v>-15945.5</v>
      </c>
      <c r="E17" s="1"/>
      <c r="F17" s="1"/>
      <c r="G17" s="1"/>
      <c r="H17" s="1"/>
      <c r="I17" s="1"/>
      <c r="J17" s="1"/>
      <c r="K17" s="1"/>
      <c r="L17" s="1"/>
      <c r="M17" s="1"/>
      <c r="N17" s="26">
        <v>4475</v>
      </c>
      <c r="O17" s="29">
        <v>-10563</v>
      </c>
      <c r="P17" s="30">
        <v>-31598.5</v>
      </c>
      <c r="Q17" s="31">
        <v>-21035.5</v>
      </c>
      <c r="R17" s="1"/>
      <c r="S17" s="1"/>
      <c r="T17" s="23">
        <v>-21035.5</v>
      </c>
    </row>
    <row r="18" spans="1:20" ht="23.1" customHeight="1" x14ac:dyDescent="0.35">
      <c r="A18" s="26">
        <v>4450</v>
      </c>
      <c r="B18" s="29">
        <v>-799</v>
      </c>
      <c r="C18" s="30">
        <v>-25350.5</v>
      </c>
      <c r="D18" s="30">
        <v>-24551.5</v>
      </c>
      <c r="E18" s="1"/>
      <c r="F18" s="1"/>
      <c r="G18" s="1"/>
      <c r="H18" s="1"/>
      <c r="I18" s="1"/>
      <c r="J18" s="1"/>
      <c r="K18" s="1"/>
      <c r="L18" s="1"/>
      <c r="M18" s="1"/>
      <c r="N18" s="26">
        <v>4450</v>
      </c>
      <c r="O18" s="29">
        <v>4949</v>
      </c>
      <c r="P18" s="30">
        <v>-60471.5</v>
      </c>
      <c r="Q18" s="31">
        <v>-65420.5</v>
      </c>
      <c r="R18" s="1"/>
      <c r="S18" s="1"/>
      <c r="T18" s="23">
        <v>-65420.5</v>
      </c>
    </row>
    <row r="19" spans="1:20" ht="23.1" customHeight="1" x14ac:dyDescent="0.35">
      <c r="A19" s="26">
        <v>4425</v>
      </c>
      <c r="B19" s="29">
        <v>-1901</v>
      </c>
      <c r="C19" s="30">
        <v>-5900</v>
      </c>
      <c r="D19" s="30">
        <v>-3999</v>
      </c>
      <c r="E19" s="1"/>
      <c r="F19" s="1"/>
      <c r="G19" s="1"/>
      <c r="H19" s="1"/>
      <c r="I19" s="1"/>
      <c r="J19" s="1"/>
      <c r="K19" s="1"/>
      <c r="L19" s="1"/>
      <c r="M19" s="1"/>
      <c r="N19" s="26">
        <v>4425</v>
      </c>
      <c r="O19" s="29">
        <v>-1501</v>
      </c>
      <c r="P19" s="30">
        <v>-10001</v>
      </c>
      <c r="Q19" s="31">
        <v>-8500</v>
      </c>
      <c r="R19" s="1"/>
      <c r="S19" s="1"/>
      <c r="T19" s="23">
        <v>-8500</v>
      </c>
    </row>
    <row r="20" spans="1:20" ht="23.1" customHeight="1" x14ac:dyDescent="0.35">
      <c r="A20" s="26">
        <v>4400</v>
      </c>
      <c r="B20" s="29">
        <v>473.5</v>
      </c>
      <c r="C20" s="30">
        <v>-18170</v>
      </c>
      <c r="D20" s="30">
        <v>-18643.5</v>
      </c>
      <c r="E20" s="1"/>
      <c r="F20" s="1"/>
      <c r="G20" s="1"/>
      <c r="H20" s="1"/>
      <c r="I20" s="1"/>
      <c r="J20" s="1"/>
      <c r="K20" s="1"/>
      <c r="L20" s="1"/>
      <c r="M20" s="1"/>
      <c r="N20" s="26">
        <v>4400</v>
      </c>
      <c r="O20" s="29">
        <v>-6489</v>
      </c>
      <c r="P20" s="30">
        <v>-45588.5</v>
      </c>
      <c r="Q20" s="31">
        <v>-39099.5</v>
      </c>
      <c r="R20" s="1"/>
      <c r="S20" s="1"/>
      <c r="T20" s="23">
        <v>-39099.5</v>
      </c>
    </row>
    <row r="21" spans="1:20" ht="23.1" customHeight="1" x14ac:dyDescent="0.35">
      <c r="A21" s="26">
        <v>4375</v>
      </c>
      <c r="B21" s="29">
        <v>-400</v>
      </c>
      <c r="C21" s="30">
        <v>-5179</v>
      </c>
      <c r="D21" s="30">
        <v>-4779</v>
      </c>
      <c r="E21" s="1"/>
      <c r="F21" s="1"/>
      <c r="G21" s="1"/>
      <c r="H21" s="1"/>
      <c r="I21" s="1"/>
      <c r="J21" s="1"/>
      <c r="K21" s="1"/>
      <c r="L21" s="1"/>
      <c r="M21" s="1"/>
      <c r="N21" s="26">
        <v>4375</v>
      </c>
      <c r="O21" s="29">
        <v>-4277.5</v>
      </c>
      <c r="P21" s="30">
        <v>1065.5</v>
      </c>
      <c r="Q21" s="31">
        <v>5343</v>
      </c>
      <c r="R21" s="1"/>
      <c r="S21" s="1"/>
      <c r="T21" s="23">
        <v>5343</v>
      </c>
    </row>
    <row r="22" spans="1:20" ht="23.1" customHeight="1" x14ac:dyDescent="0.35">
      <c r="A22" s="26">
        <v>4350</v>
      </c>
      <c r="B22" s="29">
        <v>-1172</v>
      </c>
      <c r="C22" s="30">
        <v>-1539.5</v>
      </c>
      <c r="D22" s="30">
        <v>-367.5</v>
      </c>
      <c r="E22" s="1"/>
      <c r="F22" s="1"/>
      <c r="G22" s="1"/>
      <c r="H22" s="1"/>
      <c r="I22" s="1"/>
      <c r="J22" s="1"/>
      <c r="K22" s="1"/>
      <c r="L22" s="1"/>
      <c r="M22" s="1"/>
      <c r="N22" s="26">
        <v>4350</v>
      </c>
      <c r="O22" s="29">
        <v>-15204.5</v>
      </c>
      <c r="P22" s="30">
        <v>-14040</v>
      </c>
      <c r="Q22" s="31">
        <v>1164.5</v>
      </c>
      <c r="R22" s="1"/>
      <c r="S22" s="1"/>
      <c r="T22" s="23">
        <v>1164.5</v>
      </c>
    </row>
    <row r="23" spans="1:20" ht="23.1" customHeight="1" x14ac:dyDescent="0.35">
      <c r="A23" s="26">
        <v>4325</v>
      </c>
      <c r="B23" s="29">
        <v>-2793</v>
      </c>
      <c r="C23" s="30">
        <v>-4491</v>
      </c>
      <c r="D23" s="30">
        <v>-1698</v>
      </c>
      <c r="E23" s="1"/>
      <c r="F23" s="1"/>
      <c r="G23" s="1"/>
      <c r="H23" s="1"/>
      <c r="I23" s="1"/>
      <c r="J23" s="1"/>
      <c r="K23" s="1"/>
      <c r="L23" s="1"/>
      <c r="M23" s="1"/>
      <c r="N23" s="26">
        <v>4325</v>
      </c>
      <c r="O23" s="29">
        <v>-1838.5</v>
      </c>
      <c r="P23" s="30">
        <v>-3902.5</v>
      </c>
      <c r="Q23" s="31">
        <v>-2064</v>
      </c>
      <c r="R23" s="1"/>
      <c r="S23" s="1"/>
      <c r="T23" s="23">
        <v>-2064</v>
      </c>
    </row>
    <row r="24" spans="1:20" ht="23.1" customHeight="1" x14ac:dyDescent="0.35">
      <c r="A24" s="26">
        <v>4300</v>
      </c>
      <c r="B24" s="29">
        <v>-1067</v>
      </c>
      <c r="C24" s="30">
        <v>-4413</v>
      </c>
      <c r="D24" s="30">
        <v>-3346</v>
      </c>
      <c r="E24" s="1"/>
      <c r="F24" s="1"/>
      <c r="G24" s="1"/>
      <c r="H24" s="1"/>
      <c r="I24" s="1"/>
      <c r="J24" s="1"/>
      <c r="K24" s="1"/>
      <c r="L24" s="1"/>
      <c r="M24" s="1"/>
      <c r="N24" s="26">
        <v>4300</v>
      </c>
      <c r="O24" s="29">
        <v>-3945</v>
      </c>
      <c r="P24" s="30">
        <v>-6118.5</v>
      </c>
      <c r="Q24" s="31">
        <v>-2173.5</v>
      </c>
      <c r="R24" s="1"/>
      <c r="S24" s="1"/>
      <c r="T24" s="23">
        <v>-2173.5</v>
      </c>
    </row>
    <row r="25" spans="1:20" ht="23.1" customHeight="1" x14ac:dyDescent="0.35">
      <c r="A25" s="26">
        <v>4275</v>
      </c>
      <c r="B25" s="29">
        <v>-102</v>
      </c>
      <c r="C25" s="30">
        <v>760.5</v>
      </c>
      <c r="D25" s="30">
        <v>862.5</v>
      </c>
      <c r="E25" s="1"/>
      <c r="F25" s="1"/>
      <c r="G25" s="1"/>
      <c r="H25" s="1"/>
      <c r="I25" s="1"/>
      <c r="J25" s="1"/>
      <c r="K25" s="1"/>
      <c r="L25" s="1"/>
      <c r="M25" s="1"/>
      <c r="N25" s="26">
        <v>4275</v>
      </c>
      <c r="O25" s="29">
        <v>-2834.5</v>
      </c>
      <c r="P25" s="30">
        <v>1943.5</v>
      </c>
      <c r="Q25" s="31">
        <v>4778</v>
      </c>
      <c r="R25" s="1"/>
      <c r="S25" s="1"/>
      <c r="T25" s="23">
        <v>4778</v>
      </c>
    </row>
    <row r="26" spans="1:20" ht="23.1" customHeight="1" x14ac:dyDescent="0.35">
      <c r="A26" s="26">
        <v>4250</v>
      </c>
      <c r="B26" s="29">
        <v>-7490.5</v>
      </c>
      <c r="C26" s="30">
        <v>26202.5</v>
      </c>
      <c r="D26" s="30">
        <v>33693</v>
      </c>
      <c r="E26" s="1"/>
      <c r="F26" s="1"/>
      <c r="G26" s="1"/>
      <c r="H26" s="1"/>
      <c r="I26" s="1"/>
      <c r="J26" s="1"/>
      <c r="K26" s="1"/>
      <c r="L26" s="1"/>
      <c r="M26" s="1"/>
      <c r="N26" s="26">
        <v>4250</v>
      </c>
      <c r="O26" s="29">
        <v>-22116</v>
      </c>
      <c r="P26" s="30">
        <v>49543</v>
      </c>
      <c r="Q26" s="31">
        <v>71659</v>
      </c>
      <c r="R26" s="1"/>
      <c r="S26" s="1"/>
      <c r="T26" s="23">
        <v>71659</v>
      </c>
    </row>
    <row r="27" spans="1:20" ht="23.1" customHeight="1" x14ac:dyDescent="0.35">
      <c r="A27" s="26">
        <v>4225</v>
      </c>
      <c r="B27" s="29">
        <v>-3673</v>
      </c>
      <c r="C27" s="30">
        <v>2468.5</v>
      </c>
      <c r="D27" s="30">
        <v>6141.5</v>
      </c>
      <c r="E27" s="1"/>
      <c r="F27" s="1"/>
      <c r="G27" s="1"/>
      <c r="H27" s="1"/>
      <c r="I27" s="1"/>
      <c r="J27" s="1"/>
      <c r="K27" s="1"/>
      <c r="L27" s="1"/>
      <c r="M27" s="1"/>
      <c r="N27" s="26">
        <v>4225</v>
      </c>
      <c r="O27" s="29">
        <v>-5537</v>
      </c>
      <c r="P27" s="30">
        <v>5515</v>
      </c>
      <c r="Q27" s="31">
        <v>11052</v>
      </c>
      <c r="R27" s="1"/>
      <c r="S27" s="1"/>
      <c r="T27" s="23">
        <v>11052</v>
      </c>
    </row>
    <row r="28" spans="1:20" ht="23.1" customHeight="1" x14ac:dyDescent="0.35">
      <c r="A28" s="26">
        <v>4200</v>
      </c>
      <c r="B28" s="29">
        <v>-7234.5</v>
      </c>
      <c r="C28" s="30">
        <v>38108</v>
      </c>
      <c r="D28" s="30">
        <v>45342.5</v>
      </c>
      <c r="E28" s="1"/>
      <c r="F28" s="1"/>
      <c r="G28" s="1"/>
      <c r="H28" s="1"/>
      <c r="I28" s="1"/>
      <c r="J28" s="1"/>
      <c r="K28" s="1"/>
      <c r="L28" s="1"/>
      <c r="M28" s="1"/>
      <c r="N28" s="26">
        <v>4200</v>
      </c>
      <c r="O28" s="29">
        <v>-5594</v>
      </c>
      <c r="P28" s="30">
        <v>68868.5</v>
      </c>
      <c r="Q28" s="31">
        <v>74462.5</v>
      </c>
      <c r="R28" s="1"/>
      <c r="S28" s="1"/>
      <c r="T28" s="23">
        <v>74462.5</v>
      </c>
    </row>
    <row r="29" spans="1:20" ht="23.1" customHeight="1" x14ac:dyDescent="0.35">
      <c r="A29" s="26">
        <v>4175</v>
      </c>
      <c r="B29" s="29">
        <v>-239.5</v>
      </c>
      <c r="C29" s="30">
        <v>9426.5</v>
      </c>
      <c r="D29" s="30">
        <v>9666</v>
      </c>
      <c r="E29" s="1"/>
      <c r="F29" s="1"/>
      <c r="G29" s="1"/>
      <c r="H29" s="1"/>
      <c r="I29" s="1"/>
      <c r="J29" s="1"/>
      <c r="K29" s="1"/>
      <c r="L29" s="1"/>
      <c r="M29" s="1"/>
      <c r="N29" s="26">
        <v>4175</v>
      </c>
      <c r="O29" s="29">
        <v>6250.5</v>
      </c>
      <c r="P29" s="30">
        <v>24768.5</v>
      </c>
      <c r="Q29" s="31">
        <v>18518</v>
      </c>
      <c r="R29" s="1"/>
      <c r="S29" s="1"/>
      <c r="T29" s="23">
        <v>18518</v>
      </c>
    </row>
    <row r="30" spans="1:20" ht="23.1" customHeight="1" x14ac:dyDescent="0.35">
      <c r="A30" s="26">
        <v>4150</v>
      </c>
      <c r="B30" s="29">
        <v>-1033</v>
      </c>
      <c r="C30" s="30">
        <v>55765</v>
      </c>
      <c r="D30" s="30">
        <v>56798</v>
      </c>
      <c r="E30" s="1"/>
      <c r="F30" s="1"/>
      <c r="G30" s="1"/>
      <c r="H30" s="1"/>
      <c r="I30" s="1"/>
      <c r="J30" s="1"/>
      <c r="K30" s="1"/>
      <c r="L30" s="1"/>
      <c r="M30" s="1"/>
      <c r="N30" s="26">
        <v>4150</v>
      </c>
      <c r="O30" s="29">
        <v>13223</v>
      </c>
      <c r="P30" s="30">
        <v>77548</v>
      </c>
      <c r="Q30" s="31">
        <v>64325</v>
      </c>
      <c r="R30" s="1"/>
      <c r="S30" s="1"/>
      <c r="T30" s="23">
        <v>64325</v>
      </c>
    </row>
    <row r="31" spans="1:20" ht="23.1" customHeight="1" x14ac:dyDescent="0.35">
      <c r="A31" s="26">
        <v>4125</v>
      </c>
      <c r="B31" s="29">
        <v>-1027</v>
      </c>
      <c r="C31" s="30">
        <v>16926</v>
      </c>
      <c r="D31" s="30">
        <v>17953</v>
      </c>
      <c r="E31" s="1"/>
      <c r="F31" s="1"/>
      <c r="G31" s="1"/>
      <c r="H31" s="1"/>
      <c r="I31" s="1"/>
      <c r="J31" s="1"/>
      <c r="K31" s="1"/>
      <c r="L31" s="1"/>
      <c r="M31" s="1"/>
      <c r="N31" s="26">
        <v>4125</v>
      </c>
      <c r="O31" s="29">
        <v>-1452</v>
      </c>
      <c r="P31" s="30">
        <v>23658</v>
      </c>
      <c r="Q31" s="31">
        <v>25110</v>
      </c>
      <c r="R31" s="1"/>
      <c r="S31" s="1"/>
      <c r="T31" s="23">
        <v>25110</v>
      </c>
    </row>
    <row r="32" spans="1:20" ht="23.1" customHeight="1" x14ac:dyDescent="0.35">
      <c r="A32" s="26">
        <v>4100</v>
      </c>
      <c r="B32" s="29">
        <v>-1801.5</v>
      </c>
      <c r="C32" s="30">
        <v>41137</v>
      </c>
      <c r="D32" s="30">
        <v>42938.5</v>
      </c>
      <c r="E32" s="1"/>
      <c r="F32" s="1"/>
      <c r="G32" s="1"/>
      <c r="H32" s="1"/>
      <c r="I32" s="1"/>
      <c r="J32" s="1"/>
      <c r="K32" s="1"/>
      <c r="L32" s="1"/>
      <c r="M32" s="1"/>
      <c r="N32" s="26">
        <v>4100</v>
      </c>
      <c r="O32" s="29">
        <v>6624</v>
      </c>
      <c r="P32" s="30">
        <v>106997.5</v>
      </c>
      <c r="Q32" s="31">
        <v>100373.5</v>
      </c>
      <c r="R32" s="1"/>
      <c r="S32" s="1"/>
      <c r="T32" s="23">
        <v>100373.5</v>
      </c>
    </row>
    <row r="33" spans="1:20" ht="23.1" customHeight="1" x14ac:dyDescent="0.35">
      <c r="A33" s="26">
        <v>4075</v>
      </c>
      <c r="B33" s="29">
        <v>2254.5</v>
      </c>
      <c r="C33" s="30">
        <v>40540.5</v>
      </c>
      <c r="D33" s="30">
        <v>38286</v>
      </c>
      <c r="E33" s="1"/>
      <c r="F33" s="1"/>
      <c r="G33" s="1"/>
      <c r="H33" s="1"/>
      <c r="I33" s="1"/>
      <c r="J33" s="1"/>
      <c r="K33" s="1"/>
      <c r="L33" s="1"/>
      <c r="M33" s="1"/>
      <c r="N33" s="26">
        <v>4075</v>
      </c>
      <c r="O33" s="29">
        <v>2900</v>
      </c>
      <c r="P33" s="30">
        <v>43226.5</v>
      </c>
      <c r="Q33" s="31">
        <v>40326.5</v>
      </c>
      <c r="R33" s="1"/>
      <c r="S33" s="1"/>
      <c r="T33" s="23">
        <v>40326.5</v>
      </c>
    </row>
    <row r="34" spans="1:20" ht="23.1" customHeight="1" x14ac:dyDescent="0.35">
      <c r="A34" s="26">
        <v>4050</v>
      </c>
      <c r="B34" s="29">
        <v>9514</v>
      </c>
      <c r="C34" s="30">
        <v>39072</v>
      </c>
      <c r="D34" s="30">
        <v>29558</v>
      </c>
      <c r="E34" s="1"/>
      <c r="F34" s="1"/>
      <c r="G34" s="1"/>
      <c r="H34" s="1"/>
      <c r="I34" s="1"/>
      <c r="J34" s="1"/>
      <c r="K34" s="1"/>
      <c r="L34" s="1"/>
      <c r="M34" s="1"/>
      <c r="N34" s="26">
        <v>4050</v>
      </c>
      <c r="O34" s="29">
        <v>17089.5</v>
      </c>
      <c r="P34" s="30">
        <v>71311.5</v>
      </c>
      <c r="Q34" s="31">
        <v>54222</v>
      </c>
      <c r="R34" s="1"/>
      <c r="S34" s="1"/>
      <c r="T34" s="23">
        <v>54222</v>
      </c>
    </row>
    <row r="35" spans="1:20" ht="23.1" customHeight="1" x14ac:dyDescent="0.35">
      <c r="A35" s="26">
        <v>4025</v>
      </c>
      <c r="B35" s="29">
        <v>2436.5</v>
      </c>
      <c r="C35" s="30">
        <v>11040.5</v>
      </c>
      <c r="D35" s="30">
        <v>8604</v>
      </c>
      <c r="E35" s="1"/>
      <c r="F35" s="1"/>
      <c r="G35" s="1"/>
      <c r="H35" s="1"/>
      <c r="I35" s="1"/>
      <c r="J35" s="1"/>
      <c r="K35" s="1"/>
      <c r="L35" s="1"/>
      <c r="M35" s="1"/>
      <c r="N35" s="26">
        <v>4025</v>
      </c>
      <c r="O35" s="29">
        <v>2429.5</v>
      </c>
      <c r="P35" s="30">
        <v>16023</v>
      </c>
      <c r="Q35" s="31">
        <v>13593.5</v>
      </c>
      <c r="R35" s="1"/>
      <c r="S35" s="1"/>
      <c r="T35" s="23">
        <v>13593.5</v>
      </c>
    </row>
    <row r="36" spans="1:20" ht="23.1" customHeight="1" x14ac:dyDescent="0.35">
      <c r="A36" s="26">
        <v>4000</v>
      </c>
      <c r="B36" s="29">
        <v>5078</v>
      </c>
      <c r="C36" s="30">
        <v>77977.5</v>
      </c>
      <c r="D36" s="30">
        <v>72899.5</v>
      </c>
      <c r="E36" s="1"/>
      <c r="F36" s="1"/>
      <c r="G36" s="1"/>
      <c r="H36" s="1"/>
      <c r="I36" s="1"/>
      <c r="J36" s="1"/>
      <c r="K36" s="1"/>
      <c r="L36" s="1"/>
      <c r="M36" s="1"/>
      <c r="N36" s="26">
        <v>4000</v>
      </c>
      <c r="O36" s="29">
        <v>-2289.5</v>
      </c>
      <c r="P36" s="30">
        <v>131590.5</v>
      </c>
      <c r="Q36" s="31">
        <v>133880</v>
      </c>
      <c r="R36" s="1"/>
      <c r="S36" s="1"/>
      <c r="T36" s="23">
        <v>133880</v>
      </c>
    </row>
    <row r="37" spans="1:20" ht="23.1" customHeight="1" x14ac:dyDescent="0.35">
      <c r="A37" s="26">
        <v>3975</v>
      </c>
      <c r="B37" s="29">
        <v>1616</v>
      </c>
      <c r="C37" s="30">
        <v>9373</v>
      </c>
      <c r="D37" s="30">
        <v>7757</v>
      </c>
      <c r="E37" s="1"/>
      <c r="F37" s="1"/>
      <c r="G37" s="1"/>
      <c r="H37" s="1"/>
      <c r="I37" s="1"/>
      <c r="J37" s="1"/>
      <c r="K37" s="1"/>
      <c r="L37" s="1"/>
      <c r="M37" s="1"/>
      <c r="N37" s="26">
        <v>3975</v>
      </c>
      <c r="O37" s="29">
        <v>2932.5</v>
      </c>
      <c r="P37" s="30">
        <v>16560.5</v>
      </c>
      <c r="Q37" s="31">
        <v>13628</v>
      </c>
      <c r="R37" s="1"/>
      <c r="S37" s="1"/>
      <c r="T37" s="23">
        <v>13628</v>
      </c>
    </row>
    <row r="38" spans="1:20" ht="23.1" customHeight="1" thickBot="1" x14ac:dyDescent="0.4">
      <c r="A38" s="32">
        <v>3950</v>
      </c>
      <c r="B38" s="29">
        <v>-529.5</v>
      </c>
      <c r="C38" s="30">
        <v>31921</v>
      </c>
      <c r="D38" s="30">
        <v>32450.5</v>
      </c>
      <c r="E38" s="1"/>
      <c r="F38" s="1"/>
      <c r="G38" s="1"/>
      <c r="H38" s="1"/>
      <c r="I38" s="1"/>
      <c r="J38" s="1"/>
      <c r="K38" s="1"/>
      <c r="L38" s="1"/>
      <c r="M38" s="1"/>
      <c r="N38" s="26">
        <v>3950</v>
      </c>
      <c r="O38" s="29">
        <v>1336.5</v>
      </c>
      <c r="P38" s="30">
        <v>52484.5</v>
      </c>
      <c r="Q38" s="31">
        <v>51148</v>
      </c>
      <c r="R38" s="1"/>
      <c r="S38" s="1"/>
      <c r="T38" s="23">
        <v>51148</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14" t="s">
        <v>30</v>
      </c>
      <c r="C42" s="115"/>
      <c r="D42" s="116"/>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c r="H45" s="1"/>
      <c r="I45" s="1"/>
      <c r="J45" s="1"/>
      <c r="K45" s="1"/>
      <c r="L45" s="1"/>
      <c r="M45" s="1"/>
      <c r="N45" s="26"/>
      <c r="O45" s="29"/>
      <c r="P45" s="30"/>
      <c r="Q45" s="31"/>
      <c r="R45" s="1"/>
      <c r="S45" s="1"/>
      <c r="T45" s="23"/>
    </row>
    <row r="46" spans="1:20" ht="18" x14ac:dyDescent="0.35">
      <c r="A46" s="34" t="s">
        <v>29</v>
      </c>
      <c r="B46" s="34"/>
      <c r="C46" s="34"/>
      <c r="D46" s="34"/>
      <c r="E46" s="1"/>
      <c r="F46" s="1"/>
      <c r="G46" s="70"/>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55" customHeight="1" x14ac:dyDescent="0.3">
      <c r="A50" s="137"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7"/>
      <c r="C50" s="137"/>
      <c r="D50" s="137"/>
      <c r="E50" s="137"/>
      <c r="F50" s="137"/>
      <c r="G50" s="137"/>
      <c r="H50" s="137"/>
      <c r="I50" s="137"/>
      <c r="J50" s="137"/>
      <c r="K50" s="1"/>
      <c r="L50" s="1"/>
      <c r="M50" s="1"/>
      <c r="N50" s="118"/>
      <c r="O50" s="118"/>
      <c r="P50" s="118"/>
      <c r="Q50" s="118"/>
      <c r="R50" s="1"/>
      <c r="S50" s="1"/>
    </row>
    <row r="51" spans="1:19" x14ac:dyDescent="0.3">
      <c r="A51" s="112"/>
      <c r="B51" s="113"/>
      <c r="C51" s="113"/>
      <c r="D51" s="113"/>
      <c r="E51" s="113"/>
      <c r="F51" s="113"/>
      <c r="G51" s="113"/>
      <c r="H51" s="113"/>
      <c r="I51" s="113"/>
      <c r="J51" s="1"/>
      <c r="K51" s="1"/>
      <c r="L51" s="1"/>
      <c r="M51" s="1"/>
      <c r="N51" s="1"/>
      <c r="O51" s="1"/>
      <c r="P51" s="1"/>
      <c r="Q51" s="1"/>
      <c r="R51" s="1"/>
      <c r="S51" s="1"/>
    </row>
    <row r="52" spans="1:19" x14ac:dyDescent="0.3">
      <c r="A52" s="112"/>
      <c r="B52" s="113"/>
      <c r="C52" s="113"/>
      <c r="D52" s="113"/>
      <c r="E52" s="113"/>
      <c r="F52" s="113"/>
      <c r="G52" s="113"/>
      <c r="H52" s="113"/>
      <c r="I52" s="113"/>
      <c r="J52" s="1"/>
      <c r="K52" s="1"/>
      <c r="L52" s="1"/>
      <c r="M52" s="1"/>
      <c r="N52" s="1"/>
      <c r="O52" s="1"/>
      <c r="P52" s="1"/>
      <c r="Q52" s="1"/>
      <c r="R52" s="1"/>
      <c r="S52" s="1"/>
    </row>
    <row r="53" spans="1:19" x14ac:dyDescent="0.3">
      <c r="A53" s="112"/>
      <c r="B53" s="113"/>
      <c r="C53" s="113"/>
      <c r="D53" s="113"/>
      <c r="E53" s="113"/>
      <c r="F53" s="113"/>
      <c r="G53" s="113"/>
      <c r="H53" s="113"/>
      <c r="I53" s="113"/>
      <c r="J53" s="1"/>
      <c r="K53" s="1"/>
      <c r="L53" s="1"/>
      <c r="M53" s="1"/>
      <c r="N53" s="1"/>
      <c r="O53" s="1"/>
      <c r="P53" s="1"/>
      <c r="Q53" s="1"/>
      <c r="R53" s="1"/>
      <c r="S53" s="1"/>
    </row>
    <row r="54" spans="1:19" x14ac:dyDescent="0.3">
      <c r="A54" s="112"/>
      <c r="B54" s="113"/>
      <c r="C54" s="113"/>
      <c r="D54" s="113"/>
      <c r="E54" s="113"/>
      <c r="F54" s="113"/>
      <c r="G54" s="113"/>
      <c r="H54" s="113"/>
      <c r="I54" s="113"/>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A54:I54"/>
    <mergeCell ref="N50:Q50"/>
    <mergeCell ref="B42:D42"/>
    <mergeCell ref="A50:J50"/>
    <mergeCell ref="A51:I51"/>
    <mergeCell ref="A52:I52"/>
    <mergeCell ref="A53:I53"/>
    <mergeCell ref="O8:Q8"/>
    <mergeCell ref="A1:F1"/>
    <mergeCell ref="G1:H1"/>
    <mergeCell ref="A6:I6"/>
    <mergeCell ref="B7:D8"/>
    <mergeCell ref="A7:A9"/>
    <mergeCell ref="N6:Q7"/>
  </mergeCells>
  <conditionalFormatting sqref="C44 C48 C10:D41 P10:Q48">
    <cfRule type="cellIs" dxfId="14" priority="12" operator="lessThan">
      <formula>0</formula>
    </cfRule>
    <cfRule type="cellIs" dxfId="13" priority="13" operator="greaterThan">
      <formula>0</formula>
    </cfRule>
  </conditionalFormatting>
  <conditionalFormatting sqref="B44 B48 B10:B41">
    <cfRule type="colorScale" priority="9">
      <colorScale>
        <cfvo type="num" val="-40000"/>
        <cfvo type="num" val="0"/>
        <cfvo type="num" val="40000"/>
        <color rgb="FFF8696B"/>
        <color rgb="FFFCFCFF"/>
        <color rgb="FF5A8AC6"/>
      </colorScale>
    </cfRule>
  </conditionalFormatting>
  <conditionalFormatting sqref="O10:O48">
    <cfRule type="colorScale" priority="8">
      <colorScale>
        <cfvo type="num" val="-100"/>
        <cfvo type="num" val="0"/>
        <cfvo type="num" val="100"/>
        <color rgb="FFF8696B"/>
        <color rgb="FFFCFCFF"/>
        <color rgb="FF5A8AC6"/>
      </colorScale>
    </cfRule>
  </conditionalFormatting>
  <conditionalFormatting sqref="F3">
    <cfRule type="cellIs" dxfId="12" priority="6" operator="lessThan">
      <formula>0.55</formula>
    </cfRule>
    <cfRule type="cellIs" dxfId="11" priority="7" operator="greaterThan">
      <formula>0.6</formula>
    </cfRule>
  </conditionalFormatting>
  <conditionalFormatting sqref="D44 D48">
    <cfRule type="cellIs" dxfId="10" priority="4" operator="lessThan">
      <formula>0</formula>
    </cfRule>
    <cfRule type="cellIs" dxfId="9" priority="5" operator="greaterThan">
      <formula>0</formula>
    </cfRule>
  </conditionalFormatting>
  <conditionalFormatting sqref="C47:D47">
    <cfRule type="cellIs" dxfId="8" priority="2" operator="lessThan">
      <formula>0</formula>
    </cfRule>
    <cfRule type="cellIs" dxfId="7" priority="3" operator="greaterThan">
      <formula>0</formula>
    </cfRule>
  </conditionalFormatting>
  <conditionalFormatting sqref="B47">
    <cfRule type="colorScale" priority="1">
      <colorScale>
        <cfvo type="num" val="-40000"/>
        <cfvo type="num" val="0"/>
        <cfvo type="num" val="400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2" fitToHeight="0" orientation="portrait" r:id="rId1"/>
  <rowBreaks count="1" manualBreakCount="1">
    <brk id="47" max="1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40D3D-9971-447C-BCFF-E5BFDA7CE746}">
  <sheetPr codeName="Tabelle25"/>
  <dimension ref="A2:B17"/>
  <sheetViews>
    <sheetView tabSelected="1" view="pageBreakPreview" zoomScale="30" zoomScaleNormal="100" zoomScaleSheetLayoutView="30" workbookViewId="0">
      <selection activeCell="C38" sqref="C14:C38"/>
    </sheetView>
  </sheetViews>
  <sheetFormatPr baseColWidth="10" defaultRowHeight="14.4" x14ac:dyDescent="0.3"/>
  <cols>
    <col min="1" max="1" width="36.44140625" style="100" customWidth="1"/>
    <col min="2" max="2" width="112.5546875" customWidth="1"/>
  </cols>
  <sheetData>
    <row r="2" spans="1:2" ht="15.6" x14ac:dyDescent="0.3">
      <c r="A2" s="94"/>
    </row>
    <row r="4" spans="1:2" x14ac:dyDescent="0.3">
      <c r="A4" s="95" t="s">
        <v>256</v>
      </c>
    </row>
    <row r="5" spans="1:2" ht="24.6" x14ac:dyDescent="0.3">
      <c r="A5" s="96" t="s">
        <v>22</v>
      </c>
      <c r="B5" s="97" t="s">
        <v>257</v>
      </c>
    </row>
    <row r="6" spans="1:2" ht="24.6" x14ac:dyDescent="0.3">
      <c r="A6" s="96" t="s">
        <v>27</v>
      </c>
      <c r="B6" s="98" t="s">
        <v>258</v>
      </c>
    </row>
    <row r="7" spans="1:2" ht="24.6" x14ac:dyDescent="0.3">
      <c r="A7" s="96" t="s">
        <v>259</v>
      </c>
      <c r="B7" s="98" t="s">
        <v>260</v>
      </c>
    </row>
    <row r="8" spans="1:2" ht="24.6" x14ac:dyDescent="0.3">
      <c r="A8" s="96" t="s">
        <v>261</v>
      </c>
      <c r="B8" s="98" t="s">
        <v>262</v>
      </c>
    </row>
    <row r="9" spans="1:2" ht="73.8" x14ac:dyDescent="0.3">
      <c r="A9" s="96" t="s">
        <v>31</v>
      </c>
      <c r="B9" s="99" t="s">
        <v>263</v>
      </c>
    </row>
    <row r="10" spans="1:2" ht="24.6" x14ac:dyDescent="0.3">
      <c r="A10" s="96" t="s">
        <v>264</v>
      </c>
      <c r="B10" s="98" t="s">
        <v>265</v>
      </c>
    </row>
    <row r="11" spans="1:2" ht="24.6" x14ac:dyDescent="0.3">
      <c r="A11" s="96" t="s">
        <v>266</v>
      </c>
      <c r="B11" s="98" t="s">
        <v>267</v>
      </c>
    </row>
    <row r="12" spans="1:2" ht="49.2" x14ac:dyDescent="0.3">
      <c r="A12" s="96" t="s">
        <v>268</v>
      </c>
      <c r="B12" s="99" t="s">
        <v>269</v>
      </c>
    </row>
    <row r="13" spans="1:2" ht="73.8" x14ac:dyDescent="0.3">
      <c r="A13" s="96" t="s">
        <v>270</v>
      </c>
      <c r="B13" s="99" t="s">
        <v>271</v>
      </c>
    </row>
    <row r="14" spans="1:2" ht="24.6" x14ac:dyDescent="0.3">
      <c r="A14" s="96"/>
    </row>
    <row r="15" spans="1:2" ht="24.6" x14ac:dyDescent="0.3">
      <c r="A15" s="96"/>
    </row>
    <row r="16" spans="1:2" ht="98.4" x14ac:dyDescent="0.3">
      <c r="A16" s="96" t="s">
        <v>272</v>
      </c>
      <c r="B16" s="99" t="s">
        <v>273</v>
      </c>
    </row>
    <row r="17" spans="1:1" ht="24.6" x14ac:dyDescent="0.3">
      <c r="A17" s="96"/>
    </row>
  </sheetData>
  <pageMargins left="0.7" right="0.7" top="0.78740157499999996" bottom="0.78740157499999996" header="0.3" footer="0.3"/>
  <pageSetup paperSize="9" scale="58"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K27"/>
  <sheetViews>
    <sheetView tabSelected="1" view="pageBreakPreview" zoomScale="30" zoomScaleNormal="100" zoomScaleSheetLayoutView="30" workbookViewId="0">
      <selection activeCell="C38" sqref="C14:C38"/>
    </sheetView>
  </sheetViews>
  <sheetFormatPr baseColWidth="10" defaultRowHeight="14.4" x14ac:dyDescent="0.3"/>
  <cols>
    <col min="1" max="1" width="68.88671875" style="25" customWidth="1"/>
  </cols>
  <sheetData>
    <row r="2" spans="1:11" ht="123.75" customHeight="1" x14ac:dyDescent="0.3">
      <c r="A2" s="138" t="s">
        <v>140</v>
      </c>
      <c r="B2" s="138"/>
      <c r="C2" s="138"/>
      <c r="D2" s="138"/>
      <c r="E2" s="138"/>
      <c r="F2" s="138"/>
      <c r="G2" s="138"/>
      <c r="H2" s="138"/>
      <c r="I2" s="138"/>
      <c r="J2" s="138"/>
      <c r="K2" s="138"/>
    </row>
    <row r="3" spans="1:11" x14ac:dyDescent="0.3">
      <c r="A3" s="138"/>
      <c r="B3" s="138"/>
      <c r="C3" s="138"/>
      <c r="D3" s="138"/>
      <c r="E3" s="138"/>
      <c r="F3" s="138"/>
      <c r="G3" s="138"/>
      <c r="H3" s="138"/>
      <c r="I3" s="138"/>
      <c r="J3" s="138"/>
      <c r="K3" s="138"/>
    </row>
    <row r="4" spans="1:11" x14ac:dyDescent="0.3">
      <c r="A4" s="138"/>
      <c r="B4" s="138"/>
      <c r="C4" s="138"/>
      <c r="D4" s="138"/>
      <c r="E4" s="138"/>
      <c r="F4" s="138"/>
      <c r="G4" s="138"/>
      <c r="H4" s="138"/>
      <c r="I4" s="138"/>
      <c r="J4" s="138"/>
      <c r="K4" s="138"/>
    </row>
    <row r="5" spans="1:11" x14ac:dyDescent="0.3">
      <c r="A5" s="138"/>
      <c r="B5" s="138"/>
      <c r="C5" s="138"/>
      <c r="D5" s="138"/>
      <c r="E5" s="138"/>
      <c r="F5" s="138"/>
      <c r="G5" s="138"/>
      <c r="H5" s="138"/>
      <c r="I5" s="138"/>
      <c r="J5" s="138"/>
      <c r="K5" s="138"/>
    </row>
    <row r="6" spans="1:11" x14ac:dyDescent="0.3">
      <c r="A6" s="138"/>
      <c r="B6" s="138"/>
      <c r="C6" s="138"/>
      <c r="D6" s="138"/>
      <c r="E6" s="138"/>
      <c r="F6" s="138"/>
      <c r="G6" s="138"/>
      <c r="H6" s="138"/>
      <c r="I6" s="138"/>
      <c r="J6" s="138"/>
      <c r="K6" s="138"/>
    </row>
    <row r="7" spans="1:11" x14ac:dyDescent="0.3">
      <c r="A7" s="138"/>
      <c r="B7" s="138"/>
      <c r="C7" s="138"/>
      <c r="D7" s="138"/>
      <c r="E7" s="138"/>
      <c r="F7" s="138"/>
      <c r="G7" s="138"/>
      <c r="H7" s="138"/>
      <c r="I7" s="138"/>
      <c r="J7" s="138"/>
      <c r="K7" s="138"/>
    </row>
    <row r="8" spans="1:11" x14ac:dyDescent="0.3">
      <c r="A8" s="138"/>
      <c r="B8" s="138"/>
      <c r="C8" s="138"/>
      <c r="D8" s="138"/>
      <c r="E8" s="138"/>
      <c r="F8" s="138"/>
      <c r="G8" s="138"/>
      <c r="H8" s="138"/>
      <c r="I8" s="138"/>
      <c r="J8" s="138"/>
      <c r="K8" s="138"/>
    </row>
    <row r="9" spans="1:11" x14ac:dyDescent="0.3">
      <c r="A9" s="138"/>
      <c r="B9" s="138"/>
      <c r="C9" s="138"/>
      <c r="D9" s="138"/>
      <c r="E9" s="138"/>
      <c r="F9" s="138"/>
      <c r="G9" s="138"/>
      <c r="H9" s="138"/>
      <c r="I9" s="138"/>
      <c r="J9" s="138"/>
      <c r="K9" s="138"/>
    </row>
    <row r="10" spans="1:11" x14ac:dyDescent="0.3">
      <c r="A10" s="138"/>
      <c r="B10" s="138"/>
      <c r="C10" s="138"/>
      <c r="D10" s="138"/>
      <c r="E10" s="138"/>
      <c r="F10" s="138"/>
      <c r="G10" s="138"/>
      <c r="H10" s="138"/>
      <c r="I10" s="138"/>
      <c r="J10" s="138"/>
      <c r="K10" s="138"/>
    </row>
    <row r="11" spans="1:11" x14ac:dyDescent="0.3">
      <c r="A11" s="138"/>
      <c r="B11" s="138"/>
      <c r="C11" s="138"/>
      <c r="D11" s="138"/>
      <c r="E11" s="138"/>
      <c r="F11" s="138"/>
      <c r="G11" s="138"/>
      <c r="H11" s="138"/>
      <c r="I11" s="138"/>
      <c r="J11" s="138"/>
      <c r="K11" s="138"/>
    </row>
    <row r="12" spans="1:11" x14ac:dyDescent="0.3">
      <c r="A12" s="138"/>
      <c r="B12" s="138"/>
      <c r="C12" s="138"/>
      <c r="D12" s="138"/>
      <c r="E12" s="138"/>
      <c r="F12" s="138"/>
      <c r="G12" s="138"/>
      <c r="H12" s="138"/>
      <c r="I12" s="138"/>
      <c r="J12" s="138"/>
      <c r="K12" s="138"/>
    </row>
    <row r="13" spans="1:11" x14ac:dyDescent="0.3">
      <c r="A13" s="138"/>
      <c r="B13" s="138"/>
      <c r="C13" s="138"/>
      <c r="D13" s="138"/>
      <c r="E13" s="138"/>
      <c r="F13" s="138"/>
      <c r="G13" s="138"/>
      <c r="H13" s="138"/>
      <c r="I13" s="138"/>
      <c r="J13" s="138"/>
      <c r="K13" s="138"/>
    </row>
    <row r="14" spans="1:11" x14ac:dyDescent="0.3">
      <c r="A14" s="138"/>
      <c r="B14" s="138"/>
      <c r="C14" s="138"/>
      <c r="D14" s="138"/>
      <c r="E14" s="138"/>
      <c r="F14" s="138"/>
      <c r="G14" s="138"/>
      <c r="H14" s="138"/>
      <c r="I14" s="138"/>
      <c r="J14" s="138"/>
      <c r="K14" s="138"/>
    </row>
    <row r="15" spans="1:11" x14ac:dyDescent="0.3">
      <c r="A15" s="138"/>
      <c r="B15" s="138"/>
      <c r="C15" s="138"/>
      <c r="D15" s="138"/>
      <c r="E15" s="138"/>
      <c r="F15" s="138"/>
      <c r="G15" s="138"/>
      <c r="H15" s="138"/>
      <c r="I15" s="138"/>
      <c r="J15" s="138"/>
      <c r="K15" s="138"/>
    </row>
    <row r="16" spans="1:11" x14ac:dyDescent="0.3">
      <c r="A16" s="138"/>
      <c r="B16" s="138"/>
      <c r="C16" s="138"/>
      <c r="D16" s="138"/>
      <c r="E16" s="138"/>
      <c r="F16" s="138"/>
      <c r="G16" s="138"/>
      <c r="H16" s="138"/>
      <c r="I16" s="138"/>
      <c r="J16" s="138"/>
      <c r="K16" s="138"/>
    </row>
    <row r="17" spans="1:11" x14ac:dyDescent="0.3">
      <c r="A17" s="138"/>
      <c r="B17" s="138"/>
      <c r="C17" s="138"/>
      <c r="D17" s="138"/>
      <c r="E17" s="138"/>
      <c r="F17" s="138"/>
      <c r="G17" s="138"/>
      <c r="H17" s="138"/>
      <c r="I17" s="138"/>
      <c r="J17" s="138"/>
      <c r="K17" s="138"/>
    </row>
    <row r="18" spans="1:11" x14ac:dyDescent="0.3">
      <c r="A18" s="138"/>
      <c r="B18" s="138"/>
      <c r="C18" s="138"/>
      <c r="D18" s="138"/>
      <c r="E18" s="138"/>
      <c r="F18" s="138"/>
      <c r="G18" s="138"/>
      <c r="H18" s="138"/>
      <c r="I18" s="138"/>
      <c r="J18" s="138"/>
      <c r="K18" s="138"/>
    </row>
    <row r="19" spans="1:11" x14ac:dyDescent="0.3">
      <c r="A19" s="138"/>
      <c r="B19" s="138"/>
      <c r="C19" s="138"/>
      <c r="D19" s="138"/>
      <c r="E19" s="138"/>
      <c r="F19" s="138"/>
      <c r="G19" s="138"/>
      <c r="H19" s="138"/>
      <c r="I19" s="138"/>
      <c r="J19" s="138"/>
      <c r="K19" s="138"/>
    </row>
    <row r="20" spans="1:11" x14ac:dyDescent="0.3">
      <c r="A20" s="138"/>
      <c r="B20" s="138"/>
      <c r="C20" s="138"/>
      <c r="D20" s="138"/>
      <c r="E20" s="138"/>
      <c r="F20" s="138"/>
      <c r="G20" s="138"/>
      <c r="H20" s="138"/>
      <c r="I20" s="138"/>
      <c r="J20" s="138"/>
      <c r="K20" s="138"/>
    </row>
    <row r="21" spans="1:11" x14ac:dyDescent="0.3">
      <c r="A21" s="138"/>
      <c r="B21" s="138"/>
      <c r="C21" s="138"/>
      <c r="D21" s="138"/>
      <c r="E21" s="138"/>
      <c r="F21" s="138"/>
      <c r="G21" s="138"/>
      <c r="H21" s="138"/>
      <c r="I21" s="138"/>
      <c r="J21" s="138"/>
      <c r="K21" s="138"/>
    </row>
    <row r="22" spans="1:11" x14ac:dyDescent="0.3">
      <c r="A22" s="138"/>
      <c r="B22" s="138"/>
      <c r="C22" s="138"/>
      <c r="D22" s="138"/>
      <c r="E22" s="138"/>
      <c r="F22" s="138"/>
      <c r="G22" s="138"/>
      <c r="H22" s="138"/>
      <c r="I22" s="138"/>
      <c r="J22" s="138"/>
      <c r="K22" s="138"/>
    </row>
    <row r="23" spans="1:11" x14ac:dyDescent="0.3">
      <c r="A23" s="138"/>
      <c r="B23" s="138"/>
      <c r="C23" s="138"/>
      <c r="D23" s="138"/>
      <c r="E23" s="138"/>
      <c r="F23" s="138"/>
      <c r="G23" s="138"/>
      <c r="H23" s="138"/>
      <c r="I23" s="138"/>
      <c r="J23" s="138"/>
      <c r="K23" s="138"/>
    </row>
    <row r="24" spans="1:11" x14ac:dyDescent="0.3">
      <c r="A24" s="138"/>
      <c r="B24" s="138"/>
      <c r="C24" s="138"/>
      <c r="D24" s="138"/>
      <c r="E24" s="138"/>
      <c r="F24" s="138"/>
      <c r="G24" s="138"/>
      <c r="H24" s="138"/>
      <c r="I24" s="138"/>
      <c r="J24" s="138"/>
      <c r="K24" s="138"/>
    </row>
    <row r="25" spans="1:11" x14ac:dyDescent="0.3">
      <c r="A25" s="138"/>
      <c r="B25" s="138"/>
      <c r="C25" s="138"/>
      <c r="D25" s="138"/>
      <c r="E25" s="138"/>
      <c r="F25" s="138"/>
      <c r="G25" s="138"/>
      <c r="H25" s="138"/>
      <c r="I25" s="138"/>
      <c r="J25" s="138"/>
      <c r="K25" s="138"/>
    </row>
    <row r="26" spans="1:11" x14ac:dyDescent="0.3">
      <c r="A26" s="138"/>
      <c r="B26" s="138"/>
      <c r="C26" s="138"/>
      <c r="D26" s="138"/>
      <c r="E26" s="138"/>
      <c r="F26" s="138"/>
      <c r="G26" s="138"/>
      <c r="H26" s="138"/>
      <c r="I26" s="138"/>
      <c r="J26" s="138"/>
      <c r="K26" s="138"/>
    </row>
    <row r="27" spans="1:11" x14ac:dyDescent="0.3">
      <c r="A27" s="138"/>
      <c r="B27" s="138"/>
      <c r="C27" s="138"/>
      <c r="D27" s="138"/>
      <c r="E27" s="138"/>
      <c r="F27" s="138"/>
      <c r="G27" s="138"/>
      <c r="H27" s="138"/>
      <c r="I27" s="138"/>
      <c r="J27" s="138"/>
      <c r="K27" s="138"/>
    </row>
  </sheetData>
  <mergeCells count="1">
    <mergeCell ref="A2:K27"/>
  </mergeCells>
  <pageMargins left="0.7" right="0.7" top="0.78740157499999996" bottom="0.78740157499999996" header="0.3" footer="0.3"/>
  <pageSetup paperSize="9" scale="4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5" zoomScaleNormal="100" workbookViewId="0">
      <pane xSplit="1" topLeftCell="B1" activePane="topRight" state="frozen"/>
      <selection pane="topRight" activeCell="C5" sqref="C5"/>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-860.49272893456407</v>
      </c>
      <c r="D5" s="4">
        <v>-675.87562084422905</v>
      </c>
      <c r="E5" s="4">
        <v>-164.62906435104165</v>
      </c>
      <c r="F5" s="4">
        <v>-468.34015399108227</v>
      </c>
      <c r="G5" s="4">
        <v>-29.545602209188033</v>
      </c>
      <c r="H5" s="4">
        <v>-230.90405301902123</v>
      </c>
      <c r="I5" s="4">
        <v>-29.463072404344903</v>
      </c>
      <c r="J5" s="4">
        <v>-100.38372823391296</v>
      </c>
      <c r="K5" s="4">
        <v>-12.057632095661116</v>
      </c>
      <c r="L5" s="4">
        <v>-8.1435050449246784</v>
      </c>
      <c r="M5" s="4">
        <v>-0.74893557487826212</v>
      </c>
      <c r="N5" s="4">
        <v>-0.8110248588914164</v>
      </c>
      <c r="O5" s="4">
        <v>-7.2189994362362592E-2</v>
      </c>
      <c r="P5" s="4">
        <v>-5.9395800505485426E-3</v>
      </c>
      <c r="Q5" s="4">
        <v>-4.2419626181673031E-3</v>
      </c>
      <c r="R5" s="4">
        <v>-9.0073930159816225E-4</v>
      </c>
      <c r="S5" s="4">
        <v>2.9544119286599516E-5</v>
      </c>
      <c r="T5" s="4">
        <v>1.7027002407882233E-4</v>
      </c>
      <c r="U5" s="4">
        <v>2.352884621813382E-6</v>
      </c>
      <c r="V5" s="4">
        <v>4.6613808127863119E-6</v>
      </c>
      <c r="W5" s="4">
        <v>1.2915991864181557E-7</v>
      </c>
      <c r="X5" s="4">
        <v>7.4530286227820878E-8</v>
      </c>
      <c r="Y5" s="4">
        <v>1.9168074272742538E-9</v>
      </c>
      <c r="Z5" s="4">
        <v>3.4205045625060675E-10</v>
      </c>
      <c r="AA5" s="4">
        <v>2.139230456589226E-11</v>
      </c>
      <c r="AB5" s="4">
        <v>1.1279636745708638E-12</v>
      </c>
      <c r="AC5" s="4">
        <v>1.4992588079787906E-14</v>
      </c>
      <c r="AD5" s="4">
        <v>4.271046512952553E-15</v>
      </c>
      <c r="AE5" s="4">
        <v>1.7706555746150216E-17</v>
      </c>
      <c r="AF5" s="4">
        <v>1.7733846507990663E-18</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-925.72265405794599</v>
      </c>
      <c r="D6" s="4">
        <v>-674.71605221569644</v>
      </c>
      <c r="E6" s="4">
        <v>-171.12263373325706</v>
      </c>
      <c r="F6" s="4">
        <v>-506.99552902512266</v>
      </c>
      <c r="G6" s="4">
        <v>-33.317584794226349</v>
      </c>
      <c r="H6" s="4">
        <v>-271.2984710806835</v>
      </c>
      <c r="I6" s="4">
        <v>-36.076733953298188</v>
      </c>
      <c r="J6" s="4">
        <v>-128.12835397910573</v>
      </c>
      <c r="K6" s="4">
        <v>-16.046383249942878</v>
      </c>
      <c r="L6" s="4">
        <v>-11.302155950059646</v>
      </c>
      <c r="M6" s="4">
        <v>-1.0842561930729862</v>
      </c>
      <c r="N6" s="4">
        <v>-1.2250760185788094</v>
      </c>
      <c r="O6" s="4">
        <v>-0.11380265164601566</v>
      </c>
      <c r="P6" s="4">
        <v>-9.7742602592237188E-3</v>
      </c>
      <c r="Q6" s="4">
        <v>-7.2887875324705708E-3</v>
      </c>
      <c r="R6" s="4">
        <v>-1.6164289391482482E-3</v>
      </c>
      <c r="S6" s="4">
        <v>5.5386972601830469E-5</v>
      </c>
      <c r="T6" s="4">
        <v>3.3355324252889491E-4</v>
      </c>
      <c r="U6" s="4">
        <v>4.8175986764420548E-6</v>
      </c>
      <c r="V6" s="4">
        <v>9.9784148387186523E-6</v>
      </c>
      <c r="W6" s="4">
        <v>2.8913924528305143E-7</v>
      </c>
      <c r="X6" s="4">
        <v>1.7452638373258347E-7</v>
      </c>
      <c r="Y6" s="4">
        <v>4.6964956745153441E-9</v>
      </c>
      <c r="Z6" s="4">
        <v>8.7714686866058276E-10</v>
      </c>
      <c r="AA6" s="4">
        <v>5.7431139964764091E-11</v>
      </c>
      <c r="AB6" s="4">
        <v>3.1711384801947824E-12</v>
      </c>
      <c r="AC6" s="4">
        <v>4.4152058870634563E-14</v>
      </c>
      <c r="AD6" s="4">
        <v>1.3179182803604516E-14</v>
      </c>
      <c r="AE6" s="4">
        <v>5.7265789010102082E-17</v>
      </c>
      <c r="AF6" s="4">
        <v>6.0131194518116271E-18</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-986.57497532120396</v>
      </c>
      <c r="D7" s="4">
        <v>-662.74074858371978</v>
      </c>
      <c r="E7" s="4">
        <v>-175.03086090683328</v>
      </c>
      <c r="F7" s="4">
        <v>-540.12111307100827</v>
      </c>
      <c r="G7" s="4">
        <v>-36.97743105321684</v>
      </c>
      <c r="H7" s="4">
        <v>-313.75031801393629</v>
      </c>
      <c r="I7" s="4">
        <v>-43.484664523766106</v>
      </c>
      <c r="J7" s="4">
        <v>-160.99997468725795</v>
      </c>
      <c r="K7" s="4">
        <v>-21.024711748495402</v>
      </c>
      <c r="L7" s="4">
        <v>-15.445014497938574</v>
      </c>
      <c r="M7" s="4">
        <v>-1.5457385024016497</v>
      </c>
      <c r="N7" s="4">
        <v>-1.8224195278886834</v>
      </c>
      <c r="O7" s="4">
        <v>-0.17669498301558864</v>
      </c>
      <c r="P7" s="4">
        <v>-1.5843413778247606E-2</v>
      </c>
      <c r="Q7" s="4">
        <v>-1.2337322767077026E-2</v>
      </c>
      <c r="R7" s="4">
        <v>-2.857801197442588E-3</v>
      </c>
      <c r="S7" s="4">
        <v>1.0230645748550055E-4</v>
      </c>
      <c r="T7" s="4">
        <v>6.4386106466114386E-4</v>
      </c>
      <c r="U7" s="4">
        <v>9.7208012581238001E-6</v>
      </c>
      <c r="V7" s="4">
        <v>2.1051917534798758E-5</v>
      </c>
      <c r="W7" s="4">
        <v>6.379863435997695E-7</v>
      </c>
      <c r="X7" s="4">
        <v>4.0286229923947545E-7</v>
      </c>
      <c r="Y7" s="4">
        <v>1.1344334870086522E-8</v>
      </c>
      <c r="Z7" s="4">
        <v>2.2177205376343482E-9</v>
      </c>
      <c r="AA7" s="4">
        <v>1.520311599839297E-10</v>
      </c>
      <c r="AB7" s="4">
        <v>8.7917195396847025E-12</v>
      </c>
      <c r="AC7" s="4">
        <v>1.2823521903996231E-13</v>
      </c>
      <c r="AD7" s="4">
        <v>4.0111455684830052E-14</v>
      </c>
      <c r="AE7" s="4">
        <v>1.8269480364635427E-16</v>
      </c>
      <c r="AF7" s="4">
        <v>2.0114572719347614E-17</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-1042.048036679055</v>
      </c>
      <c r="D8" s="4">
        <v>-640.45563642696209</v>
      </c>
      <c r="E8" s="4">
        <v>-176.14996831456617</v>
      </c>
      <c r="F8" s="4">
        <v>-566.20952707795038</v>
      </c>
      <c r="G8" s="4">
        <v>-40.386608961831179</v>
      </c>
      <c r="H8" s="4">
        <v>-357.10594307076678</v>
      </c>
      <c r="I8" s="4">
        <v>-51.589339488074103</v>
      </c>
      <c r="J8" s="4">
        <v>-199.14085885898919</v>
      </c>
      <c r="K8" s="4">
        <v>-27.119160335305516</v>
      </c>
      <c r="L8" s="4">
        <v>-20.780124996666721</v>
      </c>
      <c r="M8" s="4">
        <v>-2.1697649176240827</v>
      </c>
      <c r="N8" s="4">
        <v>-2.6695999561603974</v>
      </c>
      <c r="O8" s="4">
        <v>-0.27017723138119959</v>
      </c>
      <c r="P8" s="4">
        <v>-2.5293372458102269E-2</v>
      </c>
      <c r="Q8" s="4">
        <v>-2.056933834266398E-2</v>
      </c>
      <c r="R8" s="4">
        <v>-4.9771651973566748E-3</v>
      </c>
      <c r="S8" s="4">
        <v>1.8617194474333974E-4</v>
      </c>
      <c r="T8" s="4">
        <v>1.224549357928862E-3</v>
      </c>
      <c r="U8" s="4">
        <v>1.9327347443985979E-5</v>
      </c>
      <c r="V8" s="4">
        <v>4.3768570875920719E-5</v>
      </c>
      <c r="W8" s="4">
        <v>1.387389584309477E-6</v>
      </c>
      <c r="X8" s="4">
        <v>9.1659446678190541E-7</v>
      </c>
      <c r="Y8" s="4">
        <v>2.7011694637490892E-8</v>
      </c>
      <c r="Z8" s="4">
        <v>5.5277943322577085E-9</v>
      </c>
      <c r="AA8" s="4">
        <v>3.9679982776524836E-10</v>
      </c>
      <c r="AB8" s="4">
        <v>2.4034192692668921E-11</v>
      </c>
      <c r="AC8" s="4">
        <v>3.6728605724966977E-13</v>
      </c>
      <c r="AD8" s="4">
        <v>1.2040182610781392E-13</v>
      </c>
      <c r="AE8" s="4">
        <v>5.7489174007263687E-16</v>
      </c>
      <c r="AF8" s="4">
        <v>6.6373576044335054E-17</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-1091.3082250612636</v>
      </c>
      <c r="D9" s="4">
        <v>-608.85123416991382</v>
      </c>
      <c r="E9" s="4">
        <v>-174.40762007507041</v>
      </c>
      <c r="F9" s="4">
        <v>-584.00495177782011</v>
      </c>
      <c r="G9" s="4">
        <v>-43.404022791223504</v>
      </c>
      <c r="H9" s="4">
        <v>-399.98226400081364</v>
      </c>
      <c r="I9" s="4">
        <v>-60.235648624974793</v>
      </c>
      <c r="J9" s="4">
        <v>-242.43982800320219</v>
      </c>
      <c r="K9" s="4">
        <v>-34.43268681135217</v>
      </c>
      <c r="L9" s="4">
        <v>-27.523024641171173</v>
      </c>
      <c r="M9" s="4">
        <v>-2.998592259540632</v>
      </c>
      <c r="N9" s="4">
        <v>-3.8504564856069408</v>
      </c>
      <c r="O9" s="4">
        <v>-0.40680084255040666</v>
      </c>
      <c r="P9" s="4">
        <v>-3.9766180069074064E-2</v>
      </c>
      <c r="Q9" s="4">
        <v>-3.3776115757466488E-2</v>
      </c>
      <c r="R9" s="4">
        <v>-8.5381375705133496E-3</v>
      </c>
      <c r="S9" s="4">
        <v>3.3373194318672342E-4</v>
      </c>
      <c r="T9" s="4">
        <v>2.2944274222732397E-3</v>
      </c>
      <c r="U9" s="4">
        <v>3.7861527551032178E-5</v>
      </c>
      <c r="V9" s="4">
        <v>8.9666619866851673E-5</v>
      </c>
      <c r="W9" s="4">
        <v>2.9732093644254213E-6</v>
      </c>
      <c r="X9" s="4">
        <v>2.0553244724499141E-6</v>
      </c>
      <c r="Y9" s="4">
        <v>6.339426676653761E-8</v>
      </c>
      <c r="Z9" s="4">
        <v>1.3582050857400581E-8</v>
      </c>
      <c r="AA9" s="4">
        <v>1.0209913966721093E-9</v>
      </c>
      <c r="AB9" s="4">
        <v>6.4779946357818496E-11</v>
      </c>
      <c r="AC9" s="4">
        <v>1.0372913548736964E-12</v>
      </c>
      <c r="AD9" s="4">
        <v>3.5640275274542401E-13</v>
      </c>
      <c r="AE9" s="4">
        <v>1.7841595054775368E-15</v>
      </c>
      <c r="AF9" s="4">
        <v>2.1602899639263349E-16</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-1133.7004830449409</v>
      </c>
      <c r="D10" s="4">
        <v>-569.32956557761577</v>
      </c>
      <c r="E10" s="4">
        <v>-169.87016231735299</v>
      </c>
      <c r="F10" s="4">
        <v>-592.60212581661585</v>
      </c>
      <c r="G10" s="4">
        <v>-45.895347677280128</v>
      </c>
      <c r="H10" s="4">
        <v>-440.82829284990856</v>
      </c>
      <c r="I10" s="4">
        <v>-69.210419409085077</v>
      </c>
      <c r="J10" s="4">
        <v>-290.47665738083458</v>
      </c>
      <c r="K10" s="4">
        <v>-43.02975753877076</v>
      </c>
      <c r="L10" s="4">
        <v>-35.882883120285648</v>
      </c>
      <c r="M10" s="4">
        <v>-4.0794855225873006</v>
      </c>
      <c r="N10" s="4">
        <v>-5.4676638674907165</v>
      </c>
      <c r="O10" s="4">
        <v>-0.60308570145592288</v>
      </c>
      <c r="P10" s="4">
        <v>-6.156386405007086E-2</v>
      </c>
      <c r="Q10" s="4">
        <v>-5.4619151722903492E-2</v>
      </c>
      <c r="R10" s="4">
        <v>-1.4425515644306205E-2</v>
      </c>
      <c r="S10" s="4">
        <v>5.8926399606418461E-4</v>
      </c>
      <c r="T10" s="4">
        <v>4.2348951971813596E-3</v>
      </c>
      <c r="U10" s="4">
        <v>7.306952669905148E-5</v>
      </c>
      <c r="V10" s="4">
        <v>1.8098964818455908E-4</v>
      </c>
      <c r="W10" s="4">
        <v>6.2784079574043319E-6</v>
      </c>
      <c r="X10" s="4">
        <v>4.5417503757710587E-6</v>
      </c>
      <c r="Y10" s="4">
        <v>1.4663269810223069E-7</v>
      </c>
      <c r="Z10" s="4">
        <v>3.2893097080026856E-8</v>
      </c>
      <c r="AA10" s="4">
        <v>2.5896563717502088E-9</v>
      </c>
      <c r="AB10" s="4">
        <v>1.7213328579229146E-10</v>
      </c>
      <c r="AC10" s="4">
        <v>2.8883801701346068E-12</v>
      </c>
      <c r="AD10" s="4">
        <v>1.0402809146779754E-12</v>
      </c>
      <c r="AE10" s="4">
        <v>5.4604381908410231E-15</v>
      </c>
      <c r="AF10" s="4">
        <v>6.9345769479624832E-16</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-1168.7444237502398</v>
      </c>
      <c r="D11" s="4">
        <v>-523.60040091042981</v>
      </c>
      <c r="E11" s="4">
        <v>-162.73874104329536</v>
      </c>
      <c r="F11" s="4">
        <v>-591.52187773268463</v>
      </c>
      <c r="G11" s="4">
        <v>-47.742726235716169</v>
      </c>
      <c r="H11" s="4">
        <v>-478.01024725702058</v>
      </c>
      <c r="I11" s="4">
        <v>-78.24701133494257</v>
      </c>
      <c r="J11" s="4">
        <v>-342.48099957761275</v>
      </c>
      <c r="K11" s="4">
        <v>-52.920588386105408</v>
      </c>
      <c r="L11" s="4">
        <v>-46.044346067005804</v>
      </c>
      <c r="M11" s="4">
        <v>-5.4630029932298605</v>
      </c>
      <c r="N11" s="4">
        <v>-7.6431070049514185</v>
      </c>
      <c r="O11" s="4">
        <v>-0.88022860326835195</v>
      </c>
      <c r="P11" s="4">
        <v>-9.3842175951616452E-2</v>
      </c>
      <c r="Q11" s="4">
        <v>-8.6972425710363663E-2</v>
      </c>
      <c r="R11" s="4">
        <v>-2.4001719203019446E-2</v>
      </c>
      <c r="S11" s="4">
        <v>1.0247230494627559E-3</v>
      </c>
      <c r="T11" s="4">
        <v>7.6990543537554072E-3</v>
      </c>
      <c r="U11" s="4">
        <v>1.3891303077036884E-4</v>
      </c>
      <c r="V11" s="4">
        <v>3.5990477408510523E-4</v>
      </c>
      <c r="W11" s="4">
        <v>1.3062525870647834E-5</v>
      </c>
      <c r="X11" s="4">
        <v>9.8892335577484669E-6</v>
      </c>
      <c r="Y11" s="4">
        <v>3.3423455475326031E-7</v>
      </c>
      <c r="Z11" s="4">
        <v>7.8510419046276405E-8</v>
      </c>
      <c r="AA11" s="4">
        <v>6.4742432572285605E-9</v>
      </c>
      <c r="AB11" s="4">
        <v>4.508789074489722E-10</v>
      </c>
      <c r="AC11" s="4">
        <v>7.929083268085478E-12</v>
      </c>
      <c r="AD11" s="4">
        <v>2.9937791365831124E-12</v>
      </c>
      <c r="AE11" s="4">
        <v>1.6478802756640611E-14</v>
      </c>
      <c r="AF11" s="4">
        <v>2.1952162929658852E-15</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-1196.1188229488673</v>
      </c>
      <c r="D12" s="4">
        <v>-473.55758130218391</v>
      </c>
      <c r="E12" s="4">
        <v>-153.33456970213012</v>
      </c>
      <c r="F12" s="4">
        <v>-580.75451013613883</v>
      </c>
      <c r="G12" s="4">
        <v>-48.853878248308334</v>
      </c>
      <c r="H12" s="4">
        <v>-509.91472800765399</v>
      </c>
      <c r="I12" s="4">
        <v>-87.035449672227003</v>
      </c>
      <c r="J12" s="4">
        <v>-397.31377794944143</v>
      </c>
      <c r="K12" s="4">
        <v>-64.046043793182733</v>
      </c>
      <c r="L12" s="4">
        <v>-58.145668807147899</v>
      </c>
      <c r="M12" s="4">
        <v>-7.2002900664563452</v>
      </c>
      <c r="N12" s="4">
        <v>-10.516500396021915</v>
      </c>
      <c r="O12" s="4">
        <v>-1.2646955292112758</v>
      </c>
      <c r="P12" s="4">
        <v>-0.14082684652752864</v>
      </c>
      <c r="Q12" s="4">
        <v>-0.13635616024444761</v>
      </c>
      <c r="R12" s="4">
        <v>-3.9323440201152318E-2</v>
      </c>
      <c r="S12" s="4">
        <v>1.7548625165946601E-3</v>
      </c>
      <c r="T12" s="4">
        <v>1.3785235445535659E-2</v>
      </c>
      <c r="U12" s="4">
        <v>2.6012021309399262E-4</v>
      </c>
      <c r="V12" s="4">
        <v>7.0499898288815257E-4</v>
      </c>
      <c r="W12" s="4">
        <v>2.6774085758471499E-5</v>
      </c>
      <c r="X12" s="4">
        <v>2.121558261219181E-5</v>
      </c>
      <c r="Y12" s="4">
        <v>7.5070305926683269E-7</v>
      </c>
      <c r="Z12" s="4">
        <v>1.8466720066285207E-7</v>
      </c>
      <c r="AA12" s="4">
        <v>1.5952168180206349E-8</v>
      </c>
      <c r="AB12" s="4">
        <v>1.164080393840708E-9</v>
      </c>
      <c r="AC12" s="4">
        <v>2.1456754555419473E-11</v>
      </c>
      <c r="AD12" s="4">
        <v>8.4938781604193083E-12</v>
      </c>
      <c r="AE12" s="4">
        <v>4.9032716071062266E-14</v>
      </c>
      <c r="AF12" s="4">
        <v>6.8523900356563963E-15</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-1215.6386796959953</v>
      </c>
      <c r="D13" s="4">
        <v>-421.14799236371334</v>
      </c>
      <c r="E13" s="4">
        <v>-142.0748409823241</v>
      </c>
      <c r="F13" s="4">
        <v>-560.76565862853579</v>
      </c>
      <c r="G13" s="4">
        <v>-49.169658788051656</v>
      </c>
      <c r="H13" s="4">
        <v>-535.06151760346575</v>
      </c>
      <c r="I13" s="4">
        <v>-95.237967816918342</v>
      </c>
      <c r="J13" s="4">
        <v>-453.47800163480491</v>
      </c>
      <c r="K13" s="4">
        <v>-76.265050312968953</v>
      </c>
      <c r="L13" s="4">
        <v>-72.254420047428283</v>
      </c>
      <c r="M13" s="4">
        <v>-9.3393175332483782</v>
      </c>
      <c r="N13" s="4">
        <v>-14.241639125476331</v>
      </c>
      <c r="O13" s="4">
        <v>-1.788566081730024</v>
      </c>
      <c r="P13" s="4">
        <v>-0.20803798809267574</v>
      </c>
      <c r="Q13" s="4">
        <v>-0.21046471307745243</v>
      </c>
      <c r="R13" s="4">
        <v>-6.3432786733593913E-2</v>
      </c>
      <c r="S13" s="4">
        <v>2.9592036189664689E-3</v>
      </c>
      <c r="T13" s="4">
        <v>2.4306835583323187E-2</v>
      </c>
      <c r="U13" s="4">
        <v>4.7971706895198502E-4</v>
      </c>
      <c r="V13" s="4">
        <v>1.3602292351244649E-3</v>
      </c>
      <c r="W13" s="4">
        <v>5.4058986467475038E-5</v>
      </c>
      <c r="X13" s="4">
        <v>4.4839043846057226E-5</v>
      </c>
      <c r="Y13" s="4">
        <v>1.6612600705772696E-6</v>
      </c>
      <c r="Z13" s="4">
        <v>4.2800481466926414E-7</v>
      </c>
      <c r="AA13" s="4">
        <v>3.8733873328984384E-8</v>
      </c>
      <c r="AB13" s="4">
        <v>2.9620397808023459E-9</v>
      </c>
      <c r="AC13" s="4">
        <v>5.7231426936335297E-11</v>
      </c>
      <c r="AD13" s="4">
        <v>2.3755637544707412E-11</v>
      </c>
      <c r="AE13" s="4">
        <v>1.4383541446637601E-13</v>
      </c>
      <c r="AF13" s="4">
        <v>2.1089772243284187E-14</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-1227.2297395351427</v>
      </c>
      <c r="D14" s="4">
        <v>-368.24591655035022</v>
      </c>
      <c r="E14" s="4">
        <v>-129.441807292047</v>
      </c>
      <c r="F14" s="4">
        <v>-532.46339198086389</v>
      </c>
      <c r="G14" s="4">
        <v>-48.669212692992787</v>
      </c>
      <c r="H14" s="4">
        <v>-552.21541110425665</v>
      </c>
      <c r="I14" s="4">
        <v>-102.50914060263426</v>
      </c>
      <c r="J14" s="4">
        <v>-509.16373017891499</v>
      </c>
      <c r="K14" s="4">
        <v>-89.34654871056415</v>
      </c>
      <c r="L14" s="4">
        <v>-88.342765768450022</v>
      </c>
      <c r="M14" s="4">
        <v>-11.920119188849691</v>
      </c>
      <c r="N14" s="4">
        <v>-18.979730178830462</v>
      </c>
      <c r="O14" s="4">
        <v>-2.4894681255066176</v>
      </c>
      <c r="P14" s="4">
        <v>-0.30249896544745292</v>
      </c>
      <c r="Q14" s="4">
        <v>-0.31977875164497443</v>
      </c>
      <c r="R14" s="4">
        <v>-0.1007357970098262</v>
      </c>
      <c r="S14" s="4">
        <v>4.9131108388357934E-3</v>
      </c>
      <c r="T14" s="4">
        <v>4.2202198723841816E-2</v>
      </c>
      <c r="U14" s="4">
        <v>8.7122708985046921E-4</v>
      </c>
      <c r="V14" s="4">
        <v>2.5847218316355264E-3</v>
      </c>
      <c r="W14" s="4">
        <v>1.0750841501835101E-4</v>
      </c>
      <c r="X14" s="4">
        <v>9.3351760732886564E-5</v>
      </c>
      <c r="Y14" s="4">
        <v>3.6217260720609128E-6</v>
      </c>
      <c r="Z14" s="4">
        <v>9.7737242643044529E-7</v>
      </c>
      <c r="AA14" s="4">
        <v>9.2674222783132952E-8</v>
      </c>
      <c r="AB14" s="4">
        <v>7.4274573146082101E-9</v>
      </c>
      <c r="AC14" s="4">
        <v>1.5044969290651055E-10</v>
      </c>
      <c r="AD14" s="4">
        <v>6.548753575476717E-11</v>
      </c>
      <c r="AE14" s="4">
        <v>4.1593205276575734E-13</v>
      </c>
      <c r="AF14" s="4">
        <v>6.3991760733922031E-14</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-1230.9052469129515</v>
      </c>
      <c r="D15" s="4">
        <v>-316.54406134664981</v>
      </c>
      <c r="E15" s="4">
        <v>-115.94824509128497</v>
      </c>
      <c r="F15" s="4">
        <v>-497.12972432836159</v>
      </c>
      <c r="G15" s="4">
        <v>-47.372107174071651</v>
      </c>
      <c r="H15" s="4">
        <v>-560.48555660314844</v>
      </c>
      <c r="I15" s="4">
        <v>-108.51910999009532</v>
      </c>
      <c r="J15" s="4">
        <v>-562.32855251681269</v>
      </c>
      <c r="K15" s="4">
        <v>-102.96792219051434</v>
      </c>
      <c r="L15" s="4">
        <v>-106.26499981759777</v>
      </c>
      <c r="M15" s="4">
        <v>-14.969238220875365</v>
      </c>
      <c r="N15" s="4">
        <v>-24.88942894844304</v>
      </c>
      <c r="O15" s="4">
        <v>-3.4099218129712865</v>
      </c>
      <c r="P15" s="4">
        <v>-0.43289551024369421</v>
      </c>
      <c r="Q15" s="4">
        <v>-0.47823324262064182</v>
      </c>
      <c r="R15" s="4">
        <v>-0.15747653874441744</v>
      </c>
      <c r="S15" s="4">
        <v>8.0305015290614967E-3</v>
      </c>
      <c r="T15" s="4">
        <v>7.2142098855359243E-2</v>
      </c>
      <c r="U15" s="4">
        <v>1.5580001939650607E-3</v>
      </c>
      <c r="V15" s="4">
        <v>4.8366939331974225E-3</v>
      </c>
      <c r="W15" s="4">
        <v>2.1056855515531178E-4</v>
      </c>
      <c r="X15" s="4">
        <v>1.9142949430372443E-4</v>
      </c>
      <c r="Y15" s="4">
        <v>7.7778161615184214E-6</v>
      </c>
      <c r="Z15" s="4">
        <v>2.1987700513621302E-6</v>
      </c>
      <c r="AA15" s="4">
        <v>2.1846393424595078E-7</v>
      </c>
      <c r="AB15" s="4">
        <v>1.8352150436940135E-8</v>
      </c>
      <c r="AC15" s="4">
        <v>3.8975399656975661E-10</v>
      </c>
      <c r="AD15" s="4">
        <v>1.7792560423190254E-10</v>
      </c>
      <c r="AE15" s="4">
        <v>1.1855295372508739E-12</v>
      </c>
      <c r="AF15" s="4">
        <v>1.9140599374427878E-13</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-1226.7487645339063</v>
      </c>
      <c r="D16" s="4">
        <v>-267.46982847575322</v>
      </c>
      <c r="E16" s="4">
        <v>-102.10277827157039</v>
      </c>
      <c r="F16" s="4">
        <v>-456.32373516235197</v>
      </c>
      <c r="G16" s="4">
        <v>-45.337151963688008</v>
      </c>
      <c r="H16" s="4">
        <v>-559.40132956145499</v>
      </c>
      <c r="I16" s="4">
        <v>-112.97783728268936</v>
      </c>
      <c r="J16" s="4">
        <v>-610.81075377227921</v>
      </c>
      <c r="K16" s="4">
        <v>-116.72144764514752</v>
      </c>
      <c r="L16" s="4">
        <v>-125.7404358711667</v>
      </c>
      <c r="M16" s="4">
        <v>-18.493768079444035</v>
      </c>
      <c r="N16" s="4">
        <v>-32.113512712492543</v>
      </c>
      <c r="O16" s="4">
        <v>-4.5959137202193574</v>
      </c>
      <c r="P16" s="4">
        <v>-0.60964036661553245</v>
      </c>
      <c r="Q16" s="4">
        <v>-0.70388783274588385</v>
      </c>
      <c r="R16" s="4">
        <v>-0.24230577739883077</v>
      </c>
      <c r="S16" s="4">
        <v>1.2920735453106336E-2</v>
      </c>
      <c r="T16" s="4">
        <v>0.12140700888200481</v>
      </c>
      <c r="U16" s="4">
        <v>2.7431403020871598E-3</v>
      </c>
      <c r="V16" s="4">
        <v>8.911916716579928E-3</v>
      </c>
      <c r="W16" s="4">
        <v>4.0614012080048928E-4</v>
      </c>
      <c r="X16" s="4">
        <v>3.8660758552660492E-4</v>
      </c>
      <c r="Y16" s="4">
        <v>1.6452013444411692E-5</v>
      </c>
      <c r="Z16" s="4">
        <v>4.8726278850691035E-6</v>
      </c>
      <c r="AA16" s="4">
        <v>5.0735146432395094E-7</v>
      </c>
      <c r="AB16" s="4">
        <v>4.4677315296341545E-8</v>
      </c>
      <c r="AC16" s="4">
        <v>9.9492050177810524E-10</v>
      </c>
      <c r="AD16" s="4">
        <v>4.7638961260220171E-10</v>
      </c>
      <c r="AE16" s="4">
        <v>3.3303677198071624E-12</v>
      </c>
      <c r="AF16" s="4">
        <v>5.6431670014479021E-13</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-1214.9053383968053</v>
      </c>
      <c r="D17" s="4">
        <v>-222.13183653947883</v>
      </c>
      <c r="E17" s="4">
        <v>-88.37834437600165</v>
      </c>
      <c r="F17" s="4">
        <v>-411.76655188409052</v>
      </c>
      <c r="G17" s="4">
        <v>-42.657993103856249</v>
      </c>
      <c r="H17" s="4">
        <v>-548.95583980784329</v>
      </c>
      <c r="I17" s="4">
        <v>-115.65796628582929</v>
      </c>
      <c r="J17" s="4">
        <v>-652.46784399039802</v>
      </c>
      <c r="K17" s="4">
        <v>-130.12961524698613</v>
      </c>
      <c r="L17" s="4">
        <v>-146.34488076440948</v>
      </c>
      <c r="M17" s="4">
        <v>-22.475548417812803</v>
      </c>
      <c r="N17" s="4">
        <v>-40.762558631392231</v>
      </c>
      <c r="O17" s="4">
        <v>-6.0945529118835378</v>
      </c>
      <c r="P17" s="4">
        <v>-0.84479031092040602</v>
      </c>
      <c r="Q17" s="4">
        <v>-1.019515910438481</v>
      </c>
      <c r="R17" s="4">
        <v>-0.3669281690038852</v>
      </c>
      <c r="S17" s="4">
        <v>2.0461805247217708E-2</v>
      </c>
      <c r="T17" s="4">
        <v>0.2011193767054642</v>
      </c>
      <c r="U17" s="4">
        <v>4.7547422439080363E-3</v>
      </c>
      <c r="V17" s="4">
        <v>1.6167229730764763E-2</v>
      </c>
      <c r="W17" s="4">
        <v>7.7133677833717191E-4</v>
      </c>
      <c r="X17" s="4">
        <v>7.6888557771815844E-4</v>
      </c>
      <c r="Y17" s="4">
        <v>3.4273194393496209E-5</v>
      </c>
      <c r="Z17" s="4">
        <v>1.063568380054438E-5</v>
      </c>
      <c r="AA17" s="4">
        <v>1.1606511002712153E-6</v>
      </c>
      <c r="AB17" s="4">
        <v>1.0715092313722242E-7</v>
      </c>
      <c r="AC17" s="4">
        <v>2.502305578861189E-9</v>
      </c>
      <c r="AD17" s="4">
        <v>1.2568573254261708E-9</v>
      </c>
      <c r="AE17" s="4">
        <v>9.2197225142519646E-12</v>
      </c>
      <c r="AF17" s="4">
        <v>1.6397679877333954E-12</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-1195.5813822472028</v>
      </c>
      <c r="D18" s="4">
        <v>-181.29790205211188</v>
      </c>
      <c r="E18" s="4">
        <v>-75.186495823797799</v>
      </c>
      <c r="F18" s="4">
        <v>-365.2201131253683</v>
      </c>
      <c r="G18" s="4">
        <v>-39.455937727648724</v>
      </c>
      <c r="H18" s="4">
        <v>-529.6115650941274</v>
      </c>
      <c r="I18" s="4">
        <v>-116.41382919399001</v>
      </c>
      <c r="J18" s="4">
        <v>-685.32898166990833</v>
      </c>
      <c r="K18" s="4">
        <v>-142.66919744831137</v>
      </c>
      <c r="L18" s="4">
        <v>-167.51356305495605</v>
      </c>
      <c r="M18" s="4">
        <v>-26.866219799693113</v>
      </c>
      <c r="N18" s="4">
        <v>-50.896530478808387</v>
      </c>
      <c r="O18" s="4">
        <v>-7.950728731258736</v>
      </c>
      <c r="P18" s="4">
        <v>-1.1517585735246632</v>
      </c>
      <c r="Q18" s="4">
        <v>-1.4529957469840895</v>
      </c>
      <c r="R18" s="4">
        <v>-0.54679034203264976</v>
      </c>
      <c r="S18" s="4">
        <v>3.1890851552919403E-2</v>
      </c>
      <c r="T18" s="4">
        <v>0.32792364928328288</v>
      </c>
      <c r="U18" s="4">
        <v>8.1125628151235574E-3</v>
      </c>
      <c r="V18" s="4">
        <v>2.8873269250083641E-2</v>
      </c>
      <c r="W18" s="4">
        <v>1.4422881406950482E-3</v>
      </c>
      <c r="X18" s="4">
        <v>1.5056955114680817E-3</v>
      </c>
      <c r="Y18" s="4">
        <v>7.0310263819152867E-5</v>
      </c>
      <c r="Z18" s="4">
        <v>2.2863409304153915E-5</v>
      </c>
      <c r="AA18" s="4">
        <v>2.6152482599314425E-6</v>
      </c>
      <c r="AB18" s="4">
        <v>2.5314454337349406E-7</v>
      </c>
      <c r="AC18" s="4">
        <v>6.2001433807301414E-9</v>
      </c>
      <c r="AD18" s="4">
        <v>3.2671194054392386E-9</v>
      </c>
      <c r="AE18" s="4">
        <v>2.5150407930766865E-11</v>
      </c>
      <c r="AF18" s="4">
        <v>4.69558719475689E-12</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-1169.0517485555315</v>
      </c>
      <c r="D19" s="4">
        <v>-145.40217291248808</v>
      </c>
      <c r="E19" s="4">
        <v>-62.859347400885525</v>
      </c>
      <c r="F19" s="4">
        <v>-318.37170138782238</v>
      </c>
      <c r="G19" s="4">
        <v>-35.870778189311295</v>
      </c>
      <c r="H19" s="4">
        <v>-502.2668781222107</v>
      </c>
      <c r="I19" s="4">
        <v>-115.19440864214728</v>
      </c>
      <c r="J19" s="4">
        <v>-707.74674964205337</v>
      </c>
      <c r="K19" s="4">
        <v>-153.80282712646033</v>
      </c>
      <c r="L19" s="4">
        <v>-188.55753992953822</v>
      </c>
      <c r="M19" s="4">
        <v>-31.583918272063062</v>
      </c>
      <c r="N19" s="4">
        <v>-62.505757958537806</v>
      </c>
      <c r="O19" s="4">
        <v>-10.202798110882862</v>
      </c>
      <c r="P19" s="4">
        <v>-1.544769423269869</v>
      </c>
      <c r="Q19" s="4">
        <v>-2.0373564224508893</v>
      </c>
      <c r="R19" s="4">
        <v>-0.80174424416185219</v>
      </c>
      <c r="S19" s="4">
        <v>4.8911014395849543E-2</v>
      </c>
      <c r="T19" s="4">
        <v>0.5262030374200054</v>
      </c>
      <c r="U19" s="4">
        <v>1.3623685651332287E-2</v>
      </c>
      <c r="V19" s="4">
        <v>5.0758137579163122E-2</v>
      </c>
      <c r="W19" s="4">
        <v>2.6549330438214412E-3</v>
      </c>
      <c r="X19" s="4">
        <v>2.9030237600925859E-3</v>
      </c>
      <c r="Y19" s="4">
        <v>1.4202525547525924E-4</v>
      </c>
      <c r="Z19" s="4">
        <v>4.8399877245643018E-5</v>
      </c>
      <c r="AA19" s="4">
        <v>5.803595200768359E-6</v>
      </c>
      <c r="AB19" s="4">
        <v>5.8906025479745042E-7</v>
      </c>
      <c r="AC19" s="4">
        <v>1.5133083931621943E-8</v>
      </c>
      <c r="AD19" s="4">
        <v>8.3667050799986603E-9</v>
      </c>
      <c r="AE19" s="4">
        <v>6.7597251929234383E-11</v>
      </c>
      <c r="AF19" s="4">
        <v>1.3249543915199337E-11</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-1135.6708853685184</v>
      </c>
      <c r="D20" s="4">
        <v>-114.57633895194026</v>
      </c>
      <c r="E20" s="4">
        <v>-51.639958969962699</v>
      </c>
      <c r="F20" s="4">
        <v>-272.73477437202888</v>
      </c>
      <c r="G20" s="4">
        <v>-32.050589379288461</v>
      </c>
      <c r="H20" s="4">
        <v>-468.18677445177707</v>
      </c>
      <c r="I20" s="4">
        <v>-112.04866868331565</v>
      </c>
      <c r="J20" s="4">
        <v>-718.53235056702965</v>
      </c>
      <c r="K20" s="4">
        <v>-163.01571989052266</v>
      </c>
      <c r="L20" s="4">
        <v>-208.69427727146316</v>
      </c>
      <c r="M20" s="4">
        <v>-36.512371151502471</v>
      </c>
      <c r="N20" s="4">
        <v>-75.493328555447704</v>
      </c>
      <c r="O20" s="4">
        <v>-12.877474684958278</v>
      </c>
      <c r="P20" s="4">
        <v>-2.0380157076980838</v>
      </c>
      <c r="Q20" s="4">
        <v>-2.8103096600179063</v>
      </c>
      <c r="R20" s="4">
        <v>-1.1565873850554536</v>
      </c>
      <c r="S20" s="4">
        <v>7.3810500572811202E-2</v>
      </c>
      <c r="T20" s="4">
        <v>0.83089947720110102</v>
      </c>
      <c r="U20" s="4">
        <v>2.2515911459878201E-2</v>
      </c>
      <c r="V20" s="4">
        <v>8.7824944925130446E-2</v>
      </c>
      <c r="W20" s="4">
        <v>4.8106302733455369E-3</v>
      </c>
      <c r="X20" s="4">
        <v>5.5100499429905966E-3</v>
      </c>
      <c r="Y20" s="4">
        <v>2.8245473166794521E-4</v>
      </c>
      <c r="Z20" s="4">
        <v>1.0088559019408801E-4</v>
      </c>
      <c r="AA20" s="4">
        <v>1.2682602372562094E-5</v>
      </c>
      <c r="AB20" s="4">
        <v>1.349968660376171E-6</v>
      </c>
      <c r="AC20" s="4">
        <v>3.638077860984315E-8</v>
      </c>
      <c r="AD20" s="4">
        <v>2.1106152288985449E-8</v>
      </c>
      <c r="AE20" s="4">
        <v>1.7898836619227901E-10</v>
      </c>
      <c r="AF20" s="4">
        <v>3.6835841974089261E-11</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-1095.88402275927</v>
      </c>
      <c r="D21" s="4">
        <v>-88.698092994907</v>
      </c>
      <c r="E21" s="4">
        <v>-41.680935259300696</v>
      </c>
      <c r="F21" s="4">
        <v>-229.57393875267255</v>
      </c>
      <c r="G21" s="4">
        <v>-28.141545404254199</v>
      </c>
      <c r="H21" s="4">
        <v>-428.90524306818236</v>
      </c>
      <c r="I21" s="4">
        <v>-107.12251249375475</v>
      </c>
      <c r="J21" s="4">
        <v>-717.05898368344549</v>
      </c>
      <c r="K21" s="4">
        <v>-169.85422760632781</v>
      </c>
      <c r="L21" s="4">
        <v>-227.09141239151771</v>
      </c>
      <c r="M21" s="4">
        <v>-41.503016713783857</v>
      </c>
      <c r="N21" s="4">
        <v>-89.661297967476955</v>
      </c>
      <c r="O21" s="4">
        <v>-15.984260848858455</v>
      </c>
      <c r="P21" s="4">
        <v>-2.6445063695993913</v>
      </c>
      <c r="Q21" s="4">
        <v>-3.8130947831135065</v>
      </c>
      <c r="R21" s="4">
        <v>-1.6413477153058973</v>
      </c>
      <c r="S21" s="4">
        <v>0.10958540312620461</v>
      </c>
      <c r="T21" s="4">
        <v>1.2909531726897772</v>
      </c>
      <c r="U21" s="4">
        <v>3.661806295752084E-2</v>
      </c>
      <c r="V21" s="4">
        <v>0.14954962229818158</v>
      </c>
      <c r="W21" s="4">
        <v>8.57926708746134E-3</v>
      </c>
      <c r="X21" s="4">
        <v>1.0294496817653811E-2</v>
      </c>
      <c r="Y21" s="4">
        <v>5.5299586797701798E-4</v>
      </c>
      <c r="Z21" s="4">
        <v>2.0703757005192041E-4</v>
      </c>
      <c r="AA21" s="4">
        <v>2.7289806052331644E-5</v>
      </c>
      <c r="AB21" s="4">
        <v>3.0465927681062093E-6</v>
      </c>
      <c r="AC21" s="4">
        <v>8.6136956667677703E-8</v>
      </c>
      <c r="AD21" s="4">
        <v>5.2442474778795351E-8</v>
      </c>
      <c r="AE21" s="4">
        <v>4.6686023146098219E-10</v>
      </c>
      <c r="AF21" s="4">
        <v>1.00891294180379E-10</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-1050.2341457207801</v>
      </c>
      <c r="D22" s="4">
        <v>-67.449367157744391</v>
      </c>
      <c r="E22" s="4">
        <v>-33.05017062797576</v>
      </c>
      <c r="F22" s="4">
        <v>-189.85847459272006</v>
      </c>
      <c r="G22" s="4">
        <v>-24.278735683378677</v>
      </c>
      <c r="H22" s="4">
        <v>-386.10983409438973</v>
      </c>
      <c r="I22" s="4">
        <v>-100.64759768706485</v>
      </c>
      <c r="J22" s="4">
        <v>-703.32102198967664</v>
      </c>
      <c r="K22" s="4">
        <v>-173.96231466556753</v>
      </c>
      <c r="L22" s="4">
        <v>-242.9208762035417</v>
      </c>
      <c r="M22" s="4">
        <v>-46.380507902654834</v>
      </c>
      <c r="N22" s="4">
        <v>-104.7032509146146</v>
      </c>
      <c r="O22" s="4">
        <v>-19.509935839900635</v>
      </c>
      <c r="P22" s="4">
        <v>-3.3746296232385</v>
      </c>
      <c r="Q22" s="4">
        <v>-5.088486854070192</v>
      </c>
      <c r="R22" s="4">
        <v>-2.2911517024399002</v>
      </c>
      <c r="S22" s="4">
        <v>0.1600523681597196</v>
      </c>
      <c r="T22" s="4">
        <v>1.973291812847753</v>
      </c>
      <c r="U22" s="4">
        <v>5.8595500488249318E-2</v>
      </c>
      <c r="V22" s="4">
        <v>0.2505880338884709</v>
      </c>
      <c r="W22" s="4">
        <v>1.5057426217047077E-2</v>
      </c>
      <c r="X22" s="4">
        <v>1.8930064825165762E-2</v>
      </c>
      <c r="Y22" s="4">
        <v>1.0657065167227414E-3</v>
      </c>
      <c r="Z22" s="4">
        <v>4.1827073331781087E-4</v>
      </c>
      <c r="AA22" s="4">
        <v>5.781315673317628E-5</v>
      </c>
      <c r="AB22" s="4">
        <v>6.7699496678596046E-6</v>
      </c>
      <c r="AC22" s="4">
        <v>2.0083241321888832E-7</v>
      </c>
      <c r="AD22" s="4">
        <v>1.2833075928607102E-7</v>
      </c>
      <c r="AE22" s="4">
        <v>1.1994149350897845E-9</v>
      </c>
      <c r="AF22" s="4">
        <v>2.7221032525714671E-10</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-999.36110635459625</v>
      </c>
      <c r="D23" s="4">
        <v>-50.377228650143266</v>
      </c>
      <c r="E23" s="4">
        <v>-25.742063803986134</v>
      </c>
      <c r="F23" s="4">
        <v>-154.24518805046696</v>
      </c>
      <c r="G23" s="4">
        <v>-20.578773073190991</v>
      </c>
      <c r="H23" s="4">
        <v>-341.52062379401229</v>
      </c>
      <c r="I23" s="4">
        <v>-92.923197353840351</v>
      </c>
      <c r="J23" s="4">
        <v>-677.94134139406549</v>
      </c>
      <c r="K23" s="4">
        <v>-175.1119417057883</v>
      </c>
      <c r="L23" s="4">
        <v>-255.41884554554986</v>
      </c>
      <c r="M23" s="4">
        <v>-50.951590551800898</v>
      </c>
      <c r="N23" s="4">
        <v>-120.20551728604654</v>
      </c>
      <c r="O23" s="4">
        <v>-23.413758697579016</v>
      </c>
      <c r="P23" s="4">
        <v>-4.234506413240501</v>
      </c>
      <c r="Q23" s="4">
        <v>-6.6778754438313603</v>
      </c>
      <c r="R23" s="4">
        <v>-3.1454976689826939</v>
      </c>
      <c r="S23" s="4">
        <v>0.22993108819977293</v>
      </c>
      <c r="T23" s="4">
        <v>2.9671705940610975</v>
      </c>
      <c r="U23" s="4">
        <v>9.2246094750507573E-2</v>
      </c>
      <c r="V23" s="4">
        <v>0.41313773422744776</v>
      </c>
      <c r="W23" s="4">
        <v>2.6004936583795549E-2</v>
      </c>
      <c r="X23" s="4">
        <v>3.4256960113571593E-2</v>
      </c>
      <c r="Y23" s="4">
        <v>2.0213830368226919E-3</v>
      </c>
      <c r="Z23" s="4">
        <v>8.3177688536183441E-4</v>
      </c>
      <c r="AA23" s="4">
        <v>1.2057021771408335E-4</v>
      </c>
      <c r="AB23" s="4">
        <v>1.4811190140973749E-5</v>
      </c>
      <c r="AC23" s="4">
        <v>4.6106082036612394E-7</v>
      </c>
      <c r="AD23" s="4">
        <v>3.0924694145085141E-7</v>
      </c>
      <c r="AE23" s="4">
        <v>3.0347737307498836E-9</v>
      </c>
      <c r="AF23" s="4">
        <v>7.2339801951026252E-10</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-943.99048141687194</v>
      </c>
      <c r="D24" s="4">
        <v>-36.95145827775945</v>
      </c>
      <c r="E24" s="4">
        <v>-19.692222168348611</v>
      </c>
      <c r="F24" s="4">
        <v>-123.08807557217474</v>
      </c>
      <c r="G24" s="4">
        <v>-17.134713423491508</v>
      </c>
      <c r="H24" s="4">
        <v>-296.77575933441767</v>
      </c>
      <c r="I24" s="4">
        <v>-84.2930919337999</v>
      </c>
      <c r="J24" s="4">
        <v>-642.1251311220675</v>
      </c>
      <c r="K24" s="4">
        <v>-173.22378894732137</v>
      </c>
      <c r="L24" s="4">
        <v>-263.94571212463148</v>
      </c>
      <c r="M24" s="4">
        <v>-55.016910171781852</v>
      </c>
      <c r="N24" s="4">
        <v>-135.65871937046842</v>
      </c>
      <c r="O24" s="4">
        <v>-27.624131104434571</v>
      </c>
      <c r="P24" s="4">
        <v>-5.2242629661533568</v>
      </c>
      <c r="Q24" s="4">
        <v>-8.6174175761623211</v>
      </c>
      <c r="R24" s="4">
        <v>-4.2467619874764608</v>
      </c>
      <c r="S24" s="4">
        <v>0.3248706204956604</v>
      </c>
      <c r="T24" s="4">
        <v>4.3884913977656836</v>
      </c>
      <c r="U24" s="4">
        <v>0.14285580245988591</v>
      </c>
      <c r="V24" s="4">
        <v>0.67010132908827369</v>
      </c>
      <c r="W24" s="4">
        <v>4.4189298811798346E-2</v>
      </c>
      <c r="X24" s="4">
        <v>6.1002445407096158E-2</v>
      </c>
      <c r="Y24" s="4">
        <v>3.7731757536460294E-3</v>
      </c>
      <c r="Z24" s="4">
        <v>1.6279821487702633E-3</v>
      </c>
      <c r="AA24" s="4">
        <v>2.4751020401090538E-4</v>
      </c>
      <c r="AB24" s="4">
        <v>3.1899269733204103E-5</v>
      </c>
      <c r="AC24" s="4">
        <v>1.0421152465630692E-6</v>
      </c>
      <c r="AD24" s="4">
        <v>7.3377063316768855E-7</v>
      </c>
      <c r="AE24" s="4">
        <v>7.5615509850700311E-9</v>
      </c>
      <c r="AF24" s="4">
        <v>1.8933263591358304E-9</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-884.91145574175255</v>
      </c>
      <c r="D25" s="4">
        <v>-26.61445050691718</v>
      </c>
      <c r="E25" s="4">
        <v>-14.793661503797582</v>
      </c>
      <c r="F25" s="4">
        <v>-96.469743008394801</v>
      </c>
      <c r="G25" s="4">
        <v>-14.013493481057047</v>
      </c>
      <c r="H25" s="4">
        <v>-253.33416653500274</v>
      </c>
      <c r="I25" s="4">
        <v>-75.11999538135413</v>
      </c>
      <c r="J25" s="4">
        <v>-597.56486520135309</v>
      </c>
      <c r="K25" s="4">
        <v>-168.37572773828657</v>
      </c>
      <c r="L25" s="4">
        <v>-268.03965350516557</v>
      </c>
      <c r="M25" s="4">
        <v>-58.384858316904371</v>
      </c>
      <c r="N25" s="4">
        <v>-150.48030825422563</v>
      </c>
      <c r="O25" s="4">
        <v>-32.037459623012872</v>
      </c>
      <c r="P25" s="4">
        <v>-6.3364028097519416</v>
      </c>
      <c r="Q25" s="4">
        <v>-10.933401195937307</v>
      </c>
      <c r="R25" s="4">
        <v>-5.6378025266783762</v>
      </c>
      <c r="S25" s="4">
        <v>0.45138891038497159</v>
      </c>
      <c r="T25" s="4">
        <v>6.3835206811677976</v>
      </c>
      <c r="U25" s="4">
        <v>0.21760301389311584</v>
      </c>
      <c r="V25" s="4">
        <v>1.0691738518337841</v>
      </c>
      <c r="W25" s="4">
        <v>7.3873050458868425E-2</v>
      </c>
      <c r="X25" s="4">
        <v>0.10688061133808677</v>
      </c>
      <c r="Y25" s="4">
        <v>6.9305011591181903E-3</v>
      </c>
      <c r="Z25" s="4">
        <v>3.1357239419134435E-3</v>
      </c>
      <c r="AA25" s="4">
        <v>5.0007834816055447E-4</v>
      </c>
      <c r="AB25" s="4">
        <v>6.7625451634587832E-5</v>
      </c>
      <c r="AC25" s="4">
        <v>2.3187770776112782E-6</v>
      </c>
      <c r="AD25" s="4">
        <v>1.7141479915312683E-6</v>
      </c>
      <c r="AE25" s="4">
        <v>1.8551378282176844E-8</v>
      </c>
      <c r="AF25" s="4">
        <v>4.8798034421048091E-9</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-822.94481077067803</v>
      </c>
      <c r="D26" s="4">
        <v>-18.820852991687179</v>
      </c>
      <c r="E26" s="4">
        <v>-10.912736363149376</v>
      </c>
      <c r="F26" s="4">
        <v>-74.247986176127682</v>
      </c>
      <c r="G26" s="4">
        <v>-11.255790756923799</v>
      </c>
      <c r="H26" s="4">
        <v>-212.4031567569252</v>
      </c>
      <c r="I26" s="4">
        <v>-65.760188055630707</v>
      </c>
      <c r="J26" s="4">
        <v>-546.30687533810021</v>
      </c>
      <c r="K26" s="4">
        <v>-160.79783495660223</v>
      </c>
      <c r="L26" s="4">
        <v>-267.45764509370827</v>
      </c>
      <c r="M26" s="4">
        <v>-60.88619170558907</v>
      </c>
      <c r="N26" s="4">
        <v>-164.04743130080499</v>
      </c>
      <c r="O26" s="4">
        <v>-36.519836473815175</v>
      </c>
      <c r="P26" s="4">
        <v>-7.5544975860168559</v>
      </c>
      <c r="Q26" s="4">
        <v>-13.637114809484885</v>
      </c>
      <c r="R26" s="4">
        <v>-7.3585987904677719</v>
      </c>
      <c r="S26" s="4">
        <v>0.6166932251509587</v>
      </c>
      <c r="T26" s="4">
        <v>9.1312012080681075</v>
      </c>
      <c r="U26" s="4">
        <v>0.32598648556803955</v>
      </c>
      <c r="V26" s="4">
        <v>1.6779119159470739</v>
      </c>
      <c r="W26" s="4">
        <v>0.12148244296733099</v>
      </c>
      <c r="X26" s="4">
        <v>0.18422774257439437</v>
      </c>
      <c r="Y26" s="4">
        <v>1.2524857562148399E-2</v>
      </c>
      <c r="Z26" s="4">
        <v>5.9432358917612393E-3</v>
      </c>
      <c r="AA26" s="4">
        <v>9.9432109694490246E-4</v>
      </c>
      <c r="AB26" s="4">
        <v>1.411010546990808E-4</v>
      </c>
      <c r="AC26" s="4">
        <v>5.0785550701478994E-6</v>
      </c>
      <c r="AD26" s="4">
        <v>3.9420469333451994E-6</v>
      </c>
      <c r="AE26" s="4">
        <v>4.4809988706813477E-8</v>
      </c>
      <c r="AF26" s="4">
        <v>1.2383993164408157E-8</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-758.9037200189274</v>
      </c>
      <c r="D27" s="4">
        <v>-13.066034752228884</v>
      </c>
      <c r="E27" s="4">
        <v>-7.9034316486687812</v>
      </c>
      <c r="F27" s="4">
        <v>-56.110463569786006</v>
      </c>
      <c r="G27" s="4">
        <v>-8.8779566874316682</v>
      </c>
      <c r="H27" s="4">
        <v>-174.8950861182137</v>
      </c>
      <c r="I27" s="4">
        <v>-56.540837294091716</v>
      </c>
      <c r="J27" s="4">
        <v>-490.59425994986651</v>
      </c>
      <c r="K27" s="4">
        <v>-150.85434345843686</v>
      </c>
      <c r="L27" s="4">
        <v>-262.19889774820456</v>
      </c>
      <c r="M27" s="4">
        <v>-62.387915500276982</v>
      </c>
      <c r="N27" s="4">
        <v>-175.73802189543494</v>
      </c>
      <c r="O27" s="4">
        <v>-40.911915493164152</v>
      </c>
      <c r="P27" s="4">
        <v>-8.8524316704818133</v>
      </c>
      <c r="Q27" s="4">
        <v>-16.719685362023036</v>
      </c>
      <c r="R27" s="4">
        <v>-9.4419835867866091</v>
      </c>
      <c r="S27" s="4">
        <v>0.82835222009042786</v>
      </c>
      <c r="T27" s="4">
        <v>12.843048075076332</v>
      </c>
      <c r="U27" s="4">
        <v>0.48023309423919613</v>
      </c>
      <c r="V27" s="4">
        <v>2.5897229343616215</v>
      </c>
      <c r="W27" s="4">
        <v>0.19649436639820592</v>
      </c>
      <c r="X27" s="4">
        <v>0.31236782722395523</v>
      </c>
      <c r="Y27" s="4">
        <v>2.2268063763178119E-2</v>
      </c>
      <c r="Z27" s="4">
        <v>1.1082972155113141E-2</v>
      </c>
      <c r="AA27" s="4">
        <v>1.9454061848985659E-3</v>
      </c>
      <c r="AB27" s="4">
        <v>2.897294039886029E-4</v>
      </c>
      <c r="AC27" s="4">
        <v>1.094740168815018E-5</v>
      </c>
      <c r="AD27" s="4">
        <v>8.9234495214553619E-6</v>
      </c>
      <c r="AE27" s="4">
        <v>1.0655137923832725E-7</v>
      </c>
      <c r="AF27" s="4">
        <v>3.0942332846149776E-8</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-693.55124976715683</v>
      </c>
      <c r="D28" s="4">
        <v>-8.9038414108272086</v>
      </c>
      <c r="E28" s="4">
        <v>-5.6191208412124229</v>
      </c>
      <c r="F28" s="4">
        <v>-41.630863853323802</v>
      </c>
      <c r="G28" s="4">
        <v>-6.875501872245585</v>
      </c>
      <c r="H28" s="4">
        <v>-141.41348789405367</v>
      </c>
      <c r="I28" s="4">
        <v>-47.741983328599993</v>
      </c>
      <c r="J28" s="4">
        <v>-432.70306632922865</v>
      </c>
      <c r="K28" s="4">
        <v>-139.01449119696133</v>
      </c>
      <c r="L28" s="4">
        <v>-252.50762669921806</v>
      </c>
      <c r="M28" s="4">
        <v>-62.80487216037826</v>
      </c>
      <c r="N28" s="4">
        <v>-184.97663639309744</v>
      </c>
      <c r="O28" s="4">
        <v>-45.037009554481848</v>
      </c>
      <c r="P28" s="4">
        <v>-10.194418815841846</v>
      </c>
      <c r="Q28" s="4">
        <v>-20.147492358104252</v>
      </c>
      <c r="R28" s="4">
        <v>-11.908671468223742</v>
      </c>
      <c r="S28" s="4">
        <v>1.093799654626237</v>
      </c>
      <c r="T28" s="4">
        <v>17.759484971282809</v>
      </c>
      <c r="U28" s="4">
        <v>0.69562004685173573</v>
      </c>
      <c r="V28" s="4">
        <v>3.9305260912115321</v>
      </c>
      <c r="W28" s="4">
        <v>0.31256901222086142</v>
      </c>
      <c r="X28" s="4">
        <v>0.52093443190165689</v>
      </c>
      <c r="Y28" s="4">
        <v>3.8944323819428667E-2</v>
      </c>
      <c r="Z28" s="4">
        <v>2.0332388532453598E-2</v>
      </c>
      <c r="AA28" s="4">
        <v>3.7448974873054352E-3</v>
      </c>
      <c r="AB28" s="4">
        <v>5.8539404327154741E-4</v>
      </c>
      <c r="AC28" s="4">
        <v>2.3223253201743756E-5</v>
      </c>
      <c r="AD28" s="4">
        <v>1.9880754760221068E-5</v>
      </c>
      <c r="AE28" s="4">
        <v>2.4939097575360238E-7</v>
      </c>
      <c r="AF28" s="4">
        <v>7.6108195788603068E-8</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-627.55907283917884</v>
      </c>
      <c r="D29" s="4">
        <v>-5.9550590629254971</v>
      </c>
      <c r="E29" s="4">
        <v>-3.9213699043969359</v>
      </c>
      <c r="F29" s="4">
        <v>-30.321152420947755</v>
      </c>
      <c r="G29" s="4">
        <v>-5.2275317148470615</v>
      </c>
      <c r="H29" s="4">
        <v>-112.26576872957045</v>
      </c>
      <c r="I29" s="4">
        <v>-39.584449612417885</v>
      </c>
      <c r="J29" s="4">
        <v>-374.78852957966933</v>
      </c>
      <c r="K29" s="4">
        <v>-125.81553002459175</v>
      </c>
      <c r="L29" s="4">
        <v>-238.85449317454334</v>
      </c>
      <c r="M29" s="4">
        <v>-62.107646610253489</v>
      </c>
      <c r="N29" s="4">
        <v>-191.28052080132238</v>
      </c>
      <c r="O29" s="4">
        <v>-48.712015324936431</v>
      </c>
      <c r="P29" s="4">
        <v>-11.53595435768276</v>
      </c>
      <c r="Q29" s="4">
        <v>-23.858859119229862</v>
      </c>
      <c r="R29" s="4">
        <v>-14.761960013362703</v>
      </c>
      <c r="S29" s="4">
        <v>1.4196663400876048</v>
      </c>
      <c r="T29" s="4">
        <v>24.141473689281007</v>
      </c>
      <c r="U29" s="4">
        <v>0.99062413041394004</v>
      </c>
      <c r="V29" s="4">
        <v>5.8655778306626027</v>
      </c>
      <c r="W29" s="4">
        <v>0.48893449394362631</v>
      </c>
      <c r="X29" s="4">
        <v>0.85438821853702851</v>
      </c>
      <c r="Y29" s="4">
        <v>6.6989704266500083E-2</v>
      </c>
      <c r="Z29" s="4">
        <v>3.6691864802382568E-2</v>
      </c>
      <c r="AA29" s="4">
        <v>7.0919576734801973E-3</v>
      </c>
      <c r="AB29" s="4">
        <v>1.1637192238210916E-3</v>
      </c>
      <c r="AC29" s="4">
        <v>4.8476043191407693E-5</v>
      </c>
      <c r="AD29" s="4">
        <v>4.3588636652197687E-5</v>
      </c>
      <c r="AE29" s="4">
        <v>5.7450158831926621E-7</v>
      </c>
      <c r="AF29" s="4">
        <v>1.8426695817320315E-7</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-561.47187241388303</v>
      </c>
      <c r="D30" s="4">
        <v>-3.9085464938261727</v>
      </c>
      <c r="E30" s="4">
        <v>-2.6857755242081609</v>
      </c>
      <c r="F30" s="4">
        <v>-21.676071808957044</v>
      </c>
      <c r="G30" s="4">
        <v>-3.9015386192945551</v>
      </c>
      <c r="H30" s="4">
        <v>-87.497054815966706</v>
      </c>
      <c r="I30" s="4">
        <v>-32.224126743196479</v>
      </c>
      <c r="J30" s="4">
        <v>-318.75578150885622</v>
      </c>
      <c r="K30" s="4">
        <v>-111.82198566650558</v>
      </c>
      <c r="L30" s="4">
        <v>-221.8986470808774</v>
      </c>
      <c r="M30" s="4">
        <v>-60.325778024014141</v>
      </c>
      <c r="N30" s="4">
        <v>-194.30088561674791</v>
      </c>
      <c r="O30" s="4">
        <v>-51.760339145030919</v>
      </c>
      <c r="P30" s="4">
        <v>-12.825774521862586</v>
      </c>
      <c r="Q30" s="4">
        <v>-27.762729867505886</v>
      </c>
      <c r="R30" s="4">
        <v>-17.982647183062799</v>
      </c>
      <c r="S30" s="4">
        <v>1.8109606241926088</v>
      </c>
      <c r="T30" s="4">
        <v>32.256482181539738</v>
      </c>
      <c r="U30" s="4">
        <v>1.3867922151658323</v>
      </c>
      <c r="V30" s="4">
        <v>8.6056313182747424</v>
      </c>
      <c r="W30" s="4">
        <v>0.75199276637423518</v>
      </c>
      <c r="X30" s="4">
        <v>1.3779465061646983</v>
      </c>
      <c r="Y30" s="4">
        <v>0.11332450902668516</v>
      </c>
      <c r="Z30" s="4">
        <v>6.5125387549770583E-2</v>
      </c>
      <c r="AA30" s="4">
        <v>1.3211101691714369E-2</v>
      </c>
      <c r="AB30" s="4">
        <v>2.2758448837013434E-3</v>
      </c>
      <c r="AC30" s="4">
        <v>9.955749183212499E-5</v>
      </c>
      <c r="AD30" s="4">
        <v>9.4038310125195852E-5</v>
      </c>
      <c r="AE30" s="4">
        <v>1.3023916001023947E-6</v>
      </c>
      <c r="AF30" s="4">
        <v>4.3908884897843354E-7</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-495.68129060107754</v>
      </c>
      <c r="D31" s="4">
        <v>-2.5171557783285978</v>
      </c>
      <c r="E31" s="4">
        <v>-1.8051334469912903</v>
      </c>
      <c r="F31" s="4">
        <v>-15.207768309031065</v>
      </c>
      <c r="G31" s="4">
        <v>-2.8580362380471827</v>
      </c>
      <c r="H31" s="4">
        <v>-66.93833314295334</v>
      </c>
      <c r="I31" s="4">
        <v>-25.752305106906725</v>
      </c>
      <c r="J31" s="4">
        <v>-266.16535280764555</v>
      </c>
      <c r="K31" s="4">
        <v>-97.585507839224206</v>
      </c>
      <c r="L31" s="4">
        <v>-202.4346363921612</v>
      </c>
      <c r="M31" s="4">
        <v>-57.545811098667457</v>
      </c>
      <c r="N31" s="4">
        <v>-193.85454439722713</v>
      </c>
      <c r="O31" s="4">
        <v>-54.02562488374712</v>
      </c>
      <c r="P31" s="4">
        <v>-14.008772923966417</v>
      </c>
      <c r="Q31" s="4">
        <v>-31.739939641874642</v>
      </c>
      <c r="R31" s="4">
        <v>-21.52483986734244</v>
      </c>
      <c r="S31" s="4">
        <v>2.2701469595092036</v>
      </c>
      <c r="T31" s="4">
        <v>42.358275765388619</v>
      </c>
      <c r="U31" s="4">
        <v>1.9082180825709179</v>
      </c>
      <c r="V31" s="4">
        <v>12.411238944770318</v>
      </c>
      <c r="W31" s="4">
        <v>1.1370609335561945</v>
      </c>
      <c r="X31" s="4">
        <v>2.1850604610768527</v>
      </c>
      <c r="Y31" s="4">
        <v>0.18851278626354087</v>
      </c>
      <c r="Z31" s="4">
        <v>0.11367880808097761</v>
      </c>
      <c r="AA31" s="4">
        <v>2.4205182133663246E-2</v>
      </c>
      <c r="AB31" s="4">
        <v>4.378058746290589E-3</v>
      </c>
      <c r="AC31" s="4">
        <v>2.0114700134410814E-4</v>
      </c>
      <c r="AD31" s="4">
        <v>1.9960795101931677E-4</v>
      </c>
      <c r="AE31" s="4">
        <v>2.9052425164170657E-6</v>
      </c>
      <c r="AF31" s="4">
        <v>1.0296676589137015E-6</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-430.41219261489698</v>
      </c>
      <c r="D32" s="4">
        <v>-1.5904319767362034</v>
      </c>
      <c r="E32" s="4">
        <v>-1.1904232509725383</v>
      </c>
      <c r="F32" s="4">
        <v>-10.469969112103502</v>
      </c>
      <c r="G32" s="4">
        <v>-2.0546474387707825</v>
      </c>
      <c r="H32" s="4">
        <v>-50.261691278812741</v>
      </c>
      <c r="I32" s="4">
        <v>-20.201100558148973</v>
      </c>
      <c r="J32" s="4">
        <v>-218.17872806681515</v>
      </c>
      <c r="K32" s="4">
        <v>-83.609300605549549</v>
      </c>
      <c r="L32" s="4">
        <v>-181.33017341126484</v>
      </c>
      <c r="M32" s="4">
        <v>-53.904346421749551</v>
      </c>
      <c r="N32" s="4">
        <v>-189.94196450003534</v>
      </c>
      <c r="O32" s="4">
        <v>-55.384841669721709</v>
      </c>
      <c r="P32" s="4">
        <v>-15.029688584182685</v>
      </c>
      <c r="Q32" s="4">
        <v>-35.647463562988854</v>
      </c>
      <c r="R32" s="4">
        <v>-25.313390661413763</v>
      </c>
      <c r="S32" s="4">
        <v>2.7962034548707226</v>
      </c>
      <c r="T32" s="4">
        <v>54.660724922818943</v>
      </c>
      <c r="U32" s="4">
        <v>2.5805171233492419</v>
      </c>
      <c r="V32" s="4">
        <v>17.593661105427532</v>
      </c>
      <c r="W32" s="4">
        <v>1.6900880653926043</v>
      </c>
      <c r="X32" s="4">
        <v>3.4064121835503158</v>
      </c>
      <c r="Y32" s="4">
        <v>0.30832434628447042</v>
      </c>
      <c r="Z32" s="4">
        <v>0.19512208726899546</v>
      </c>
      <c r="AA32" s="4">
        <v>4.3613745736139672E-2</v>
      </c>
      <c r="AB32" s="4">
        <v>8.283511926047385E-3</v>
      </c>
      <c r="AC32" s="4">
        <v>3.9975669431644009E-4</v>
      </c>
      <c r="AD32" s="4">
        <v>4.1681400492210124E-4</v>
      </c>
      <c r="AE32" s="4">
        <v>6.3762278369475205E-6</v>
      </c>
      <c r="AF32" s="4">
        <v>2.3759202722680273E-6</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-365.72264925460451</v>
      </c>
      <c r="D33" s="4">
        <v>-0.9857673513167915</v>
      </c>
      <c r="E33" s="4">
        <v>-0.77017656344354701</v>
      </c>
      <c r="F33" s="4">
        <v>-7.0723678149436378</v>
      </c>
      <c r="G33" s="4">
        <v>-1.449403696558524</v>
      </c>
      <c r="H33" s="4">
        <v>-37.036075397755361</v>
      </c>
      <c r="I33" s="4">
        <v>-15.552600972884953</v>
      </c>
      <c r="J33" s="4">
        <v>-175.54401555916212</v>
      </c>
      <c r="K33" s="4">
        <v>-70.320265029148388</v>
      </c>
      <c r="L33" s="4">
        <v>-159.46160352998459</v>
      </c>
      <c r="M33" s="4">
        <v>-49.576863605276323</v>
      </c>
      <c r="N33" s="4">
        <v>-182.74929511850516</v>
      </c>
      <c r="O33" s="4">
        <v>-55.759232821863627</v>
      </c>
      <c r="P33" s="4">
        <v>-15.837250389106854</v>
      </c>
      <c r="Q33" s="4">
        <v>-39.325704247049217</v>
      </c>
      <c r="R33" s="4">
        <v>-29.243660835260439</v>
      </c>
      <c r="S33" s="4">
        <v>3.3837677018636465</v>
      </c>
      <c r="T33" s="4">
        <v>69.306776582937061</v>
      </c>
      <c r="U33" s="4">
        <v>3.4292186612088296</v>
      </c>
      <c r="V33" s="4">
        <v>24.510590463240721</v>
      </c>
      <c r="W33" s="4">
        <v>2.4690986828395043</v>
      </c>
      <c r="X33" s="4">
        <v>5.2201356138388988</v>
      </c>
      <c r="Y33" s="4">
        <v>0.49576206780823967</v>
      </c>
      <c r="Z33" s="4">
        <v>0.32929090181856102</v>
      </c>
      <c r="AA33" s="4">
        <v>7.7273929608821734E-2</v>
      </c>
      <c r="AB33" s="4">
        <v>1.5413117709433447E-2</v>
      </c>
      <c r="AC33" s="4">
        <v>7.8139351451039449E-4</v>
      </c>
      <c r="AD33" s="4">
        <v>8.5614583044519557E-4</v>
      </c>
      <c r="AE33" s="4">
        <v>1.3766883903900871E-5</v>
      </c>
      <c r="AF33" s="4">
        <v>5.3939480996347269E-6</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-301.51757919355248</v>
      </c>
      <c r="D34" s="4">
        <v>-0.5992827154832242</v>
      </c>
      <c r="E34" s="4">
        <v>-0.48878724781853311</v>
      </c>
      <c r="F34" s="4">
        <v>-4.6867075933995999</v>
      </c>
      <c r="G34" s="4">
        <v>-1.0031552340734489</v>
      </c>
      <c r="H34" s="4">
        <v>-26.778295348106248</v>
      </c>
      <c r="I34" s="4">
        <v>-11.750186374736479</v>
      </c>
      <c r="J34" s="4">
        <v>-138.61723757627618</v>
      </c>
      <c r="K34" s="4">
        <v>-58.05078560532305</v>
      </c>
      <c r="L34" s="4">
        <v>-137.65380625993404</v>
      </c>
      <c r="M34" s="4">
        <v>-44.76359549712118</v>
      </c>
      <c r="N34" s="4">
        <v>-172.63386818864959</v>
      </c>
      <c r="O34" s="4">
        <v>-55.121785736371081</v>
      </c>
      <c r="P34" s="4">
        <v>-16.388362867312388</v>
      </c>
      <c r="Q34" s="4">
        <v>-42.608476165053609</v>
      </c>
      <c r="R34" s="4">
        <v>-33.184147858292405</v>
      </c>
      <c r="S34" s="4">
        <v>4.0224994349887977</v>
      </c>
      <c r="T34" s="4">
        <v>86.334847550370256</v>
      </c>
      <c r="U34" s="4">
        <v>4.4775498771189177</v>
      </c>
      <c r="V34" s="4">
        <v>33.554836817456973</v>
      </c>
      <c r="W34" s="4">
        <v>3.5450195345896462</v>
      </c>
      <c r="X34" s="4">
        <v>7.8625785245371755</v>
      </c>
      <c r="Y34" s="4">
        <v>0.78358340320288133</v>
      </c>
      <c r="Z34" s="4">
        <v>0.54632065051011425</v>
      </c>
      <c r="AA34" s="4">
        <v>0.13461257062402246</v>
      </c>
      <c r="AB34" s="4">
        <v>2.8200591516919365E-2</v>
      </c>
      <c r="AC34" s="4">
        <v>1.5020507652818494E-3</v>
      </c>
      <c r="AD34" s="4">
        <v>1.7295904073614367E-3</v>
      </c>
      <c r="AE34" s="4">
        <v>2.9237968143264208E-5</v>
      </c>
      <c r="AF34" s="4">
        <v>1.2046789699670178E-5</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-237.5746147576854</v>
      </c>
      <c r="D35" s="4">
        <v>-0.35729773054500469</v>
      </c>
      <c r="E35" s="4">
        <v>-0.3042520368568854</v>
      </c>
      <c r="F35" s="4">
        <v>-3.0464779922471581</v>
      </c>
      <c r="G35" s="4">
        <v>-0.68111027570279659</v>
      </c>
      <c r="H35" s="4">
        <v>-18.995686140709171</v>
      </c>
      <c r="I35" s="4">
        <v>-8.7105262017962293</v>
      </c>
      <c r="J35" s="4">
        <v>-107.41141177933505</v>
      </c>
      <c r="K35" s="4">
        <v>-47.030758881231797</v>
      </c>
      <c r="L35" s="4">
        <v>-116.63023788935038</v>
      </c>
      <c r="M35" s="4">
        <v>-39.674048879465737</v>
      </c>
      <c r="N35" s="4">
        <v>-160.09471749960514</v>
      </c>
      <c r="O35" s="4">
        <v>-53.500247971428905</v>
      </c>
      <c r="P35" s="4">
        <v>-16.651868230324421</v>
      </c>
      <c r="Q35" s="4">
        <v>-45.334929317909683</v>
      </c>
      <c r="R35" s="4">
        <v>-36.982235051002654</v>
      </c>
      <c r="S35" s="4">
        <v>4.6967924756473769</v>
      </c>
      <c r="T35" s="4">
        <v>105.64601713564707</v>
      </c>
      <c r="U35" s="4">
        <v>5.7436661057247917</v>
      </c>
      <c r="V35" s="4">
        <v>45.134349640880238</v>
      </c>
      <c r="W35" s="4">
        <v>5.0014623150018123</v>
      </c>
      <c r="X35" s="4">
        <v>11.638423530524342</v>
      </c>
      <c r="Y35" s="4">
        <v>1.2172819190880166</v>
      </c>
      <c r="Z35" s="4">
        <v>0.89095928759983045</v>
      </c>
      <c r="AA35" s="4">
        <v>0.23053094978252694</v>
      </c>
      <c r="AB35" s="4">
        <v>5.0730119644058561E-2</v>
      </c>
      <c r="AC35" s="4">
        <v>2.8391517939501485E-3</v>
      </c>
      <c r="AD35" s="4">
        <v>3.4361929055827965E-3</v>
      </c>
      <c r="AE35" s="4">
        <v>6.1072730689163527E-5</v>
      </c>
      <c r="AF35" s="4">
        <v>2.6465169830104764E-5</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-173.57960369278743</v>
      </c>
      <c r="D36" s="4">
        <v>-0.20888760220821623</v>
      </c>
      <c r="E36" s="4">
        <v>-0.18572659466242855</v>
      </c>
      <c r="F36" s="4">
        <v>-1.942220403434807</v>
      </c>
      <c r="G36" s="4">
        <v>-0.45360783146470568</v>
      </c>
      <c r="H36" s="4">
        <v>-13.218575222335463</v>
      </c>
      <c r="I36" s="4">
        <v>-6.3349859110224607</v>
      </c>
      <c r="J36" s="4">
        <v>-81.663784337444554</v>
      </c>
      <c r="K36" s="4">
        <v>-37.389208856764206</v>
      </c>
      <c r="L36" s="4">
        <v>-96.977115989971537</v>
      </c>
      <c r="M36" s="4">
        <v>-34.511852030454108</v>
      </c>
      <c r="N36" s="4">
        <v>-145.7315056282516</v>
      </c>
      <c r="O36" s="4">
        <v>-50.975241015842577</v>
      </c>
      <c r="P36" s="4">
        <v>-16.61143397103088</v>
      </c>
      <c r="Q36" s="4">
        <v>-47.362290786209343</v>
      </c>
      <c r="R36" s="4">
        <v>-40.472942005049902</v>
      </c>
      <c r="S36" s="4">
        <v>5.3859519654659511</v>
      </c>
      <c r="T36" s="4">
        <v>126.97631454760342</v>
      </c>
      <c r="U36" s="4">
        <v>7.2374847824610136</v>
      </c>
      <c r="V36" s="4">
        <v>59.642575705803452</v>
      </c>
      <c r="W36" s="4">
        <v>6.9329842617457436</v>
      </c>
      <c r="X36" s="4">
        <v>16.928409356524671</v>
      </c>
      <c r="Y36" s="4">
        <v>1.8583958422834592</v>
      </c>
      <c r="Z36" s="4">
        <v>1.42809725665063</v>
      </c>
      <c r="AA36" s="4">
        <v>0.38807119932627598</v>
      </c>
      <c r="AB36" s="4">
        <v>8.9714218031006029E-2</v>
      </c>
      <c r="AC36" s="4">
        <v>5.2763039846301816E-3</v>
      </c>
      <c r="AD36" s="4">
        <v>6.712723864444531E-3</v>
      </c>
      <c r="AE36" s="4">
        <v>1.2545401341435426E-4</v>
      </c>
      <c r="AF36" s="4">
        <v>5.7182813873734068E-5</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-109.16833639280391</v>
      </c>
      <c r="D37" s="4">
        <v>-0.11973502498429378</v>
      </c>
      <c r="E37" s="4">
        <v>-0.11116910427862697</v>
      </c>
      <c r="F37" s="4">
        <v>-1.2142605744176656</v>
      </c>
      <c r="G37" s="4">
        <v>-0.29627862040598479</v>
      </c>
      <c r="H37" s="4">
        <v>-9.0222519206521739</v>
      </c>
      <c r="I37" s="4">
        <v>-4.5195144726378524</v>
      </c>
      <c r="J37" s="4">
        <v>-60.911306447356381</v>
      </c>
      <c r="K37" s="4">
        <v>-29.163834116402562</v>
      </c>
      <c r="L37" s="4">
        <v>-79.123664046269724</v>
      </c>
      <c r="M37" s="4">
        <v>-29.461459118056894</v>
      </c>
      <c r="N37" s="4">
        <v>-130.19659435892115</v>
      </c>
      <c r="O37" s="4">
        <v>-47.673632087357355</v>
      </c>
      <c r="P37" s="4">
        <v>-16.267197596893617</v>
      </c>
      <c r="Q37" s="4">
        <v>-48.578061494187118</v>
      </c>
      <c r="R37" s="4">
        <v>-43.490124501625495</v>
      </c>
      <c r="S37" s="4">
        <v>6.0649139038863691</v>
      </c>
      <c r="T37" s="4">
        <v>149.87888204499396</v>
      </c>
      <c r="U37" s="4">
        <v>8.9573931549229044</v>
      </c>
      <c r="V37" s="4">
        <v>77.419207965008326</v>
      </c>
      <c r="W37" s="4">
        <v>9.4413583416702789</v>
      </c>
      <c r="X37" s="4">
        <v>24.192313984200258</v>
      </c>
      <c r="Y37" s="4">
        <v>2.7878733657506389</v>
      </c>
      <c r="Z37" s="4">
        <v>2.2495428477026507</v>
      </c>
      <c r="AA37" s="4">
        <v>0.64206535920131269</v>
      </c>
      <c r="AB37" s="4">
        <v>0.15595227520983909</v>
      </c>
      <c r="AC37" s="4">
        <v>9.6395277170370462E-3</v>
      </c>
      <c r="AD37" s="4">
        <v>1.2893024000770227E-2</v>
      </c>
      <c r="AE37" s="4">
        <v>2.5340015065015151E-4</v>
      </c>
      <c r="AF37" s="4">
        <v>1.2150442399766445E-4</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-43.970651860553204</v>
      </c>
      <c r="D38" s="4">
        <v>-6.7281806081157816E-2</v>
      </c>
      <c r="E38" s="4">
        <v>-6.5238726678185047E-2</v>
      </c>
      <c r="F38" s="4">
        <v>-0.74435539859037814</v>
      </c>
      <c r="G38" s="4">
        <v>-0.18976630228447833</v>
      </c>
      <c r="H38" s="4">
        <v>-6.0393256746979835</v>
      </c>
      <c r="I38" s="4">
        <v>-3.1624636123652254</v>
      </c>
      <c r="J38" s="4">
        <v>-44.565484359675004</v>
      </c>
      <c r="K38" s="4">
        <v>-22.316197232601482</v>
      </c>
      <c r="L38" s="4">
        <v>-63.338229707739458</v>
      </c>
      <c r="M38" s="4">
        <v>-24.677892833597781</v>
      </c>
      <c r="N38" s="4">
        <v>-114.14563817108352</v>
      </c>
      <c r="O38" s="4">
        <v>-43.757919585083584</v>
      </c>
      <c r="P38" s="4">
        <v>-15.63594176944498</v>
      </c>
      <c r="Q38" s="4">
        <v>-48.910243347097449</v>
      </c>
      <c r="R38" s="4">
        <v>-45.879157889516271</v>
      </c>
      <c r="S38" s="4">
        <v>6.7055242179103596</v>
      </c>
      <c r="T38" s="4">
        <v>173.72063153875945</v>
      </c>
      <c r="U38" s="4">
        <v>10.887205283176042</v>
      </c>
      <c r="V38" s="4">
        <v>98.702855541286553</v>
      </c>
      <c r="W38" s="4">
        <v>12.629482384033006</v>
      </c>
      <c r="X38" s="4">
        <v>33.964396633790486</v>
      </c>
      <c r="Y38" s="4">
        <v>4.1090537379253513</v>
      </c>
      <c r="Z38" s="4">
        <v>3.4818794936903812</v>
      </c>
      <c r="AA38" s="4">
        <v>1.0439492073694974</v>
      </c>
      <c r="AB38" s="4">
        <v>0.26644285683430857</v>
      </c>
      <c r="AC38" s="4">
        <v>1.7310657487902992E-2</v>
      </c>
      <c r="AD38" s="4">
        <v>2.4344053966199215E-2</v>
      </c>
      <c r="AE38" s="4">
        <v>5.0322457091921981E-4</v>
      </c>
      <c r="AF38" s="4">
        <v>2.5386463005653908E-4</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22.346955479976323</v>
      </c>
      <c r="D39" s="4">
        <v>-3.7058105955584758E-2</v>
      </c>
      <c r="E39" s="4">
        <v>-3.7530095069362085E-2</v>
      </c>
      <c r="F39" s="4">
        <v>-0.44734802031944393</v>
      </c>
      <c r="G39" s="4">
        <v>-0.1191732421650713</v>
      </c>
      <c r="H39" s="4">
        <v>-3.9641238948386883</v>
      </c>
      <c r="I39" s="4">
        <v>-2.1701472240712234</v>
      </c>
      <c r="J39" s="4">
        <v>-31.979681579691011</v>
      </c>
      <c r="K39" s="4">
        <v>-16.750033636251359</v>
      </c>
      <c r="L39" s="4">
        <v>-49.738279402913982</v>
      </c>
      <c r="M39" s="4">
        <v>-20.280228490295048</v>
      </c>
      <c r="N39" s="4">
        <v>-98.19194548477644</v>
      </c>
      <c r="O39" s="4">
        <v>-39.412873623674855</v>
      </c>
      <c r="P39" s="4">
        <v>-14.749754185349063</v>
      </c>
      <c r="Q39" s="4">
        <v>-48.334318162750165</v>
      </c>
      <c r="R39" s="4">
        <v>-47.509812756200809</v>
      </c>
      <c r="S39" s="4">
        <v>7.2783202856486717</v>
      </c>
      <c r="T39" s="4">
        <v>197.69705584784032</v>
      </c>
      <c r="U39" s="4">
        <v>12.993819527204085</v>
      </c>
      <c r="V39" s="4">
        <v>123.57893079023408</v>
      </c>
      <c r="W39" s="4">
        <v>16.592763025748884</v>
      </c>
      <c r="X39" s="4">
        <v>46.838302098188365</v>
      </c>
      <c r="Y39" s="4">
        <v>5.9496346261502131</v>
      </c>
      <c r="Z39" s="4">
        <v>5.2949534722558598</v>
      </c>
      <c r="AA39" s="4">
        <v>1.6678538559511291</v>
      </c>
      <c r="AB39" s="4">
        <v>0.44734727646860867</v>
      </c>
      <c r="AC39" s="4">
        <v>3.0552720234168679E-2</v>
      </c>
      <c r="AD39" s="4">
        <v>4.5181433071046093E-2</v>
      </c>
      <c r="AE39" s="4">
        <v>9.8241862812853604E-4</v>
      </c>
      <c r="AF39" s="4">
        <v>5.2148665116354793E-4</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90.043751524110775</v>
      </c>
      <c r="D40" s="4">
        <v>-2.0004085614636846E-2</v>
      </c>
      <c r="E40" s="4">
        <v>-2.1161557914240472E-2</v>
      </c>
      <c r="F40" s="4">
        <v>-0.26354124605405238</v>
      </c>
      <c r="G40" s="4">
        <v>-7.3370362778117482E-2</v>
      </c>
      <c r="H40" s="4">
        <v>-2.5511314610611664</v>
      </c>
      <c r="I40" s="4">
        <v>-1.4602410416943297</v>
      </c>
      <c r="J40" s="4">
        <v>-22.504347392465135</v>
      </c>
      <c r="K40" s="4">
        <v>-12.330290324693722</v>
      </c>
      <c r="L40" s="4">
        <v>-38.310984967506052</v>
      </c>
      <c r="M40" s="4">
        <v>-16.348999867467185</v>
      </c>
      <c r="N40" s="4">
        <v>-82.869000209161527</v>
      </c>
      <c r="O40" s="4">
        <v>-34.830972623740394</v>
      </c>
      <c r="P40" s="4">
        <v>-13.653318732071639</v>
      </c>
      <c r="Q40" s="4">
        <v>-46.876047771411528</v>
      </c>
      <c r="R40" s="4">
        <v>-48.287864691319932</v>
      </c>
      <c r="S40" s="4">
        <v>7.7546794390156251</v>
      </c>
      <c r="T40" s="4">
        <v>220.86708491242388</v>
      </c>
      <c r="U40" s="4">
        <v>15.226050370267773</v>
      </c>
      <c r="V40" s="4">
        <v>151.9278755903959</v>
      </c>
      <c r="W40" s="4">
        <v>21.408132141539063</v>
      </c>
      <c r="X40" s="4">
        <v>63.438685077828929</v>
      </c>
      <c r="Y40" s="4">
        <v>8.4618191487841479</v>
      </c>
      <c r="Z40" s="4">
        <v>7.9101552150681966</v>
      </c>
      <c r="AA40" s="4">
        <v>2.6179469569249108</v>
      </c>
      <c r="AB40" s="4">
        <v>0.73800588502317932</v>
      </c>
      <c r="AC40" s="4">
        <v>5.2992073224464878E-2</v>
      </c>
      <c r="AD40" s="4">
        <v>8.2414289620034692E-2</v>
      </c>
      <c r="AE40" s="4">
        <v>1.8852015385942146E-3</v>
      </c>
      <c r="AF40" s="4">
        <v>1.0530815206201006E-3</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159.27503897406547</v>
      </c>
      <c r="D41" s="4">
        <v>-1.0581429897753042E-2</v>
      </c>
      <c r="E41" s="4">
        <v>-1.1693643754830842E-2</v>
      </c>
      <c r="F41" s="4">
        <v>-0.15217041968690392</v>
      </c>
      <c r="G41" s="4">
        <v>-4.4277766648569528E-2</v>
      </c>
      <c r="H41" s="4">
        <v>-1.6094829916770461</v>
      </c>
      <c r="I41" s="4">
        <v>-0.96332512892253053</v>
      </c>
      <c r="J41" s="4">
        <v>-15.528052777219131</v>
      </c>
      <c r="K41" s="4">
        <v>-8.900917225567424</v>
      </c>
      <c r="L41" s="4">
        <v>-28.940466524514342</v>
      </c>
      <c r="M41" s="4">
        <v>-12.927223392541078</v>
      </c>
      <c r="N41" s="4">
        <v>-68.604148550704323</v>
      </c>
      <c r="O41" s="4">
        <v>-30.198247493199361</v>
      </c>
      <c r="P41" s="4">
        <v>-12.400156637110351</v>
      </c>
      <c r="Q41" s="4">
        <v>-44.609669437042456</v>
      </c>
      <c r="R41" s="4">
        <v>-48.164018118014972</v>
      </c>
      <c r="S41" s="4">
        <v>8.1091296283860714</v>
      </c>
      <c r="T41" s="4">
        <v>242.20742996688924</v>
      </c>
      <c r="U41" s="4">
        <v>17.515058811666695</v>
      </c>
      <c r="V41" s="4">
        <v>183.38040629501359</v>
      </c>
      <c r="W41" s="4">
        <v>27.121274472390144</v>
      </c>
      <c r="X41" s="4">
        <v>84.377676753781515</v>
      </c>
      <c r="Y41" s="4">
        <v>11.819713535562146</v>
      </c>
      <c r="Z41" s="4">
        <v>11.607196564321711</v>
      </c>
      <c r="AA41" s="4">
        <v>4.0367623322731365</v>
      </c>
      <c r="AB41" s="4">
        <v>1.1961748308426186</v>
      </c>
      <c r="AC41" s="4">
        <v>9.0311358902435288E-2</v>
      </c>
      <c r="AD41" s="4">
        <v>0.14772922598048296</v>
      </c>
      <c r="AE41" s="4">
        <v>3.5554259128513788E-3</v>
      </c>
      <c r="AF41" s="4">
        <v>2.0902827093366933E-3</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230.07220439401326</v>
      </c>
      <c r="D42" s="4">
        <v>-5.4840314354546822E-3</v>
      </c>
      <c r="E42" s="4">
        <v>-6.3317868820313896E-3</v>
      </c>
      <c r="F42" s="4">
        <v>-8.6105445094786751E-2</v>
      </c>
      <c r="G42" s="4">
        <v>-2.6188718700098805E-2</v>
      </c>
      <c r="H42" s="4">
        <v>-0.99528729822989559</v>
      </c>
      <c r="I42" s="4">
        <v>-0.62298129485811204</v>
      </c>
      <c r="J42" s="4">
        <v>-10.504293930698124</v>
      </c>
      <c r="K42" s="4">
        <v>-6.3000106055733731</v>
      </c>
      <c r="L42" s="4">
        <v>-21.437731088061369</v>
      </c>
      <c r="M42" s="4">
        <v>-10.024360593646367</v>
      </c>
      <c r="N42" s="4">
        <v>-55.704793117046002</v>
      </c>
      <c r="O42" s="4">
        <v>-25.681985437366141</v>
      </c>
      <c r="P42" s="4">
        <v>-11.048260568342137</v>
      </c>
      <c r="Q42" s="4">
        <v>-41.651645740757715</v>
      </c>
      <c r="R42" s="4">
        <v>-47.138980827105371</v>
      </c>
      <c r="S42" s="4">
        <v>8.3215706528939606</v>
      </c>
      <c r="T42" s="4">
        <v>260.68303867282611</v>
      </c>
      <c r="U42" s="4">
        <v>19.776674026241711</v>
      </c>
      <c r="V42" s="4">
        <v>217.28736221834728</v>
      </c>
      <c r="W42" s="4">
        <v>33.733121291697572</v>
      </c>
      <c r="X42" s="4">
        <v>110.19589356191085</v>
      </c>
      <c r="Y42" s="4">
        <v>16.213032661054488</v>
      </c>
      <c r="Z42" s="4">
        <v>16.727602783987102</v>
      </c>
      <c r="AA42" s="4">
        <v>6.1139206491601179</v>
      </c>
      <c r="AB42" s="4">
        <v>1.9045585516624277</v>
      </c>
      <c r="AC42" s="4">
        <v>0.15121314434909935</v>
      </c>
      <c r="AD42" s="4">
        <v>0.26019395974193421</v>
      </c>
      <c r="AE42" s="4">
        <v>6.5893696544029002E-3</v>
      </c>
      <c r="AF42" s="4">
        <v>4.0777282964759307E-3</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302.33338832319373</v>
      </c>
      <c r="D43" s="4">
        <v>-2.7843554423313951E-3</v>
      </c>
      <c r="E43" s="4">
        <v>-3.3590492767345569E-3</v>
      </c>
      <c r="F43" s="4">
        <v>-4.7740766161032989E-2</v>
      </c>
      <c r="G43" s="4">
        <v>-1.5179104941031996E-2</v>
      </c>
      <c r="H43" s="4">
        <v>-0.60319693402922281</v>
      </c>
      <c r="I43" s="4">
        <v>-0.39488550493291158</v>
      </c>
      <c r="J43" s="4">
        <v>-6.9655678367239569</v>
      </c>
      <c r="K43" s="4">
        <v>-4.3715311017835923</v>
      </c>
      <c r="L43" s="4">
        <v>-15.56983900623668</v>
      </c>
      <c r="M43" s="4">
        <v>-7.6223101802666351</v>
      </c>
      <c r="N43" s="4">
        <v>-44.356781365103998</v>
      </c>
      <c r="O43" s="4">
        <v>-21.421395110734842</v>
      </c>
      <c r="P43" s="4">
        <v>-9.6556217556033435</v>
      </c>
      <c r="Q43" s="4">
        <v>-38.150698731570195</v>
      </c>
      <c r="R43" s="4">
        <v>-45.263974158156998</v>
      </c>
      <c r="S43" s="4">
        <v>8.3791411871287789</v>
      </c>
      <c r="T43" s="4">
        <v>275.32752904438911</v>
      </c>
      <c r="U43" s="4">
        <v>21.915690214904075</v>
      </c>
      <c r="V43" s="4">
        <v>252.71163034494518</v>
      </c>
      <c r="W43" s="4">
        <v>41.187123420189828</v>
      </c>
      <c r="X43" s="4">
        <v>141.28996847432583</v>
      </c>
      <c r="Y43" s="4">
        <v>21.836322718539318</v>
      </c>
      <c r="Z43" s="4">
        <v>23.672721473745163</v>
      </c>
      <c r="AA43" s="4">
        <v>9.0942106251366255</v>
      </c>
      <c r="AB43" s="4">
        <v>2.9785396213147206</v>
      </c>
      <c r="AC43" s="4">
        <v>0.24871226408351718</v>
      </c>
      <c r="AD43" s="4">
        <v>0.45023568315640883</v>
      </c>
      <c r="AE43" s="4">
        <v>1.1999406585836399E-2</v>
      </c>
      <c r="AF43" s="4">
        <v>7.8171289066864772E-3</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375.82457394823626</v>
      </c>
      <c r="D44" s="4">
        <v>-1.3847051300118821E-3</v>
      </c>
      <c r="E44" s="4">
        <v>-1.7456575430115113E-3</v>
      </c>
      <c r="F44" s="4">
        <v>-2.5932577551541748E-2</v>
      </c>
      <c r="G44" s="4">
        <v>-8.620268589765126E-3</v>
      </c>
      <c r="H44" s="4">
        <v>-0.35822669598538442</v>
      </c>
      <c r="I44" s="4">
        <v>-0.24530207567587647</v>
      </c>
      <c r="J44" s="4">
        <v>-4.5271613392505303</v>
      </c>
      <c r="K44" s="4">
        <v>-2.9733897935771623</v>
      </c>
      <c r="L44" s="4">
        <v>-11.085667839702539</v>
      </c>
      <c r="M44" s="4">
        <v>-5.6824511175277213</v>
      </c>
      <c r="N44" s="4">
        <v>-34.633279626568779</v>
      </c>
      <c r="O44" s="4">
        <v>-17.521863459562262</v>
      </c>
      <c r="P44" s="4">
        <v>-8.2761334396368209</v>
      </c>
      <c r="Q44" s="4">
        <v>-34.275320483382714</v>
      </c>
      <c r="R44" s="4">
        <v>-42.636538992650905</v>
      </c>
      <c r="S44" s="4">
        <v>8.2774931638414113</v>
      </c>
      <c r="T44" s="4">
        <v>285.32528075690857</v>
      </c>
      <c r="U44" s="4">
        <v>23.831958057423872</v>
      </c>
      <c r="V44" s="4">
        <v>288.44823012575728</v>
      </c>
      <c r="W44" s="4">
        <v>49.359163080452348</v>
      </c>
      <c r="X44" s="4">
        <v>177.83139754617795</v>
      </c>
      <c r="Y44" s="4">
        <v>28.873275221476455</v>
      </c>
      <c r="Z44" s="4">
        <v>32.89382504031645</v>
      </c>
      <c r="AA44" s="4">
        <v>13.283503800928331</v>
      </c>
      <c r="AB44" s="4">
        <v>4.5747344421368945</v>
      </c>
      <c r="AC44" s="4">
        <v>0.40179974526420875</v>
      </c>
      <c r="AD44" s="4">
        <v>0.7653129767065554</v>
      </c>
      <c r="AE44" s="4">
        <v>2.1467630901220992E-2</v>
      </c>
      <c r="AF44" s="4">
        <v>1.4724380516088389E-2</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450.18996020938897</v>
      </c>
      <c r="D45" s="4">
        <v>-6.744286538159644E-4</v>
      </c>
      <c r="E45" s="4">
        <v>-8.885722008503508E-4</v>
      </c>
      <c r="F45" s="4">
        <v>-1.379869896232235E-2</v>
      </c>
      <c r="G45" s="4">
        <v>-4.7959758477971546E-3</v>
      </c>
      <c r="H45" s="4">
        <v>-0.20844139698863262</v>
      </c>
      <c r="I45" s="4">
        <v>-0.14931531722583485</v>
      </c>
      <c r="J45" s="4">
        <v>-2.8834649840990676</v>
      </c>
      <c r="K45" s="4">
        <v>-1.9821467146037972</v>
      </c>
      <c r="L45" s="4">
        <v>-7.7366322103897556</v>
      </c>
      <c r="M45" s="4">
        <v>-4.1528293518483101</v>
      </c>
      <c r="N45" s="4">
        <v>-26.511463473461614</v>
      </c>
      <c r="O45" s="4">
        <v>-14.05292703859625</v>
      </c>
      <c r="P45" s="4">
        <v>-6.9562699465686348</v>
      </c>
      <c r="Q45" s="4">
        <v>-30.200231580213192</v>
      </c>
      <c r="R45" s="4">
        <v>-39.392108115014572</v>
      </c>
      <c r="S45" s="4">
        <v>8.0212998159310374</v>
      </c>
      <c r="T45" s="4">
        <v>290.08570563812987</v>
      </c>
      <c r="U45" s="4">
        <v>25.427807201258013</v>
      </c>
      <c r="V45" s="4">
        <v>323.0759140894649</v>
      </c>
      <c r="W45" s="4">
        <v>58.052096185751275</v>
      </c>
      <c r="X45" s="4">
        <v>219.68448414067333</v>
      </c>
      <c r="Y45" s="4">
        <v>37.476305137657604</v>
      </c>
      <c r="Z45" s="4">
        <v>44.871995421958211</v>
      </c>
      <c r="AA45" s="4">
        <v>19.050485600795707</v>
      </c>
      <c r="AB45" s="4">
        <v>6.8996241728314738</v>
      </c>
      <c r="AC45" s="4">
        <v>0.63748612743241173</v>
      </c>
      <c r="AD45" s="4">
        <v>1.2777290703774582</v>
      </c>
      <c r="AE45" s="4">
        <v>3.7727778737392928E-2</v>
      </c>
      <c r="AF45" s="4">
        <v>2.7247842453697154E-2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c r="C46" s="4">
        <v>524.96978703960554</v>
      </c>
      <c r="D46" s="4">
        <v>-3.2166105583264617E-4</v>
      </c>
      <c r="E46" s="4">
        <v>-4.4295058125584565E-4</v>
      </c>
      <c r="F46" s="4">
        <v>-7.191257565106567E-3</v>
      </c>
      <c r="G46" s="4">
        <v>-2.6136837731893909E-3</v>
      </c>
      <c r="H46" s="4">
        <v>-0.11881622033342198</v>
      </c>
      <c r="I46" s="4">
        <v>-8.9047011264939524E-2</v>
      </c>
      <c r="J46" s="4">
        <v>-1.7995404502206302</v>
      </c>
      <c r="K46" s="4">
        <v>-1.2948653253415563</v>
      </c>
      <c r="L46" s="4">
        <v>-5.2916826163212072</v>
      </c>
      <c r="M46" s="4">
        <v>-2.9747561196782377</v>
      </c>
      <c r="N46" s="4">
        <v>-19.893908386231001</v>
      </c>
      <c r="O46" s="4">
        <v>-11.049619286706218</v>
      </c>
      <c r="P46" s="4">
        <v>-5.732807530000767</v>
      </c>
      <c r="Q46" s="4">
        <v>-26.093315076979998</v>
      </c>
      <c r="R46" s="4">
        <v>-35.692359874868487</v>
      </c>
      <c r="S46" s="4">
        <v>7.6239183398129757</v>
      </c>
      <c r="T46" s="4">
        <v>289.30042101313694</v>
      </c>
      <c r="U46" s="4">
        <v>26.616082751786386</v>
      </c>
      <c r="V46" s="4">
        <v>355.03977155341033</v>
      </c>
      <c r="W46" s="4">
        <v>66.996747310401929</v>
      </c>
      <c r="X46" s="4">
        <v>266.33380513611877</v>
      </c>
      <c r="Y46" s="4">
        <v>47.742375577354863</v>
      </c>
      <c r="Z46" s="4">
        <v>60.08607204221174</v>
      </c>
      <c r="AA46" s="4">
        <v>26.821809811485934</v>
      </c>
      <c r="AB46" s="4">
        <v>10.217040476130062</v>
      </c>
      <c r="AC46" s="4">
        <v>0.99317043215922685</v>
      </c>
      <c r="AD46" s="4">
        <v>2.0949930593659252</v>
      </c>
      <c r="AE46" s="4">
        <v>6.5123082129861176E-2</v>
      </c>
      <c r="AF46" s="4">
        <v>4.9530944628054741E-2</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599.62337581709437</v>
      </c>
      <c r="D47" s="4">
        <v>-1.5020412052021975E-4</v>
      </c>
      <c r="E47" s="4">
        <v>-2.1621412393867218E-4</v>
      </c>
      <c r="F47" s="4">
        <v>-3.6701461677924084E-3</v>
      </c>
      <c r="G47" s="4">
        <v>-1.395040255225784E-3</v>
      </c>
      <c r="H47" s="4">
        <v>-6.633935070507227E-2</v>
      </c>
      <c r="I47" s="4">
        <v>-5.2021682681267507E-2</v>
      </c>
      <c r="J47" s="4">
        <v>-1.1002850168096774</v>
      </c>
      <c r="K47" s="4">
        <v>-0.82881368258182819</v>
      </c>
      <c r="L47" s="4">
        <v>-3.5467146282771411</v>
      </c>
      <c r="M47" s="4">
        <v>-2.0883180829976578</v>
      </c>
      <c r="N47" s="4">
        <v>-14.631611963776532</v>
      </c>
      <c r="O47" s="4">
        <v>-8.5165050408477114</v>
      </c>
      <c r="P47" s="4">
        <v>-4.6316961402450429</v>
      </c>
      <c r="Q47" s="4">
        <v>-22.104387252914094</v>
      </c>
      <c r="R47" s="4">
        <v>-31.711756165097238</v>
      </c>
      <c r="S47" s="4">
        <v>7.1062380276311528</v>
      </c>
      <c r="T47" s="4">
        <v>282.97570838023444</v>
      </c>
      <c r="U47" s="4">
        <v>27.32790479571894</v>
      </c>
      <c r="V47" s="4">
        <v>382.75979168848897</v>
      </c>
      <c r="W47" s="4">
        <v>75.860660464539379</v>
      </c>
      <c r="X47" s="4">
        <v>316.8332867844872</v>
      </c>
      <c r="Y47" s="4">
        <v>59.686992807374267</v>
      </c>
      <c r="Z47" s="4">
        <v>78.96811749108268</v>
      </c>
      <c r="AA47" s="4">
        <v>37.068164657453885</v>
      </c>
      <c r="AB47" s="4">
        <v>14.85277229151631</v>
      </c>
      <c r="AC47" s="4">
        <v>1.5191883774498558</v>
      </c>
      <c r="AD47" s="4">
        <v>3.3729787418490331</v>
      </c>
      <c r="AE47" s="4">
        <v>0.11039479227808861</v>
      </c>
      <c r="AF47" s="4">
        <v>8.8432945685408618E-2</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673.55504546936754</v>
      </c>
      <c r="D48" s="4">
        <v>-6.8662988292914195E-5</v>
      </c>
      <c r="E48" s="4">
        <v>-1.0332749154010554E-4</v>
      </c>
      <c r="F48" s="4">
        <v>-1.8340480840142186E-3</v>
      </c>
      <c r="G48" s="4">
        <v>-7.2914738986414106E-4</v>
      </c>
      <c r="H48" s="4">
        <v>-3.6275038986623175E-2</v>
      </c>
      <c r="I48" s="4">
        <v>-2.9767145252647877E-2</v>
      </c>
      <c r="J48" s="4">
        <v>-0.65899685318249845</v>
      </c>
      <c r="K48" s="4">
        <v>-0.51972170304031473</v>
      </c>
      <c r="L48" s="4">
        <v>-2.3290975134917136</v>
      </c>
      <c r="M48" s="4">
        <v>-1.4365425810796448</v>
      </c>
      <c r="N48" s="4">
        <v>-10.546022228280716</v>
      </c>
      <c r="O48" s="4">
        <v>-6.4335116816521669</v>
      </c>
      <c r="P48" s="4">
        <v>-3.6680375633268634</v>
      </c>
      <c r="Q48" s="4">
        <v>-18.356818765766313</v>
      </c>
      <c r="R48" s="4">
        <v>-27.623838456227805</v>
      </c>
      <c r="S48" s="4">
        <v>6.4948516607050601</v>
      </c>
      <c r="T48" s="4">
        <v>271.43558100431227</v>
      </c>
      <c r="U48" s="4">
        <v>27.519207036140013</v>
      </c>
      <c r="V48" s="4">
        <v>404.75585741308345</v>
      </c>
      <c r="W48" s="4">
        <v>84.265052527526905</v>
      </c>
      <c r="X48" s="4">
        <v>369.78904067003697</v>
      </c>
      <c r="Y48" s="4">
        <v>73.219229207566215</v>
      </c>
      <c r="Z48" s="4">
        <v>101.84762427410993</v>
      </c>
      <c r="AA48" s="4">
        <v>50.279032940962907</v>
      </c>
      <c r="AB48" s="4">
        <v>21.194089218282571</v>
      </c>
      <c r="AC48" s="4">
        <v>2.2812696549319349</v>
      </c>
      <c r="AD48" s="4">
        <v>5.3318069092890426</v>
      </c>
      <c r="AE48" s="4">
        <v>0.18375746749327249</v>
      </c>
      <c r="AF48" s="4">
        <v>0.15505567053535763</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746.14071874682566</v>
      </c>
      <c r="D49" s="4">
        <v>-3.0722538321981943E-5</v>
      </c>
      <c r="E49" s="4">
        <v>-4.8337815529575438E-5</v>
      </c>
      <c r="F49" s="4">
        <v>-8.9727051685266931E-4</v>
      </c>
      <c r="G49" s="4">
        <v>-3.7314317357092243E-4</v>
      </c>
      <c r="H49" s="4">
        <v>-1.9423284374510321E-2</v>
      </c>
      <c r="I49" s="4">
        <v>-1.6680722721490186E-2</v>
      </c>
      <c r="J49" s="4">
        <v>-0.38657467859402106</v>
      </c>
      <c r="K49" s="4">
        <v>-0.31923023081913771</v>
      </c>
      <c r="L49" s="4">
        <v>-1.4983589896552865</v>
      </c>
      <c r="M49" s="4">
        <v>-0.96817746259780524</v>
      </c>
      <c r="N49" s="4">
        <v>-7.4481412083045022</v>
      </c>
      <c r="O49" s="4">
        <v>-4.7626192962881273</v>
      </c>
      <c r="P49" s="4">
        <v>-2.8469984378546971</v>
      </c>
      <c r="Q49" s="4">
        <v>-14.942560838518048</v>
      </c>
      <c r="R49" s="4">
        <v>-23.588789081468477</v>
      </c>
      <c r="S49" s="4">
        <v>5.8197739416093475</v>
      </c>
      <c r="T49" s="4">
        <v>255.29457369099697</v>
      </c>
      <c r="U49" s="4">
        <v>27.175201305690866</v>
      </c>
      <c r="V49" s="4">
        <v>419.77602900887689</v>
      </c>
      <c r="W49" s="4">
        <v>91.809308800307122</v>
      </c>
      <c r="X49" s="4">
        <v>423.38610897649505</v>
      </c>
      <c r="Y49" s="4">
        <v>88.121370105423708</v>
      </c>
      <c r="Z49" s="4">
        <v>128.88793486002072</v>
      </c>
      <c r="AA49" s="4">
        <v>66.924774797566087</v>
      </c>
      <c r="AB49" s="4">
        <v>29.681675237125525</v>
      </c>
      <c r="AC49" s="4">
        <v>3.3624869101906878</v>
      </c>
      <c r="AD49" s="4">
        <v>8.2738397074053278</v>
      </c>
      <c r="AE49" s="4">
        <v>0.30030773323792481</v>
      </c>
      <c r="AF49" s="4">
        <v>0.26695612394534024</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816.75335799029529</v>
      </c>
      <c r="D50" s="4">
        <v>-1.3453042908133863E-5</v>
      </c>
      <c r="E50" s="4">
        <v>-2.2132637833788987E-5</v>
      </c>
      <c r="F50" s="4">
        <v>-4.2969206709537723E-4</v>
      </c>
      <c r="G50" s="4">
        <v>-1.8694050898273291E-4</v>
      </c>
      <c r="H50" s="4">
        <v>-1.0182441768453784E-2</v>
      </c>
      <c r="I50" s="4">
        <v>-9.1528010860065668E-3</v>
      </c>
      <c r="J50" s="4">
        <v>-0.22207118468262155</v>
      </c>
      <c r="K50" s="4">
        <v>-0.19204076903870207</v>
      </c>
      <c r="L50" s="4">
        <v>-0.94416552328502457</v>
      </c>
      <c r="M50" s="4">
        <v>-0.63920997824437098</v>
      </c>
      <c r="N50" s="4">
        <v>-5.1535626851854479</v>
      </c>
      <c r="O50" s="4">
        <v>-3.4545595838859673</v>
      </c>
      <c r="P50" s="4">
        <v>-2.1654024025536533</v>
      </c>
      <c r="Q50" s="4">
        <v>-11.920644651609129</v>
      </c>
      <c r="R50" s="4">
        <v>-19.743485097671805</v>
      </c>
      <c r="S50" s="4">
        <v>5.1119815930736197</v>
      </c>
      <c r="T50" s="4">
        <v>235.403387924925</v>
      </c>
      <c r="U50" s="4">
        <v>26.312145834888263</v>
      </c>
      <c r="V50" s="4">
        <v>426.91301538335466</v>
      </c>
      <c r="W50" s="4">
        <v>98.101158144496708</v>
      </c>
      <c r="X50" s="4">
        <v>475.46505313656093</v>
      </c>
      <c r="Y50" s="4">
        <v>104.03711465673186</v>
      </c>
      <c r="Z50" s="4">
        <v>160.02080574369649</v>
      </c>
      <c r="AA50" s="4">
        <v>87.4061355340407</v>
      </c>
      <c r="AB50" s="4">
        <v>40.79148837242154</v>
      </c>
      <c r="AC50" s="4">
        <v>4.864126849526361</v>
      </c>
      <c r="AD50" s="4">
        <v>12.602399760024609</v>
      </c>
      <c r="AE50" s="4">
        <v>0.48178688672361286</v>
      </c>
      <c r="AF50" s="4">
        <v>0.45124549739436254</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884.78576158997032</v>
      </c>
      <c r="D51" s="4">
        <v>-5.7643181012384249E-6</v>
      </c>
      <c r="E51" s="4">
        <v>-9.917210201586958E-6</v>
      </c>
      <c r="F51" s="4">
        <v>-2.013946420883346E-4</v>
      </c>
      <c r="G51" s="4">
        <v>-9.1671573731563516E-5</v>
      </c>
      <c r="H51" s="4">
        <v>-5.2255440333860348E-3</v>
      </c>
      <c r="I51" s="4">
        <v>-4.9168925516581349E-3</v>
      </c>
      <c r="J51" s="4">
        <v>-0.12490966179341149</v>
      </c>
      <c r="K51" s="4">
        <v>-0.1131294372963363</v>
      </c>
      <c r="L51" s="4">
        <v>-0.58266801728108719</v>
      </c>
      <c r="M51" s="4">
        <v>-0.41335309326725306</v>
      </c>
      <c r="N51" s="4">
        <v>-3.4930504139523295</v>
      </c>
      <c r="O51" s="4">
        <v>-2.4548557354121208</v>
      </c>
      <c r="P51" s="4">
        <v>-1.6137103463319515</v>
      </c>
      <c r="Q51" s="4">
        <v>-9.3187880749903709</v>
      </c>
      <c r="R51" s="4">
        <v>-16.194839777418629</v>
      </c>
      <c r="S51" s="4">
        <v>4.401058016721068</v>
      </c>
      <c r="T51" s="4">
        <v>212.77409390318292</v>
      </c>
      <c r="U51" s="4">
        <v>24.976135794109389</v>
      </c>
      <c r="V51" s="4">
        <v>425.69397519851583</v>
      </c>
      <c r="W51" s="4">
        <v>102.78957459660725</v>
      </c>
      <c r="X51" s="4">
        <v>523.64817306264877</v>
      </c>
      <c r="Y51" s="4">
        <v>120.47200537129443</v>
      </c>
      <c r="Z51" s="4">
        <v>194.8872941682327</v>
      </c>
      <c r="AA51" s="4">
        <v>111.99334776224246</v>
      </c>
      <c r="AB51" s="4">
        <v>55.004566431539708</v>
      </c>
      <c r="AC51" s="4">
        <v>6.9047872829817569</v>
      </c>
      <c r="AD51" s="4">
        <v>18.838829850754209</v>
      </c>
      <c r="AE51" s="4">
        <v>0.75866787337313768</v>
      </c>
      <c r="AF51" s="4">
        <v>0.74876960980993679</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949.66961716788876</v>
      </c>
      <c r="D52" s="4">
        <v>-2.4164271488530927E-6</v>
      </c>
      <c r="E52" s="4">
        <v>-4.3480110602687242E-6</v>
      </c>
      <c r="F52" s="4">
        <v>-9.2369787907801106E-5</v>
      </c>
      <c r="G52" s="4">
        <v>-4.3995103313964651E-5</v>
      </c>
      <c r="H52" s="4">
        <v>-2.624802707794271E-3</v>
      </c>
      <c r="I52" s="4">
        <v>-2.5855946290149544E-3</v>
      </c>
      <c r="J52" s="4">
        <v>-6.8782917385361214E-2</v>
      </c>
      <c r="K52" s="4">
        <v>-6.5250903747703939E-2</v>
      </c>
      <c r="L52" s="4">
        <v>-0.35210418110128328</v>
      </c>
      <c r="M52" s="4">
        <v>-0.26177267756805839</v>
      </c>
      <c r="N52" s="4">
        <v>-2.3188700647290235</v>
      </c>
      <c r="O52" s="4">
        <v>-1.7087660328644088</v>
      </c>
      <c r="P52" s="4">
        <v>-1.1781083784659803</v>
      </c>
      <c r="Q52" s="4">
        <v>-7.1374233373211267</v>
      </c>
      <c r="R52" s="4">
        <v>-13.016725522263796</v>
      </c>
      <c r="S52" s="4">
        <v>3.7131917172878421</v>
      </c>
      <c r="T52" s="4">
        <v>188.49410268717801</v>
      </c>
      <c r="U52" s="4">
        <v>23.239030747079461</v>
      </c>
      <c r="V52" s="4">
        <v>416.13141692423312</v>
      </c>
      <c r="W52" s="4">
        <v>105.59669126061083</v>
      </c>
      <c r="X52" s="4">
        <v>565.50781914501044</v>
      </c>
      <c r="Y52" s="4">
        <v>136.80880399470556</v>
      </c>
      <c r="Z52" s="4">
        <v>232.79466149350804</v>
      </c>
      <c r="AA52" s="4">
        <v>140.75947054323535</v>
      </c>
      <c r="AB52" s="4">
        <v>72.763909619635086</v>
      </c>
      <c r="AC52" s="4">
        <v>9.6169448546866754</v>
      </c>
      <c r="AD52" s="4">
        <v>27.634376014679184</v>
      </c>
      <c r="AE52" s="4">
        <v>1.1724584808289034</v>
      </c>
      <c r="AF52" s="4">
        <v>1.2195143952122436</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1010.8899847641862</v>
      </c>
      <c r="D53" s="4">
        <v>-9.9090412363571108E-7</v>
      </c>
      <c r="E53" s="4">
        <v>-1.8649645089824108E-6</v>
      </c>
      <c r="F53" s="4">
        <v>-4.1451255620246256E-5</v>
      </c>
      <c r="G53" s="4">
        <v>-2.0660787116496793E-5</v>
      </c>
      <c r="H53" s="4">
        <v>-1.2902744562720834E-3</v>
      </c>
      <c r="I53" s="4">
        <v>-1.3307550171754044E-3</v>
      </c>
      <c r="J53" s="4">
        <v>-3.7074990452942672E-2</v>
      </c>
      <c r="K53" s="4">
        <v>-3.6843555844494343E-2</v>
      </c>
      <c r="L53" s="4">
        <v>-0.20832134160356666</v>
      </c>
      <c r="M53" s="4">
        <v>-0.16232625463563713</v>
      </c>
      <c r="N53" s="4">
        <v>-1.5075035048010115</v>
      </c>
      <c r="O53" s="4">
        <v>-1.1649274835263439</v>
      </c>
      <c r="P53" s="4">
        <v>-0.84246943875249947</v>
      </c>
      <c r="Q53" s="4">
        <v>-5.3552851634553891</v>
      </c>
      <c r="R53" s="4">
        <v>-10.250289359188912</v>
      </c>
      <c r="S53" s="4">
        <v>3.0697103236728012</v>
      </c>
      <c r="T53" s="4">
        <v>163.63917396859981</v>
      </c>
      <c r="U53" s="4">
        <v>21.192018233695613</v>
      </c>
      <c r="V53" s="4">
        <v>398.72769807994246</v>
      </c>
      <c r="W53" s="4">
        <v>106.34476385586908</v>
      </c>
      <c r="X53" s="4">
        <v>598.76191088213045</v>
      </c>
      <c r="Y53" s="4">
        <v>152.33888327104896</v>
      </c>
      <c r="Z53" s="4">
        <v>272.69923842668254</v>
      </c>
      <c r="AA53" s="4">
        <v>173.51513563005921</v>
      </c>
      <c r="AB53" s="4">
        <v>94.4193263729303</v>
      </c>
      <c r="AC53" s="4">
        <v>13.140295126307189</v>
      </c>
      <c r="AD53" s="4">
        <v>39.772279883770103</v>
      </c>
      <c r="AE53" s="4">
        <v>1.7780034035801415</v>
      </c>
      <c r="AF53" s="4">
        <v>1.9492591597295756</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c r="C54" s="4">
        <v>1067.9945604167947</v>
      </c>
      <c r="D54" s="4">
        <v>-3.9742479355095236E-7</v>
      </c>
      <c r="E54" s="4">
        <v>-7.8246111936957182E-7</v>
      </c>
      <c r="F54" s="4">
        <v>-1.8197210718855968E-5</v>
      </c>
      <c r="G54" s="4">
        <v>-9.4928398875030583E-6</v>
      </c>
      <c r="H54" s="4">
        <v>-6.2061454235619806E-4</v>
      </c>
      <c r="I54" s="4">
        <v>-6.7025198083804399E-4</v>
      </c>
      <c r="J54" s="4">
        <v>-1.955834002705626E-2</v>
      </c>
      <c r="K54" s="4">
        <v>-2.0362705121747468E-2</v>
      </c>
      <c r="L54" s="4">
        <v>-0.12065462720124041</v>
      </c>
      <c r="M54" s="4">
        <v>-9.8548460024509496E-2</v>
      </c>
      <c r="N54" s="4">
        <v>-0.95959091899928139</v>
      </c>
      <c r="O54" s="4">
        <v>-0.77769732538658709</v>
      </c>
      <c r="P54" s="4">
        <v>-0.59002215224424726</v>
      </c>
      <c r="Q54" s="4">
        <v>-3.9356739397702958</v>
      </c>
      <c r="R54" s="4">
        <v>-7.9070825387275301</v>
      </c>
      <c r="S54" s="4">
        <v>2.486244772199603</v>
      </c>
      <c r="T54" s="4">
        <v>139.19519750921276</v>
      </c>
      <c r="U54" s="4">
        <v>18.937619446411599</v>
      </c>
      <c r="V54" s="4">
        <v>374.43174680103692</v>
      </c>
      <c r="W54" s="4">
        <v>104.97458802616396</v>
      </c>
      <c r="X54" s="4">
        <v>621.47577474087166</v>
      </c>
      <c r="Y54" s="4">
        <v>166.30852511811636</v>
      </c>
      <c r="Z54" s="4">
        <v>313.22376943824116</v>
      </c>
      <c r="AA54" s="4">
        <v>209.75395592402126</v>
      </c>
      <c r="AB54" s="4">
        <v>120.1634343215358</v>
      </c>
      <c r="AC54" s="4">
        <v>17.611385062901167</v>
      </c>
      <c r="AD54" s="4">
        <v>56.154670520273562</v>
      </c>
      <c r="AE54" s="4">
        <v>2.6454331287244108</v>
      </c>
      <c r="AF54" s="4">
        <v>3.0572867678410125</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1120.5971843615141</v>
      </c>
      <c r="D55" s="4">
        <v>-1.5587494706628234E-7</v>
      </c>
      <c r="E55" s="4">
        <v>-3.2107027430539978E-7</v>
      </c>
      <c r="F55" s="4">
        <v>-7.8138388018235617E-6</v>
      </c>
      <c r="G55" s="4">
        <v>-4.2666355651850107E-6</v>
      </c>
      <c r="H55" s="4">
        <v>-2.9204499505020536E-4</v>
      </c>
      <c r="I55" s="4">
        <v>-3.3030428444237418E-4</v>
      </c>
      <c r="J55" s="4">
        <v>-1.0096420856877253E-2</v>
      </c>
      <c r="K55" s="4">
        <v>-1.1013936961603096E-2</v>
      </c>
      <c r="L55" s="4">
        <v>-6.8396885285326503E-2</v>
      </c>
      <c r="M55" s="4">
        <v>-5.8565554613633553E-2</v>
      </c>
      <c r="N55" s="4">
        <v>-0.59799117040445349</v>
      </c>
      <c r="O55" s="4">
        <v>-0.50833842997107925</v>
      </c>
      <c r="P55" s="4">
        <v>-0.40463474284585454</v>
      </c>
      <c r="Q55" s="4">
        <v>-2.8326092267791516</v>
      </c>
      <c r="R55" s="4">
        <v>-5.9741773427316831</v>
      </c>
      <c r="S55" s="4">
        <v>1.9725272173526129</v>
      </c>
      <c r="T55" s="4">
        <v>115.99655695495923</v>
      </c>
      <c r="U55" s="4">
        <v>16.58112022371613</v>
      </c>
      <c r="V55" s="4">
        <v>344.55312115673996</v>
      </c>
      <c r="W55" s="4">
        <v>101.55274591497506</v>
      </c>
      <c r="X55" s="4">
        <v>632.24607091311589</v>
      </c>
      <c r="Y55" s="4">
        <v>177.97661450176037</v>
      </c>
      <c r="Z55" s="4">
        <v>352.7144829146178</v>
      </c>
      <c r="AA55" s="4">
        <v>248.61892566603024</v>
      </c>
      <c r="AB55" s="4">
        <v>149.96460186562996</v>
      </c>
      <c r="AC55" s="4">
        <v>23.149466916204535</v>
      </c>
      <c r="AD55" s="4">
        <v>77.76869326136125</v>
      </c>
      <c r="AE55" s="4">
        <v>3.8612621162888132</v>
      </c>
      <c r="AF55" s="4">
        <v>4.7046377174258023</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1168.3751834669813</v>
      </c>
      <c r="D56" s="4">
        <v>-5.9776127955018507E-8</v>
      </c>
      <c r="E56" s="4">
        <v>-1.2882936174498677E-7</v>
      </c>
      <c r="F56" s="4">
        <v>-3.2813237019781987E-6</v>
      </c>
      <c r="G56" s="4">
        <v>-1.8756326639849086E-6</v>
      </c>
      <c r="H56" s="4">
        <v>-1.3443072324133347E-4</v>
      </c>
      <c r="I56" s="4">
        <v>-1.592427330254822E-4</v>
      </c>
      <c r="J56" s="4">
        <v>-5.0994207698583588E-3</v>
      </c>
      <c r="K56" s="4">
        <v>-5.829302022602993E-3</v>
      </c>
      <c r="L56" s="4">
        <v>-3.7944139163112157E-2</v>
      </c>
      <c r="M56" s="4">
        <v>-3.406435521331664E-2</v>
      </c>
      <c r="N56" s="4">
        <v>-0.36476960706557149</v>
      </c>
      <c r="O56" s="4">
        <v>-0.32528237628458428</v>
      </c>
      <c r="P56" s="4">
        <v>-0.27168995516865724</v>
      </c>
      <c r="Q56" s="4">
        <v>-1.9962750458354002</v>
      </c>
      <c r="R56" s="4">
        <v>-4.4203534596841463</v>
      </c>
      <c r="S56" s="4">
        <v>1.5327466043895632</v>
      </c>
      <c r="T56" s="4">
        <v>94.685978209586423</v>
      </c>
      <c r="U56" s="4">
        <v>14.222432057628916</v>
      </c>
      <c r="V56" s="4">
        <v>310.64425639271383</v>
      </c>
      <c r="W56" s="4">
        <v>96.266501379518786</v>
      </c>
      <c r="X56" s="4">
        <v>630.3428402602965</v>
      </c>
      <c r="Y56" s="4">
        <v>186.67801077525155</v>
      </c>
      <c r="Z56" s="4">
        <v>389.33821515922307</v>
      </c>
      <c r="AA56" s="4">
        <v>288.89968131031634</v>
      </c>
      <c r="AB56" s="4">
        <v>183.50506693674569</v>
      </c>
      <c r="AC56" s="4">
        <v>29.839099217425279</v>
      </c>
      <c r="AD56" s="4">
        <v>105.62717089902584</v>
      </c>
      <c r="AE56" s="4">
        <v>5.5280090731879552</v>
      </c>
      <c r="AF56" s="4">
        <v>7.1019653388778012</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1211.0603659933215</v>
      </c>
      <c r="D57" s="4">
        <v>-2.2409945669753742E-8</v>
      </c>
      <c r="E57" s="4">
        <v>-5.0540406143208421E-8</v>
      </c>
      <c r="F57" s="4">
        <v>-1.3473816580226261E-6</v>
      </c>
      <c r="G57" s="4">
        <v>-8.0633409626610507E-7</v>
      </c>
      <c r="H57" s="4">
        <v>-6.0520239297543305E-5</v>
      </c>
      <c r="I57" s="4">
        <v>-7.5094300061316366E-5</v>
      </c>
      <c r="J57" s="4">
        <v>-2.5195620471087708E-3</v>
      </c>
      <c r="K57" s="4">
        <v>-3.0184951120582376E-3</v>
      </c>
      <c r="L57" s="4">
        <v>-2.0596928018540971E-2</v>
      </c>
      <c r="M57" s="4">
        <v>-1.9389077612877226E-2</v>
      </c>
      <c r="N57" s="4">
        <v>-0.21776674578586616</v>
      </c>
      <c r="O57" s="4">
        <v>-0.20373583786113655</v>
      </c>
      <c r="P57" s="4">
        <v>-0.17858042439649088</v>
      </c>
      <c r="Q57" s="4">
        <v>-1.3773832230865208</v>
      </c>
      <c r="R57" s="4">
        <v>-3.2024895444560455</v>
      </c>
      <c r="S57" s="4">
        <v>1.1663287785002139</v>
      </c>
      <c r="T57" s="4">
        <v>75.697449991523811</v>
      </c>
      <c r="U57" s="4">
        <v>11.949257423363282</v>
      </c>
      <c r="V57" s="4">
        <v>274.3657329971436</v>
      </c>
      <c r="W57" s="4">
        <v>89.406845203499742</v>
      </c>
      <c r="X57" s="4">
        <v>615.78988934204233</v>
      </c>
      <c r="Y57" s="4">
        <v>191.88531176881847</v>
      </c>
      <c r="Z57" s="4">
        <v>421.21394719220149</v>
      </c>
      <c r="AA57" s="4">
        <v>329.06815836312416</v>
      </c>
      <c r="AB57" s="4">
        <v>220.13422383314628</v>
      </c>
      <c r="AC57" s="4">
        <v>37.710756719919424</v>
      </c>
      <c r="AD57" s="4">
        <v>140.68126971243635</v>
      </c>
      <c r="AE57" s="4">
        <v>7.7616365170309827</v>
      </c>
      <c r="AF57" s="4">
        <v>10.515541823474493</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1248.4239002196787</v>
      </c>
      <c r="D58" s="4">
        <v>-8.2119491676628593E-9</v>
      </c>
      <c r="E58" s="4">
        <v>-1.9382188318953659E-8</v>
      </c>
      <c r="F58" s="4">
        <v>-5.4090430531052623E-7</v>
      </c>
      <c r="G58" s="4">
        <v>-3.3893687296233311E-7</v>
      </c>
      <c r="H58" s="4">
        <v>-2.6643290737150794E-5</v>
      </c>
      <c r="I58" s="4">
        <v>-3.4632854450841234E-5</v>
      </c>
      <c r="J58" s="4">
        <v>-1.2176215832938322E-3</v>
      </c>
      <c r="K58" s="4">
        <v>-1.5289625511929954E-3</v>
      </c>
      <c r="L58" s="4">
        <v>-1.0938110528316719E-2</v>
      </c>
      <c r="M58" s="4">
        <v>-1.0798070844232061E-2</v>
      </c>
      <c r="N58" s="4">
        <v>-0.12721746717544308</v>
      </c>
      <c r="O58" s="4">
        <v>-0.12488408599597428</v>
      </c>
      <c r="P58" s="4">
        <v>-0.11488879905338943</v>
      </c>
      <c r="Q58" s="4">
        <v>-0.93030179519588474</v>
      </c>
      <c r="R58" s="4">
        <v>-2.2714568318892572</v>
      </c>
      <c r="S58" s="4">
        <v>0.86897913702613938</v>
      </c>
      <c r="T58" s="4">
        <v>59.260668458290212</v>
      </c>
      <c r="U58" s="4">
        <v>9.8321835631363559</v>
      </c>
      <c r="V58" s="4">
        <v>237.35097830741466</v>
      </c>
      <c r="W58" s="4">
        <v>81.341820495500187</v>
      </c>
      <c r="X58" s="4">
        <v>589.37139755461703</v>
      </c>
      <c r="Y58" s="4">
        <v>193.2611814387275</v>
      </c>
      <c r="Z58" s="4">
        <v>446.56704122064536</v>
      </c>
      <c r="AA58" s="4">
        <v>367.35595688714659</v>
      </c>
      <c r="AB58" s="4">
        <v>258.84754370019954</v>
      </c>
      <c r="AC58" s="4">
        <v>46.721485878045677</v>
      </c>
      <c r="AD58" s="4">
        <v>183.70627792412799</v>
      </c>
      <c r="AE58" s="4">
        <v>10.686131503031186</v>
      </c>
      <c r="AF58" s="4">
        <v>15.269448299846582</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1280.2559525019301</v>
      </c>
      <c r="D59" s="4">
        <v>-2.9408601995158497E-9</v>
      </c>
      <c r="E59" s="4">
        <v>-7.2650328942938912E-9</v>
      </c>
      <c r="F59" s="4">
        <v>-2.122605164963226E-7</v>
      </c>
      <c r="G59" s="4">
        <v>-1.3928043767488815E-7</v>
      </c>
      <c r="H59" s="4">
        <v>-1.1468098315946461E-5</v>
      </c>
      <c r="I59" s="4">
        <v>-1.5618344296446796E-5</v>
      </c>
      <c r="J59" s="4">
        <v>-5.754589572718636E-4</v>
      </c>
      <c r="K59" s="4">
        <v>-7.5747373390531157E-4</v>
      </c>
      <c r="L59" s="4">
        <v>-5.6819370915814193E-3</v>
      </c>
      <c r="M59" s="4">
        <v>-5.8830106328910696E-3</v>
      </c>
      <c r="N59" s="4">
        <v>-7.2713798164767349E-2</v>
      </c>
      <c r="O59" s="4">
        <v>-7.4905278637662664E-2</v>
      </c>
      <c r="P59" s="4">
        <v>-7.233329116104463E-2</v>
      </c>
      <c r="Q59" s="4">
        <v>-0.61497995950943407</v>
      </c>
      <c r="R59" s="4">
        <v>-1.5770335182952053</v>
      </c>
      <c r="S59" s="4">
        <v>0.63382492376837118</v>
      </c>
      <c r="T59" s="4">
        <v>45.422986782274009</v>
      </c>
      <c r="U59" s="4">
        <v>7.9220108541060714</v>
      </c>
      <c r="V59" s="4">
        <v>201.08581606173877</v>
      </c>
      <c r="W59" s="4">
        <v>72.48354679933847</v>
      </c>
      <c r="X59" s="4">
        <v>552.56259623623521</v>
      </c>
      <c r="Y59" s="4">
        <v>190.69410746231225</v>
      </c>
      <c r="Z59" s="4">
        <v>463.88943524020078</v>
      </c>
      <c r="AA59" s="4">
        <v>401.87101213768068</v>
      </c>
      <c r="AB59" s="4">
        <v>298.3003137539456</v>
      </c>
      <c r="AC59" s="4">
        <v>56.738307586716957</v>
      </c>
      <c r="AD59" s="4">
        <v>235.166548044281</v>
      </c>
      <c r="AE59" s="4">
        <v>14.424720239069234</v>
      </c>
      <c r="AF59" s="4">
        <v>21.741570056565799</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1306.3418214076057</v>
      </c>
      <c r="D60" s="4">
        <v>-1.0290934749244638E-9</v>
      </c>
      <c r="E60" s="4">
        <v>-2.6611718972807029E-9</v>
      </c>
      <c r="F60" s="4">
        <v>-8.1407997909240555E-8</v>
      </c>
      <c r="G60" s="4">
        <v>-5.5944742901509275E-8</v>
      </c>
      <c r="H60" s="4">
        <v>-4.8254947709055588E-6</v>
      </c>
      <c r="I60" s="4">
        <v>-6.8861726751719353E-6</v>
      </c>
      <c r="J60" s="4">
        <v>-2.6592683797956333E-4</v>
      </c>
      <c r="K60" s="4">
        <v>-3.6697287871268602E-4</v>
      </c>
      <c r="L60" s="4">
        <v>-2.8866646785492595E-3</v>
      </c>
      <c r="M60" s="4">
        <v>-3.1350850176378436E-3</v>
      </c>
      <c r="N60" s="4">
        <v>-4.0656861922578405E-2</v>
      </c>
      <c r="O60" s="4">
        <v>-4.3955749160229242E-2</v>
      </c>
      <c r="P60" s="4">
        <v>-4.4560288306026472E-2</v>
      </c>
      <c r="Q60" s="4">
        <v>-0.39783124176071227</v>
      </c>
      <c r="R60" s="4">
        <v>-1.0715934832486833</v>
      </c>
      <c r="S60" s="4">
        <v>0.45251623855765827</v>
      </c>
      <c r="T60" s="4">
        <v>34.083345511473034</v>
      </c>
      <c r="U60" s="4">
        <v>6.2492957803560021</v>
      </c>
      <c r="V60" s="4">
        <v>166.8150231770538</v>
      </c>
      <c r="W60" s="4">
        <v>63.253087650863954</v>
      </c>
      <c r="X60" s="4">
        <v>507.39293212577081</v>
      </c>
      <c r="Y60" s="4">
        <v>184.31237665661044</v>
      </c>
      <c r="Z60" s="4">
        <v>472.08618251890812</v>
      </c>
      <c r="AA60" s="4">
        <v>430.74476669996244</v>
      </c>
      <c r="AB60" s="4">
        <v>336.86212696499229</v>
      </c>
      <c r="AC60" s="4">
        <v>67.527448956490716</v>
      </c>
      <c r="AD60" s="4">
        <v>295.07138224177601</v>
      </c>
      <c r="AE60" s="4">
        <v>19.087559309740758</v>
      </c>
      <c r="AF60" s="4">
        <v>30.350863109176757</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1326.4372952650895</v>
      </c>
      <c r="D61" s="4">
        <v>-3.5181682365339386E-10</v>
      </c>
      <c r="E61" s="4">
        <v>-9.5244102092934948E-10</v>
      </c>
      <c r="F61" s="4">
        <v>-3.0510090791574222E-8</v>
      </c>
      <c r="G61" s="4">
        <v>-2.196119784664048E-8</v>
      </c>
      <c r="H61" s="4">
        <v>-1.9845824961164645E-6</v>
      </c>
      <c r="I61" s="4">
        <v>-2.9678862026259397E-6</v>
      </c>
      <c r="J61" s="4">
        <v>-1.201396142988188E-4</v>
      </c>
      <c r="K61" s="4">
        <v>-1.7383079429126759E-4</v>
      </c>
      <c r="L61" s="4">
        <v>-1.4340787401270916E-3</v>
      </c>
      <c r="M61" s="4">
        <v>-1.6339035828337326E-3</v>
      </c>
      <c r="N61" s="4">
        <v>-2.2234596403839846E-2</v>
      </c>
      <c r="O61" s="4">
        <v>-2.5231819472955486E-2</v>
      </c>
      <c r="P61" s="4">
        <v>-2.685585109738451E-2</v>
      </c>
      <c r="Q61" s="4">
        <v>-0.25180816516571086</v>
      </c>
      <c r="R61" s="4">
        <v>-0.71253195319573892</v>
      </c>
      <c r="S61" s="4">
        <v>0.31618161180458049</v>
      </c>
      <c r="T61" s="4">
        <v>25.032203616673787</v>
      </c>
      <c r="U61" s="4">
        <v>4.8258089730426983</v>
      </c>
      <c r="V61" s="4">
        <v>135.48326645211304</v>
      </c>
      <c r="W61" s="4">
        <v>54.047361412642623</v>
      </c>
      <c r="X61" s="4">
        <v>456.25940984066625</v>
      </c>
      <c r="Y61" s="4">
        <v>174.47393724129461</v>
      </c>
      <c r="Z61" s="4">
        <v>470.58882361517442</v>
      </c>
      <c r="AA61" s="4">
        <v>452.29507685476335</v>
      </c>
      <c r="AB61" s="4">
        <v>372.71299317831784</v>
      </c>
      <c r="AC61" s="4">
        <v>78.752413179419065</v>
      </c>
      <c r="AD61" s="4">
        <v>362.83923057771483</v>
      </c>
      <c r="AE61" s="4">
        <v>24.756280165859391</v>
      </c>
      <c r="AF61" s="4">
        <v>41.533633155003876</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1340.2469164660379</v>
      </c>
      <c r="D62" s="4">
        <v>-1.1748653738166864E-10</v>
      </c>
      <c r="E62" s="4">
        <v>-3.3301339331602974E-10</v>
      </c>
      <c r="F62" s="4">
        <v>-1.1171908200158454E-8</v>
      </c>
      <c r="G62" s="4">
        <v>-8.4238272751676751E-9</v>
      </c>
      <c r="H62" s="4">
        <v>-7.9763219403822532E-7</v>
      </c>
      <c r="I62" s="4">
        <v>-1.2501801202074068E-6</v>
      </c>
      <c r="J62" s="4">
        <v>-5.3053785559226103E-5</v>
      </c>
      <c r="K62" s="4">
        <v>-8.0496295239120881E-5</v>
      </c>
      <c r="L62" s="4">
        <v>-6.9655709964204038E-4</v>
      </c>
      <c r="M62" s="4">
        <v>-8.3264813371985871E-4</v>
      </c>
      <c r="N62" s="4">
        <v>-1.1891423313334048E-2</v>
      </c>
      <c r="O62" s="4">
        <v>-1.4165833843773649E-2</v>
      </c>
      <c r="P62" s="4">
        <v>-1.5832238933524655E-2</v>
      </c>
      <c r="Q62" s="4">
        <v>-0.15592125136638113</v>
      </c>
      <c r="R62" s="4">
        <v>-0.46354894920475037</v>
      </c>
      <c r="S62" s="4">
        <v>0.21617662148097536</v>
      </c>
      <c r="T62" s="4">
        <v>17.991966495843062</v>
      </c>
      <c r="U62" s="4">
        <v>3.647415005697904</v>
      </c>
      <c r="V62" s="4">
        <v>107.71242509550302</v>
      </c>
      <c r="W62" s="4">
        <v>45.211703277312601</v>
      </c>
      <c r="X62" s="4">
        <v>401.71416357158733</v>
      </c>
      <c r="Y62" s="4">
        <v>161.73317933465762</v>
      </c>
      <c r="Z62" s="4">
        <v>459.4194430441641</v>
      </c>
      <c r="AA62" s="4">
        <v>465.18578338339876</v>
      </c>
      <c r="AB62" s="4">
        <v>403.97568051954084</v>
      </c>
      <c r="AC62" s="4">
        <v>89.983255895224815</v>
      </c>
      <c r="AD62" s="4">
        <v>437.19179375344629</v>
      </c>
      <c r="AE62" s="4">
        <v>31.466443670328292</v>
      </c>
      <c r="AF62" s="4">
        <v>55.707427783724441</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1347.4095297991398</v>
      </c>
      <c r="D63" s="4">
        <v>-3.8317492391327951E-11</v>
      </c>
      <c r="E63" s="4">
        <v>-1.137291376484645E-10</v>
      </c>
      <c r="F63" s="4">
        <v>-3.9961969260773988E-9</v>
      </c>
      <c r="G63" s="4">
        <v>-3.156807085611105E-9</v>
      </c>
      <c r="H63" s="4">
        <v>-3.132356039716937E-7</v>
      </c>
      <c r="I63" s="4">
        <v>-5.1461554579146957E-7</v>
      </c>
      <c r="J63" s="4">
        <v>-2.2897170049973219E-5</v>
      </c>
      <c r="K63" s="4">
        <v>-3.6434344259475545E-5</v>
      </c>
      <c r="L63" s="4">
        <v>-3.3073276182364825E-4</v>
      </c>
      <c r="M63" s="4">
        <v>-4.1484373783600949E-4</v>
      </c>
      <c r="N63" s="4">
        <v>-6.2183881218530806E-3</v>
      </c>
      <c r="O63" s="4">
        <v>-7.7772644629499838E-3</v>
      </c>
      <c r="P63" s="4">
        <v>-9.1282798984954651E-3</v>
      </c>
      <c r="Q63" s="4">
        <v>-9.4435734209095401E-2</v>
      </c>
      <c r="R63" s="4">
        <v>-0.29500885749467337</v>
      </c>
      <c r="S63" s="4">
        <v>0.14460456361744034</v>
      </c>
      <c r="T63" s="4">
        <v>12.653556607753679</v>
      </c>
      <c r="U63" s="4">
        <v>2.6977906563446732</v>
      </c>
      <c r="V63" s="4">
        <v>83.812320106427507</v>
      </c>
      <c r="W63" s="4">
        <v>37.020593645973669</v>
      </c>
      <c r="X63" s="4">
        <v>346.25267848217283</v>
      </c>
      <c r="Y63" s="4">
        <v>146.78891248366699</v>
      </c>
      <c r="Z63" s="4">
        <v>439.19553154390286</v>
      </c>
      <c r="AA63" s="4">
        <v>468.56229356874456</v>
      </c>
      <c r="AB63" s="4">
        <v>428.87243316010381</v>
      </c>
      <c r="AC63" s="4">
        <v>100.71820957373957</v>
      </c>
      <c r="AD63" s="4">
        <v>516.10113634605068</v>
      </c>
      <c r="AE63" s="4">
        <v>39.18969901297281</v>
      </c>
      <c r="AF63" s="4">
        <v>73.222674114166239</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1347.495667457664</v>
      </c>
      <c r="D64" s="4">
        <v>-1.2203113194333261E-11</v>
      </c>
      <c r="E64" s="4">
        <v>-3.7931112383682371E-11</v>
      </c>
      <c r="F64" s="4">
        <v>-1.3961422237908298E-9</v>
      </c>
      <c r="G64" s="4">
        <v>-1.1555789678859518E-9</v>
      </c>
      <c r="H64" s="4">
        <v>-1.2017180235438537E-7</v>
      </c>
      <c r="I64" s="4">
        <v>-2.0696957632570236E-7</v>
      </c>
      <c r="J64" s="4">
        <v>-9.6563078712420605E-6</v>
      </c>
      <c r="K64" s="4">
        <v>-1.6116128911551494E-5</v>
      </c>
      <c r="L64" s="4">
        <v>-1.5348415762909815E-4</v>
      </c>
      <c r="M64" s="4">
        <v>-2.0203417023514794E-4</v>
      </c>
      <c r="N64" s="4">
        <v>-3.179001894763478E-3</v>
      </c>
      <c r="O64" s="4">
        <v>-4.1747701903286057E-3</v>
      </c>
      <c r="P64" s="4">
        <v>-5.1464629284524973E-3</v>
      </c>
      <c r="Q64" s="4">
        <v>-5.5936244462489529E-2</v>
      </c>
      <c r="R64" s="4">
        <v>-0.18363409353704413</v>
      </c>
      <c r="S64" s="4">
        <v>9.4620948713306563E-2</v>
      </c>
      <c r="T64" s="4">
        <v>8.7062703282603113</v>
      </c>
      <c r="U64" s="4">
        <v>1.9524086203205344</v>
      </c>
      <c r="V64" s="4">
        <v>63.818044731197396</v>
      </c>
      <c r="W64" s="4">
        <v>29.667704949547296</v>
      </c>
      <c r="X64" s="4">
        <v>292.12721582879226</v>
      </c>
      <c r="Y64" s="4">
        <v>130.42036513415201</v>
      </c>
      <c r="Z64" s="4">
        <v>411.07396223063847</v>
      </c>
      <c r="AA64" s="4">
        <v>462.14427576950072</v>
      </c>
      <c r="AB64" s="4">
        <v>445.88878369662677</v>
      </c>
      <c r="AC64" s="4">
        <v>110.41709350617168</v>
      </c>
      <c r="AD64" s="4">
        <v>596.81058478739692</v>
      </c>
      <c r="AE64" s="4">
        <v>47.818098894518528</v>
      </c>
      <c r="AF64" s="4">
        <v>94.304357683012753</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c r="C65" s="4">
        <v>1340.0207486317654</v>
      </c>
      <c r="D65" s="4">
        <v>-3.7943312600606011E-12</v>
      </c>
      <c r="E65" s="4">
        <v>-1.235264334428067E-11</v>
      </c>
      <c r="F65" s="4">
        <v>-4.7632419916221303E-10</v>
      </c>
      <c r="G65" s="4">
        <v>-4.1313444308603807E-10</v>
      </c>
      <c r="H65" s="4">
        <v>-4.5032336060555296E-8</v>
      </c>
      <c r="I65" s="4">
        <v>-8.1315081705781177E-8</v>
      </c>
      <c r="J65" s="4">
        <v>-3.9786175746580395E-6</v>
      </c>
      <c r="K65" s="4">
        <v>-6.9655177742273504E-6</v>
      </c>
      <c r="L65" s="4">
        <v>-6.9605598886319451E-5</v>
      </c>
      <c r="M65" s="4">
        <v>-9.6163679942405284E-5</v>
      </c>
      <c r="N65" s="4">
        <v>-1.5885528644407057E-3</v>
      </c>
      <c r="O65" s="4">
        <v>-2.1907280409879286E-3</v>
      </c>
      <c r="P65" s="4">
        <v>-2.8368181634347831E-3</v>
      </c>
      <c r="Q65" s="4">
        <v>-3.2397079647066201E-2</v>
      </c>
      <c r="R65" s="4">
        <v>-0.11178418456812007</v>
      </c>
      <c r="S65" s="4">
        <v>6.055567745816999E-2</v>
      </c>
      <c r="T65" s="4">
        <v>5.8595970165165649</v>
      </c>
      <c r="U65" s="4">
        <v>1.3823033675929093</v>
      </c>
      <c r="V65" s="4">
        <v>47.54487816376286</v>
      </c>
      <c r="W65" s="4">
        <v>23.265045006836981</v>
      </c>
      <c r="X65" s="4">
        <v>241.20447402293092</v>
      </c>
      <c r="Y65" s="4">
        <v>113.41942816708915</v>
      </c>
      <c r="Z65" s="4">
        <v>376.64106238610776</v>
      </c>
      <c r="AA65" s="4">
        <v>446.26164239602048</v>
      </c>
      <c r="AB65" s="4">
        <v>453.92400296781864</v>
      </c>
      <c r="AC65" s="4">
        <v>118.54400713932807</v>
      </c>
      <c r="AD65" s="4">
        <v>675.94342005414148</v>
      </c>
      <c r="AE65" s="4">
        <v>57.15343218834284</v>
      </c>
      <c r="AF65" s="4">
        <v>118.98862291353521</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1324.4766079990022</v>
      </c>
      <c r="D66" s="4">
        <v>-1.1516398779075201E-12</v>
      </c>
      <c r="E66" s="4">
        <v>-3.9272700231656023E-12</v>
      </c>
      <c r="F66" s="4">
        <v>-1.5866901550093984E-10</v>
      </c>
      <c r="G66" s="4">
        <v>-1.4422810829535274E-10</v>
      </c>
      <c r="H66" s="4">
        <v>-1.6480243128811044E-8</v>
      </c>
      <c r="I66" s="4">
        <v>-3.1203529169294753E-8</v>
      </c>
      <c r="J66" s="4">
        <v>-1.601298798304399E-6</v>
      </c>
      <c r="K66" s="4">
        <v>-2.9411455449010937E-6</v>
      </c>
      <c r="L66" s="4">
        <v>-3.0842308187934293E-5</v>
      </c>
      <c r="M66" s="4">
        <v>-4.4727160590002742E-5</v>
      </c>
      <c r="N66" s="4">
        <v>-7.7578037641549405E-4</v>
      </c>
      <c r="O66" s="4">
        <v>-1.1236294537576652E-3</v>
      </c>
      <c r="P66" s="4">
        <v>-1.5285713876931942E-3</v>
      </c>
      <c r="Q66" s="4">
        <v>-1.8344383737215645E-2</v>
      </c>
      <c r="R66" s="4">
        <v>-6.653429353933403E-2</v>
      </c>
      <c r="S66" s="4">
        <v>3.7897828135589007E-2</v>
      </c>
      <c r="T66" s="4">
        <v>3.8569969769122574</v>
      </c>
      <c r="U66" s="4">
        <v>0.95727417839822759</v>
      </c>
      <c r="V66" s="4">
        <v>34.651258786568462</v>
      </c>
      <c r="W66" s="4">
        <v>17.84982264830591</v>
      </c>
      <c r="X66" s="4">
        <v>194.87858697785484</v>
      </c>
      <c r="Y66" s="4">
        <v>96.527401121755432</v>
      </c>
      <c r="Z66" s="4">
        <v>337.76334398259092</v>
      </c>
      <c r="AA66" s="4">
        <v>421.82767543954867</v>
      </c>
      <c r="AB66" s="4">
        <v>452.40771373737709</v>
      </c>
      <c r="AC66" s="4">
        <v>124.61497170110459</v>
      </c>
      <c r="AD66" s="4">
        <v>749.70244972725698</v>
      </c>
      <c r="AE66" s="4">
        <v>66.904429778781207</v>
      </c>
      <c r="AF66" s="4">
        <v>147.0617799318135</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1300.3815357964688</v>
      </c>
      <c r="D67" s="4">
        <v>-3.4114588020076215E-13</v>
      </c>
      <c r="E67" s="4">
        <v>-1.2187469581176172E-12</v>
      </c>
      <c r="F67" s="4">
        <v>-5.1596915176839089E-11</v>
      </c>
      <c r="G67" s="4">
        <v>-4.9158771476744127E-11</v>
      </c>
      <c r="H67" s="4">
        <v>-5.8890619068808752E-9</v>
      </c>
      <c r="I67" s="4">
        <v>-1.1693128823448892E-8</v>
      </c>
      <c r="J67" s="4">
        <v>-6.2944571782229185E-7</v>
      </c>
      <c r="K67" s="4">
        <v>-1.213045129752381E-6</v>
      </c>
      <c r="L67" s="4">
        <v>-1.3350538878323441E-5</v>
      </c>
      <c r="M67" s="4">
        <v>-2.0325114267197398E-5</v>
      </c>
      <c r="N67" s="4">
        <v>-3.7019436455245128E-4</v>
      </c>
      <c r="O67" s="4">
        <v>-5.6320232659607772E-4</v>
      </c>
      <c r="P67" s="4">
        <v>-8.0500710849658384E-4</v>
      </c>
      <c r="Q67" s="4">
        <v>-1.0153447844319445E-2</v>
      </c>
      <c r="R67" s="4">
        <v>-3.8714850750083497E-2</v>
      </c>
      <c r="S67" s="4">
        <v>2.3189673957062867E-2</v>
      </c>
      <c r="T67" s="4">
        <v>2.4825959548076986</v>
      </c>
      <c r="U67" s="4">
        <v>0.64833455426353759</v>
      </c>
      <c r="V67" s="4">
        <v>24.701260399412849</v>
      </c>
      <c r="W67" s="4">
        <v>13.396891426151944</v>
      </c>
      <c r="X67" s="4">
        <v>154.04182095670276</v>
      </c>
      <c r="Y67" s="4">
        <v>80.383239392294485</v>
      </c>
      <c r="Z67" s="4">
        <v>296.41856946604526</v>
      </c>
      <c r="AA67" s="4">
        <v>390.25212610308625</v>
      </c>
      <c r="AB67" s="4">
        <v>441.36567651760566</v>
      </c>
      <c r="AC67" s="4">
        <v>128.24484082306196</v>
      </c>
      <c r="AD67" s="4">
        <v>814.14974304360112</v>
      </c>
      <c r="AE67" s="4">
        <v>76.694157885811606</v>
      </c>
      <c r="AF67" s="4">
        <v>178.01126763435789</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1267.3460381993057</v>
      </c>
      <c r="D68" s="4">
        <v>-9.8612057122051585E-14</v>
      </c>
      <c r="E68" s="4">
        <v>-3.6910757930103156E-13</v>
      </c>
      <c r="F68" s="4">
        <v>-1.6376550941640956E-11</v>
      </c>
      <c r="G68" s="4">
        <v>-1.6355731005477441E-11</v>
      </c>
      <c r="H68" s="4">
        <v>-2.0544589094573594E-9</v>
      </c>
      <c r="I68" s="4">
        <v>-4.278365443112767E-9</v>
      </c>
      <c r="J68" s="4">
        <v>-2.4161054732198923E-7</v>
      </c>
      <c r="K68" s="4">
        <v>-4.8860843836637476E-7</v>
      </c>
      <c r="L68" s="4">
        <v>-5.6445124386510646E-6</v>
      </c>
      <c r="M68" s="4">
        <v>-9.0224155309940529E-6</v>
      </c>
      <c r="N68" s="4">
        <v>-1.7258447362367371E-4</v>
      </c>
      <c r="O68" s="4">
        <v>-2.7582886700533606E-4</v>
      </c>
      <c r="P68" s="4">
        <v>-4.1428671115947217E-4</v>
      </c>
      <c r="Q68" s="4">
        <v>-5.4924348231882702E-3</v>
      </c>
      <c r="R68" s="4">
        <v>-2.2019352786712392E-2</v>
      </c>
      <c r="S68" s="4">
        <v>1.3871523614056004E-2</v>
      </c>
      <c r="T68" s="4">
        <v>1.5623077622844228</v>
      </c>
      <c r="U68" s="4">
        <v>0.42935914497077016</v>
      </c>
      <c r="V68" s="4">
        <v>17.22000146966786</v>
      </c>
      <c r="W68" s="4">
        <v>9.8343060541904386</v>
      </c>
      <c r="X68" s="4">
        <v>119.10736783357551</v>
      </c>
      <c r="Y68" s="4">
        <v>65.488057013996794</v>
      </c>
      <c r="Z68" s="4">
        <v>254.52860698882839</v>
      </c>
      <c r="AA68" s="4">
        <v>353.30576633769965</v>
      </c>
      <c r="AB68" s="4">
        <v>421.42436351510167</v>
      </c>
      <c r="AC68" s="4">
        <v>129.18727951980844</v>
      </c>
      <c r="AD68" s="4">
        <v>865.54135368611048</v>
      </c>
      <c r="AE68" s="4">
        <v>86.07880519375945</v>
      </c>
      <c r="AF68" s="4">
        <v>210.99902024617793</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1225.1483434282175</v>
      </c>
      <c r="D69" s="4">
        <v>-2.7810586296951165E-14</v>
      </c>
      <c r="E69" s="4">
        <v>-1.090769673194707E-13</v>
      </c>
      <c r="F69" s="4">
        <v>-5.0723886835538893E-12</v>
      </c>
      <c r="G69" s="4">
        <v>-5.3110606807692186E-12</v>
      </c>
      <c r="H69" s="4">
        <v>-6.9958812464693965E-10</v>
      </c>
      <c r="I69" s="4">
        <v>-1.5281648179222619E-9</v>
      </c>
      <c r="J69" s="4">
        <v>-9.0546257090406435E-8</v>
      </c>
      <c r="K69" s="4">
        <v>-1.9217376369560667E-7</v>
      </c>
      <c r="L69" s="4">
        <v>-2.3305349156447154E-6</v>
      </c>
      <c r="M69" s="4">
        <v>-3.911712271635552E-6</v>
      </c>
      <c r="N69" s="4">
        <v>-7.8592462509680073E-5</v>
      </c>
      <c r="O69" s="4">
        <v>-1.3197010267089075E-4</v>
      </c>
      <c r="P69" s="4">
        <v>-2.0831304547754836E-4</v>
      </c>
      <c r="Q69" s="4">
        <v>-2.9032496511959792E-3</v>
      </c>
      <c r="R69" s="4">
        <v>-1.2239222961908443E-2</v>
      </c>
      <c r="S69" s="4">
        <v>8.1101815624529134E-3</v>
      </c>
      <c r="T69" s="4">
        <v>0.96107857972300248</v>
      </c>
      <c r="U69" s="4">
        <v>0.277990030923224</v>
      </c>
      <c r="V69" s="4">
        <v>11.737881838656344</v>
      </c>
      <c r="W69" s="4">
        <v>7.059626678452922</v>
      </c>
      <c r="X69" s="4">
        <v>90.072690257145908</v>
      </c>
      <c r="Y69" s="4">
        <v>52.187892616853361</v>
      </c>
      <c r="Z69" s="4">
        <v>213.81379448103286</v>
      </c>
      <c r="AA69" s="4">
        <v>312.95458683667528</v>
      </c>
      <c r="AB69" s="4">
        <v>393.75260814389395</v>
      </c>
      <c r="AC69" s="4">
        <v>127.36211233995539</v>
      </c>
      <c r="AD69" s="4">
        <v>900.67953701807244</v>
      </c>
      <c r="AE69" s="4">
        <v>94.577487958197963</v>
      </c>
      <c r="AF69" s="4">
        <v>244.86685777071909</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1173.8108724406341</v>
      </c>
      <c r="D70" s="4">
        <v>-7.650742917477314E-15</v>
      </c>
      <c r="E70" s="4">
        <v>-3.1446851588290818E-14</v>
      </c>
      <c r="F70" s="4">
        <v>-1.5329133116367763E-12</v>
      </c>
      <c r="G70" s="4">
        <v>-1.6829018688406353E-12</v>
      </c>
      <c r="H70" s="4">
        <v>-2.3249046340185358E-10</v>
      </c>
      <c r="I70" s="4">
        <v>-5.3276055763998344E-10</v>
      </c>
      <c r="J70" s="4">
        <v>-3.3124303515190843E-8</v>
      </c>
      <c r="K70" s="4">
        <v>-7.3790635197858481E-8</v>
      </c>
      <c r="L70" s="4">
        <v>-9.3953180804562844E-7</v>
      </c>
      <c r="M70" s="4">
        <v>-1.6561155913347379E-6</v>
      </c>
      <c r="N70" s="4">
        <v>-3.4953688189454705E-5</v>
      </c>
      <c r="O70" s="4">
        <v>-6.1673401969672978E-5</v>
      </c>
      <c r="P70" s="4">
        <v>-1.0232277905247531E-4</v>
      </c>
      <c r="Q70" s="4">
        <v>-1.4993341701385553E-3</v>
      </c>
      <c r="R70" s="4">
        <v>-6.6474064683853884E-3</v>
      </c>
      <c r="S70" s="4">
        <v>4.6338386189164775E-3</v>
      </c>
      <c r="T70" s="4">
        <v>0.57784354691732531</v>
      </c>
      <c r="U70" s="4">
        <v>0.17593500587631039</v>
      </c>
      <c r="V70" s="4">
        <v>7.821978473575685</v>
      </c>
      <c r="W70" s="4">
        <v>4.9550292096272655</v>
      </c>
      <c r="X70" s="4">
        <v>66.608642019505069</v>
      </c>
      <c r="Y70" s="4">
        <v>40.674026286709804</v>
      </c>
      <c r="Z70" s="4">
        <v>175.68381292546874</v>
      </c>
      <c r="AA70" s="4">
        <v>271.18541663835646</v>
      </c>
      <c r="AB70" s="4">
        <v>359.94779915976841</v>
      </c>
      <c r="AC70" s="4">
        <v>122.86586656305158</v>
      </c>
      <c r="AD70" s="4">
        <v>917.23759157941424</v>
      </c>
      <c r="AE70" s="4">
        <v>101.71086413149263</v>
      </c>
      <c r="AF70" s="4">
        <v>278.18065389672432</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1113.6670929273448</v>
      </c>
      <c r="D71" s="4">
        <v>-2.0527346644522399E-15</v>
      </c>
      <c r="E71" s="4">
        <v>-8.8431699380389696E-15</v>
      </c>
      <c r="F71" s="4">
        <v>-4.5191896403069027E-13</v>
      </c>
      <c r="G71" s="4">
        <v>-5.2026632625189652E-13</v>
      </c>
      <c r="H71" s="4">
        <v>-7.5389181932398991E-11</v>
      </c>
      <c r="I71" s="4">
        <v>-1.8125382028797789E-10</v>
      </c>
      <c r="J71" s="4">
        <v>-1.1826836580568943E-8</v>
      </c>
      <c r="K71" s="4">
        <v>-2.7657099532678668E-8</v>
      </c>
      <c r="L71" s="4">
        <v>-3.6975881018254467E-7</v>
      </c>
      <c r="M71" s="4">
        <v>-6.8457146780909902E-7</v>
      </c>
      <c r="N71" s="4">
        <v>-1.5179695571659439E-5</v>
      </c>
      <c r="O71" s="4">
        <v>-2.8146995382681892E-5</v>
      </c>
      <c r="P71" s="4">
        <v>-4.9090123323352601E-5</v>
      </c>
      <c r="Q71" s="4">
        <v>-7.5636756367484159E-4</v>
      </c>
      <c r="R71" s="4">
        <v>-3.5271652311831491E-3</v>
      </c>
      <c r="S71" s="4">
        <v>2.5869111446654609E-3</v>
      </c>
      <c r="T71" s="4">
        <v>0.33950590989663393</v>
      </c>
      <c r="U71" s="4">
        <v>0.10882201117506013</v>
      </c>
      <c r="V71" s="4">
        <v>5.0949629409735033</v>
      </c>
      <c r="W71" s="4">
        <v>3.3998882829560291</v>
      </c>
      <c r="X71" s="4">
        <v>48.159139984806245</v>
      </c>
      <c r="Y71" s="4">
        <v>30.997906506937628</v>
      </c>
      <c r="Z71" s="4">
        <v>141.17344533852463</v>
      </c>
      <c r="AA71" s="4">
        <v>229.84463623609116</v>
      </c>
      <c r="AB71" s="4">
        <v>321.88206905193596</v>
      </c>
      <c r="AC71" s="4">
        <v>115.96366590059428</v>
      </c>
      <c r="AD71" s="4">
        <v>914.01213781838953</v>
      </c>
      <c r="AE71" s="4">
        <v>107.0445907177827</v>
      </c>
      <c r="AF71" s="4">
        <v>309.31520528716271</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1045.4079101931588</v>
      </c>
      <c r="D72" s="4">
        <v>-5.3705587152105473E-16</v>
      </c>
      <c r="E72" s="4">
        <v>-2.4251991763037183E-15</v>
      </c>
      <c r="F72" s="4">
        <v>-1.2994622022103723E-13</v>
      </c>
      <c r="G72" s="4">
        <v>-1.5689334096178679E-13</v>
      </c>
      <c r="H72" s="4">
        <v>-2.3849365246660996E-11</v>
      </c>
      <c r="I72" s="4">
        <v>-6.016702027142047E-11</v>
      </c>
      <c r="J72" s="4">
        <v>-4.1205888347000006E-9</v>
      </c>
      <c r="K72" s="4">
        <v>-1.0116581131604733E-8</v>
      </c>
      <c r="L72" s="4">
        <v>-1.4203668558424498E-7</v>
      </c>
      <c r="M72" s="4">
        <v>-2.7623289958810399E-7</v>
      </c>
      <c r="N72" s="4">
        <v>-6.4359903184708416E-6</v>
      </c>
      <c r="O72" s="4">
        <v>-1.2543032795179702E-5</v>
      </c>
      <c r="P72" s="4">
        <v>-2.2998881834357E-5</v>
      </c>
      <c r="Q72" s="4">
        <v>-3.7266009731598673E-4</v>
      </c>
      <c r="R72" s="4">
        <v>-1.8281000817940761E-3</v>
      </c>
      <c r="S72" s="4">
        <v>1.4108410519047009E-3</v>
      </c>
      <c r="T72" s="4">
        <v>0.19489292729687255</v>
      </c>
      <c r="U72" s="4">
        <v>6.577319430047246E-2</v>
      </c>
      <c r="V72" s="4">
        <v>3.2433177705198522</v>
      </c>
      <c r="W72" s="4">
        <v>2.2801521704108176</v>
      </c>
      <c r="X72" s="4">
        <v>34.038049152700339</v>
      </c>
      <c r="Y72" s="4">
        <v>23.096317503884315</v>
      </c>
      <c r="Z72" s="4">
        <v>110.92442568167493</v>
      </c>
      <c r="AA72" s="4">
        <v>190.50808438658331</v>
      </c>
      <c r="AB72" s="4">
        <v>281.52922378738111</v>
      </c>
      <c r="AC72" s="4">
        <v>107.06335904337645</v>
      </c>
      <c r="AD72" s="4">
        <v>891.06521931983173</v>
      </c>
      <c r="AE72" s="4">
        <v>110.23234868438938</v>
      </c>
      <c r="AF72" s="4">
        <v>336.57548909359139</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970.09830131268973</v>
      </c>
      <c r="D73" s="4">
        <v>-1.3698864140967391E-16</v>
      </c>
      <c r="E73" s="4">
        <v>-6.4851009920078425E-16</v>
      </c>
      <c r="F73" s="4">
        <v>-3.6437482201926606E-14</v>
      </c>
      <c r="G73" s="4">
        <v>-4.6144181000609674E-14</v>
      </c>
      <c r="H73" s="4">
        <v>-7.3591991481817963E-12</v>
      </c>
      <c r="I73" s="4">
        <v>-1.9483562240446946E-11</v>
      </c>
      <c r="J73" s="4">
        <v>-1.4006878782894806E-9</v>
      </c>
      <c r="K73" s="4">
        <v>-3.6108170269894699E-9</v>
      </c>
      <c r="L73" s="4">
        <v>-5.3245213968930196E-8</v>
      </c>
      <c r="M73" s="4">
        <v>-1.0878871100710288E-7</v>
      </c>
      <c r="N73" s="4">
        <v>-2.663628178127504E-6</v>
      </c>
      <c r="O73" s="4">
        <v>-5.4567412078164219E-6</v>
      </c>
      <c r="P73" s="4">
        <v>-1.0520449631319477E-5</v>
      </c>
      <c r="Q73" s="4">
        <v>-1.7929281382903699E-4</v>
      </c>
      <c r="R73" s="4">
        <v>-9.253359940150659E-4</v>
      </c>
      <c r="S73" s="4">
        <v>7.5154612980884864E-4</v>
      </c>
      <c r="T73" s="4">
        <v>0.10929034015995615</v>
      </c>
      <c r="U73" s="4">
        <v>3.8839567885871062E-2</v>
      </c>
      <c r="V73" s="4">
        <v>2.0173808220946428</v>
      </c>
      <c r="W73" s="4">
        <v>1.4944105101475154</v>
      </c>
      <c r="X73" s="4">
        <v>23.513366963604081</v>
      </c>
      <c r="Y73" s="4">
        <v>16.821898654634531</v>
      </c>
      <c r="Z73" s="4">
        <v>85.208178207761392</v>
      </c>
      <c r="AA73" s="4">
        <v>154.39411417915269</v>
      </c>
      <c r="AB73" s="4">
        <v>240.79485936188769</v>
      </c>
      <c r="AC73" s="4">
        <v>96.675387936671711</v>
      </c>
      <c r="AD73" s="4">
        <v>849.73326342229677</v>
      </c>
      <c r="AE73" s="4">
        <v>111.05262654681709</v>
      </c>
      <c r="AF73" s="4">
        <v>358.34335800283498</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889.15820476431281</v>
      </c>
      <c r="D74" s="4">
        <v>-3.4060291284663814E-17</v>
      </c>
      <c r="E74" s="4">
        <v>-1.6905830023444622E-16</v>
      </c>
      <c r="F74" s="4">
        <v>-9.9617464693814278E-15</v>
      </c>
      <c r="G74" s="4">
        <v>-1.3233784743395407E-14</v>
      </c>
      <c r="H74" s="4">
        <v>-2.2145808627405954E-12</v>
      </c>
      <c r="I74" s="4">
        <v>-6.1537285022214846E-12</v>
      </c>
      <c r="J74" s="4">
        <v>-4.6444759008630989E-10</v>
      </c>
      <c r="K74" s="4">
        <v>-1.2573144045870861E-9</v>
      </c>
      <c r="L74" s="4">
        <v>-1.9475161207860495E-8</v>
      </c>
      <c r="M74" s="4">
        <v>-4.1808707460109174E-8</v>
      </c>
      <c r="N74" s="4">
        <v>-1.0758721130320205E-6</v>
      </c>
      <c r="O74" s="4">
        <v>-2.3171153181291455E-6</v>
      </c>
      <c r="P74" s="4">
        <v>-4.6978629752045081E-6</v>
      </c>
      <c r="Q74" s="4">
        <v>-8.4218330398198789E-5</v>
      </c>
      <c r="R74" s="4">
        <v>-4.5734960485212294E-4</v>
      </c>
      <c r="S74" s="4">
        <v>3.9096555491353288E-4</v>
      </c>
      <c r="T74" s="4">
        <v>5.9858942293593419E-2</v>
      </c>
      <c r="U74" s="4">
        <v>2.2403609878473594E-2</v>
      </c>
      <c r="V74" s="4">
        <v>1.2259178297998103</v>
      </c>
      <c r="W74" s="4">
        <v>0.95699210005252</v>
      </c>
      <c r="X74" s="4">
        <v>15.872851545406808</v>
      </c>
      <c r="Y74" s="4">
        <v>11.974440152187363</v>
      </c>
      <c r="Z74" s="4">
        <v>63.979614726289626</v>
      </c>
      <c r="AA74" s="4">
        <v>122.32437093659173</v>
      </c>
      <c r="AB74" s="4">
        <v>201.37005689090077</v>
      </c>
      <c r="AC74" s="4">
        <v>85.363916749797468</v>
      </c>
      <c r="AD74" s="4">
        <v>792.49926155625155</v>
      </c>
      <c r="AE74" s="4">
        <v>109.43389857227568</v>
      </c>
      <c r="AF74" s="4">
        <v>373.23298467314498</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804.30629803368026</v>
      </c>
      <c r="D75" s="4">
        <v>-8.2533528452311366E-18</v>
      </c>
      <c r="E75" s="4">
        <v>-4.2956262005716182E-17</v>
      </c>
      <c r="F75" s="4">
        <v>-2.6548812211377422E-15</v>
      </c>
      <c r="G75" s="4">
        <v>-3.7002086826766308E-15</v>
      </c>
      <c r="H75" s="4">
        <v>-6.4980101644083222E-13</v>
      </c>
      <c r="I75" s="4">
        <v>-1.895349376431798E-12</v>
      </c>
      <c r="J75" s="4">
        <v>-1.5019879499226808E-10</v>
      </c>
      <c r="K75" s="4">
        <v>-4.2704181637183011E-10</v>
      </c>
      <c r="L75" s="4">
        <v>-6.9490216055942756E-9</v>
      </c>
      <c r="M75" s="4">
        <v>-1.5676390916916288E-8</v>
      </c>
      <c r="N75" s="4">
        <v>-4.2403212348007603E-7</v>
      </c>
      <c r="O75" s="4">
        <v>-9.6021377849858428E-7</v>
      </c>
      <c r="P75" s="4">
        <v>-2.047517557938498E-6</v>
      </c>
      <c r="Q75" s="4">
        <v>-3.8615991173872255E-5</v>
      </c>
      <c r="R75" s="4">
        <v>-2.206835019422799E-4</v>
      </c>
      <c r="S75" s="4">
        <v>1.9858675279095606E-4</v>
      </c>
      <c r="T75" s="4">
        <v>3.2015609243966757E-2</v>
      </c>
      <c r="U75" s="4">
        <v>1.2621296393266583E-2</v>
      </c>
      <c r="V75" s="4">
        <v>0.72766989114193514</v>
      </c>
      <c r="W75" s="4">
        <v>0.59869264467491812</v>
      </c>
      <c r="X75" s="4">
        <v>10.469118685078728</v>
      </c>
      <c r="Y75" s="4">
        <v>8.3293040386344206</v>
      </c>
      <c r="Z75" s="4">
        <v>46.949812546480359</v>
      </c>
      <c r="AA75" s="4">
        <v>94.729689058365665</v>
      </c>
      <c r="AB75" s="4">
        <v>164.6238580318176</v>
      </c>
      <c r="AC75" s="4">
        <v>73.695783956541902</v>
      </c>
      <c r="AD75" s="4">
        <v>722.74497848021758</v>
      </c>
      <c r="AE75" s="4">
        <v>105.4642636247477</v>
      </c>
      <c r="AF75" s="4">
        <v>380.23485237173145</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zoomScaleNormal="100" workbookViewId="0">
      <pane xSplit="1" topLeftCell="B1" activePane="topRight" state="frozen"/>
      <selection pane="topRight" activeCell="B110" sqref="B110"/>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-250.24286168482755</v>
      </c>
      <c r="D5" s="4">
        <v>-116.05585518118954</v>
      </c>
      <c r="E5" s="4">
        <v>-9.7574520755669489</v>
      </c>
      <c r="F5" s="4">
        <v>-193.95076174963228</v>
      </c>
      <c r="G5" s="4">
        <v>-37.478759015745972</v>
      </c>
      <c r="H5" s="4">
        <v>-53.365050276353571</v>
      </c>
      <c r="I5" s="4">
        <v>-37.457988256590461</v>
      </c>
      <c r="J5" s="4">
        <v>-36.985349665930713</v>
      </c>
      <c r="K5" s="4">
        <v>-7.1850407429196785</v>
      </c>
      <c r="L5" s="4">
        <v>-7.2127664750856821</v>
      </c>
      <c r="M5" s="4">
        <v>-0.32249456957774686</v>
      </c>
      <c r="N5" s="4">
        <v>-0.73783055645367346</v>
      </c>
      <c r="O5" s="4">
        <v>5.1292256768968494E-2</v>
      </c>
      <c r="P5" s="4">
        <v>-2.790259742970681E-2</v>
      </c>
      <c r="Q5" s="4">
        <v>3.1717003608117237E-4</v>
      </c>
      <c r="R5" s="4">
        <v>-1.967960976700146E-4</v>
      </c>
      <c r="S5" s="4">
        <v>2.5862229460586227E-5</v>
      </c>
      <c r="T5" s="4">
        <v>8.536756480741618E-5</v>
      </c>
      <c r="U5" s="4">
        <v>1.6426257061053023E-6</v>
      </c>
      <c r="V5" s="4">
        <v>2.1497437835297683E-6</v>
      </c>
      <c r="W5" s="4">
        <v>1.2191572394489375E-7</v>
      </c>
      <c r="X5" s="4">
        <v>1.7227195734158788E-8</v>
      </c>
      <c r="Y5" s="4">
        <v>4.6267844217564438E-10</v>
      </c>
      <c r="Z5" s="4">
        <v>3.4267273871981524E-10</v>
      </c>
      <c r="AA5" s="4">
        <v>9.1939055450685812E-13</v>
      </c>
      <c r="AB5" s="4">
        <v>6.2929939978977476E-13</v>
      </c>
      <c r="AC5" s="4">
        <v>4.7953231961007128E-15</v>
      </c>
      <c r="AD5" s="4">
        <v>2.1939912803896233E-15</v>
      </c>
      <c r="AE5" s="4">
        <v>1.0756473580237591E-17</v>
      </c>
      <c r="AF5" s="4">
        <v>9.6530243470035715E-19</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-283.74613094754494</v>
      </c>
      <c r="D6" s="4">
        <v>-118.95758495318944</v>
      </c>
      <c r="E6" s="4">
        <v>-10.396914703480697</v>
      </c>
      <c r="F6" s="4">
        <v>-214.87891658680411</v>
      </c>
      <c r="G6" s="4">
        <v>-43.183124794840673</v>
      </c>
      <c r="H6" s="4">
        <v>-63.959583903453087</v>
      </c>
      <c r="I6" s="4">
        <v>-46.709726500884869</v>
      </c>
      <c r="J6" s="4">
        <v>-47.995679259480326</v>
      </c>
      <c r="K6" s="4">
        <v>-9.7052699415791288</v>
      </c>
      <c r="L6" s="4">
        <v>-10.143404373499637</v>
      </c>
      <c r="M6" s="4">
        <v>-0.47228741075437047</v>
      </c>
      <c r="N6" s="4">
        <v>-1.1254920320797503</v>
      </c>
      <c r="O6" s="4">
        <v>8.15155166457327E-2</v>
      </c>
      <c r="P6" s="4">
        <v>-4.621019730725677E-2</v>
      </c>
      <c r="Q6" s="4">
        <v>5.4751150653490081E-4</v>
      </c>
      <c r="R6" s="4">
        <v>-3.541847723664616E-4</v>
      </c>
      <c r="S6" s="4">
        <v>4.853972138411806E-5</v>
      </c>
      <c r="T6" s="4">
        <v>1.6712790821612214E-4</v>
      </c>
      <c r="U6" s="4">
        <v>3.3552707978935678E-6</v>
      </c>
      <c r="V6" s="4">
        <v>4.5826631536386669E-6</v>
      </c>
      <c r="W6" s="4">
        <v>2.712963361861871E-7</v>
      </c>
      <c r="X6" s="4">
        <v>4.0027991449173578E-8</v>
      </c>
      <c r="Y6" s="4">
        <v>1.1228115270250157E-9</v>
      </c>
      <c r="Z6" s="4">
        <v>8.6876097514518882E-10</v>
      </c>
      <c r="AA6" s="4">
        <v>2.435735375362268E-12</v>
      </c>
      <c r="AB6" s="4">
        <v>1.7426665595688927E-12</v>
      </c>
      <c r="AC6" s="4">
        <v>1.3884199007853036E-14</v>
      </c>
      <c r="AD6" s="4">
        <v>6.6436133215945822E-15</v>
      </c>
      <c r="AE6" s="4">
        <v>3.4074376358968148E-17</v>
      </c>
      <c r="AF6" s="4">
        <v>3.1998788924654543E-18</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-318.97386714989096</v>
      </c>
      <c r="D7" s="4">
        <v>-120.05832504491342</v>
      </c>
      <c r="E7" s="4">
        <v>-10.908974655618474</v>
      </c>
      <c r="F7" s="4">
        <v>-234.44666262063686</v>
      </c>
      <c r="G7" s="4">
        <v>-49.00355602088932</v>
      </c>
      <c r="H7" s="4">
        <v>-75.50503976269421</v>
      </c>
      <c r="I7" s="4">
        <v>-57.375824993704917</v>
      </c>
      <c r="J7" s="4">
        <v>-61.357922254929555</v>
      </c>
      <c r="K7" s="4">
        <v>-12.915750465734325</v>
      </c>
      <c r="L7" s="4">
        <v>-14.05519945998561</v>
      </c>
      <c r="M7" s="4">
        <v>-0.68155312739683593</v>
      </c>
      <c r="N7" s="4">
        <v>-1.6919042705765523</v>
      </c>
      <c r="O7" s="4">
        <v>0.12767761065163841</v>
      </c>
      <c r="P7" s="4">
        <v>-7.5432000456309253E-2</v>
      </c>
      <c r="Q7" s="4">
        <v>9.3166078309823595E-4</v>
      </c>
      <c r="R7" s="4">
        <v>-6.2841396937131627E-4</v>
      </c>
      <c r="S7" s="4">
        <v>8.9819461103709484E-5</v>
      </c>
      <c r="T7" s="4">
        <v>3.2261640334622482E-4</v>
      </c>
      <c r="U7" s="4">
        <v>6.7583034998219941E-6</v>
      </c>
      <c r="V7" s="4">
        <v>9.6340817398921152E-6</v>
      </c>
      <c r="W7" s="4">
        <v>5.9542838761278197E-7</v>
      </c>
      <c r="X7" s="4">
        <v>9.1739188597115154E-8</v>
      </c>
      <c r="Y7" s="4">
        <v>2.6879245669405156E-9</v>
      </c>
      <c r="Z7" s="4">
        <v>2.1729245495967124E-9</v>
      </c>
      <c r="AA7" s="4">
        <v>6.3668554780882913E-12</v>
      </c>
      <c r="AB7" s="4">
        <v>4.7618705138250473E-12</v>
      </c>
      <c r="AC7" s="4">
        <v>3.9670878688843935E-14</v>
      </c>
      <c r="AD7" s="4">
        <v>1.9854723320644774E-14</v>
      </c>
      <c r="AE7" s="4">
        <v>1.0654135638801361E-16</v>
      </c>
      <c r="AF7" s="4">
        <v>1.0470767470200722E-17</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-355.5995704434805</v>
      </c>
      <c r="D8" s="4">
        <v>-119.29542629733152</v>
      </c>
      <c r="E8" s="4">
        <v>-11.270190375466937</v>
      </c>
      <c r="F8" s="4">
        <v>-251.88300475552211</v>
      </c>
      <c r="G8" s="4">
        <v>-54.762413786910827</v>
      </c>
      <c r="H8" s="4">
        <v>-87.785907317599509</v>
      </c>
      <c r="I8" s="4">
        <v>-69.417091441200697</v>
      </c>
      <c r="J8" s="4">
        <v>-77.266725010485146</v>
      </c>
      <c r="K8" s="4">
        <v>-16.932564774923829</v>
      </c>
      <c r="L8" s="4">
        <v>-19.187539526406006</v>
      </c>
      <c r="M8" s="4">
        <v>-0.96908127464234295</v>
      </c>
      <c r="N8" s="4">
        <v>-2.5061937725966024</v>
      </c>
      <c r="O8" s="4">
        <v>0.19707579237446196</v>
      </c>
      <c r="P8" s="4">
        <v>-0.12135461524778859</v>
      </c>
      <c r="Q8" s="4">
        <v>1.5625872231257165E-3</v>
      </c>
      <c r="R8" s="4">
        <v>-1.0990638210763559E-3</v>
      </c>
      <c r="S8" s="4">
        <v>1.638491611174173E-4</v>
      </c>
      <c r="T8" s="4">
        <v>6.1399414635606375E-4</v>
      </c>
      <c r="U8" s="4">
        <v>1.3422334687217871E-5</v>
      </c>
      <c r="V8" s="4">
        <v>1.9972073440449205E-5</v>
      </c>
      <c r="W8" s="4">
        <v>1.2887717216053995E-6</v>
      </c>
      <c r="X8" s="4">
        <v>2.0737075360231471E-7</v>
      </c>
      <c r="Y8" s="4">
        <v>6.3470177377250421E-9</v>
      </c>
      <c r="Z8" s="4">
        <v>5.3613303151230563E-9</v>
      </c>
      <c r="AA8" s="4">
        <v>1.6418930438516737E-11</v>
      </c>
      <c r="AB8" s="4">
        <v>1.2838299715382492E-11</v>
      </c>
      <c r="AC8" s="4">
        <v>1.1184881148132372E-13</v>
      </c>
      <c r="AD8" s="4">
        <v>5.8556360502673558E-14</v>
      </c>
      <c r="AE8" s="4">
        <v>3.2877721801383717E-16</v>
      </c>
      <c r="AF8" s="4">
        <v>3.3818893228362425E-17</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-393.25010638122092</v>
      </c>
      <c r="D9" s="4">
        <v>-116.69241937262534</v>
      </c>
      <c r="E9" s="4">
        <v>-11.463112720037078</v>
      </c>
      <c r="F9" s="4">
        <v>-266.44926097876055</v>
      </c>
      <c r="G9" s="4">
        <v>-60.260879524557765</v>
      </c>
      <c r="H9" s="4">
        <v>-100.5098946557687</v>
      </c>
      <c r="I9" s="4">
        <v>-82.7135190750909</v>
      </c>
      <c r="J9" s="4">
        <v>-95.835110974826748</v>
      </c>
      <c r="K9" s="4">
        <v>-21.86623493548478</v>
      </c>
      <c r="L9" s="4">
        <v>-25.804046606464002</v>
      </c>
      <c r="M9" s="4">
        <v>-1.3575169178698079</v>
      </c>
      <c r="N9" s="4">
        <v>-3.6577716647257055</v>
      </c>
      <c r="O9" s="4">
        <v>0.29974617060633901</v>
      </c>
      <c r="P9" s="4">
        <v>-0.19239676348171983</v>
      </c>
      <c r="Q9" s="4">
        <v>2.5829185068507597E-3</v>
      </c>
      <c r="R9" s="4">
        <v>-1.8946081052486155E-3</v>
      </c>
      <c r="S9" s="4">
        <v>2.9463005242632689E-4</v>
      </c>
      <c r="T9" s="4">
        <v>1.151969388491257E-3</v>
      </c>
      <c r="U9" s="4">
        <v>2.628194323353555E-5</v>
      </c>
      <c r="V9" s="4">
        <v>4.0823982616915906E-5</v>
      </c>
      <c r="W9" s="4">
        <v>2.7506950221756938E-6</v>
      </c>
      <c r="X9" s="4">
        <v>4.6227556215369945E-7</v>
      </c>
      <c r="Y9" s="4">
        <v>1.4781695411103825E-8</v>
      </c>
      <c r="Z9" s="4">
        <v>1.3047993111978612E-8</v>
      </c>
      <c r="AA9" s="4">
        <v>4.1768564999802576E-11</v>
      </c>
      <c r="AB9" s="4">
        <v>3.4147907920785489E-11</v>
      </c>
      <c r="AC9" s="4">
        <v>3.1114275384869398E-13</v>
      </c>
      <c r="AD9" s="4">
        <v>1.7041014251140612E-13</v>
      </c>
      <c r="AE9" s="4">
        <v>1.0012417888150403E-15</v>
      </c>
      <c r="AF9" s="4">
        <v>1.0780450762868508E-16</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-431.51100253497617</v>
      </c>
      <c r="D10" s="4">
        <v>-112.35811561412197</v>
      </c>
      <c r="E10" s="4">
        <v>-11.477667491742446</v>
      </c>
      <c r="F10" s="4">
        <v>-277.48975447174558</v>
      </c>
      <c r="G10" s="4">
        <v>-65.289349569013893</v>
      </c>
      <c r="H10" s="4">
        <v>-113.31417579558045</v>
      </c>
      <c r="I10" s="4">
        <v>-97.054487198136016</v>
      </c>
      <c r="J10" s="4">
        <v>-117.06408194546941</v>
      </c>
      <c r="K10" s="4">
        <v>-27.811869711704567</v>
      </c>
      <c r="L10" s="4">
        <v>-34.182161096260394</v>
      </c>
      <c r="M10" s="4">
        <v>-1.8733198741707087</v>
      </c>
      <c r="N10" s="4">
        <v>-5.2594322810448091</v>
      </c>
      <c r="O10" s="4">
        <v>0.44919327737870007</v>
      </c>
      <c r="P10" s="4">
        <v>-0.30056444343238481</v>
      </c>
      <c r="Q10" s="4">
        <v>4.2074103870292159E-3</v>
      </c>
      <c r="R10" s="4">
        <v>-3.2187940724477293E-3</v>
      </c>
      <c r="S10" s="4">
        <v>5.2218814176922205E-4</v>
      </c>
      <c r="T10" s="4">
        <v>2.130467139141248E-3</v>
      </c>
      <c r="U10" s="4">
        <v>5.0732278000008283E-5</v>
      </c>
      <c r="V10" s="4">
        <v>8.2270776299739169E-5</v>
      </c>
      <c r="W10" s="4">
        <v>5.7887882409910413E-6</v>
      </c>
      <c r="X10" s="4">
        <v>1.0161882222548582E-6</v>
      </c>
      <c r="Y10" s="4">
        <v>3.3950004815946511E-8</v>
      </c>
      <c r="Z10" s="4">
        <v>3.1319688878804344E-8</v>
      </c>
      <c r="AA10" s="4">
        <v>1.0480900076790131E-10</v>
      </c>
      <c r="AB10" s="4">
        <v>8.9599802098079976E-11</v>
      </c>
      <c r="AC10" s="4">
        <v>8.5391894732168627E-13</v>
      </c>
      <c r="AD10" s="4">
        <v>4.893143946333696E-13</v>
      </c>
      <c r="AE10" s="4">
        <v>3.0087785294240604E-15</v>
      </c>
      <c r="AF10" s="4">
        <v>3.3913415993549705E-16</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-469.93131423995021</v>
      </c>
      <c r="D11" s="4">
        <v>-106.47912223831855</v>
      </c>
      <c r="E11" s="4">
        <v>-11.312013147832788</v>
      </c>
      <c r="F11" s="4">
        <v>-284.48000384140653</v>
      </c>
      <c r="G11" s="4">
        <v>-69.640030774338271</v>
      </c>
      <c r="H11" s="4">
        <v>-125.7786671099139</v>
      </c>
      <c r="I11" s="4">
        <v>-112.13465361925266</v>
      </c>
      <c r="J11" s="4">
        <v>-140.81398220593633</v>
      </c>
      <c r="K11" s="4">
        <v>-34.837555624002832</v>
      </c>
      <c r="L11" s="4">
        <v>-44.597544924605799</v>
      </c>
      <c r="M11" s="4">
        <v>-2.5463436005686493</v>
      </c>
      <c r="N11" s="4">
        <v>-7.4496930456176864</v>
      </c>
      <c r="O11" s="4">
        <v>0.66317655945491027</v>
      </c>
      <c r="P11" s="4">
        <v>-0.46262922253101235</v>
      </c>
      <c r="Q11" s="4">
        <v>6.7532712703067457E-3</v>
      </c>
      <c r="R11" s="4">
        <v>-5.3889220833068024E-3</v>
      </c>
      <c r="S11" s="4">
        <v>9.1211976931134919E-4</v>
      </c>
      <c r="T11" s="4">
        <v>3.8835049992876724E-3</v>
      </c>
      <c r="U11" s="4">
        <v>9.6531008888854945E-5</v>
      </c>
      <c r="V11" s="4">
        <v>1.6344517888854012E-4</v>
      </c>
      <c r="W11" s="4">
        <v>1.2010749955862741E-5</v>
      </c>
      <c r="X11" s="4">
        <v>2.2025501857349772E-6</v>
      </c>
      <c r="Y11" s="4">
        <v>7.6890964196478886E-8</v>
      </c>
      <c r="Z11" s="4">
        <v>7.4140025091983462E-8</v>
      </c>
      <c r="AA11" s="4">
        <v>2.5938874238422181E-10</v>
      </c>
      <c r="AB11" s="4">
        <v>2.3189731658294687E-10</v>
      </c>
      <c r="AC11" s="4">
        <v>2.3118614376800728E-12</v>
      </c>
      <c r="AD11" s="4">
        <v>1.3861539565254366E-12</v>
      </c>
      <c r="AE11" s="4">
        <v>8.9210382236361477E-15</v>
      </c>
      <c r="AF11" s="4">
        <v>1.0527453956740614E-15</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-508.02783943576748</v>
      </c>
      <c r="D12" s="4">
        <v>-99.306481127630306</v>
      </c>
      <c r="E12" s="4">
        <v>-10.972773471147109</v>
      </c>
      <c r="F12" s="4">
        <v>-287.06756380822304</v>
      </c>
      <c r="G12" s="4">
        <v>-73.120759230960999</v>
      </c>
      <c r="H12" s="4">
        <v>-137.44615738480502</v>
      </c>
      <c r="I12" s="4">
        <v>-127.55717611139289</v>
      </c>
      <c r="J12" s="4">
        <v>-166.78111940567882</v>
      </c>
      <c r="K12" s="4">
        <v>-42.971699210880928</v>
      </c>
      <c r="L12" s="4">
        <v>-57.303129490918415</v>
      </c>
      <c r="M12" s="4">
        <v>-3.4089201987310105</v>
      </c>
      <c r="N12" s="4">
        <v>-10.393735968408475</v>
      </c>
      <c r="O12" s="4">
        <v>0.96449088560936025</v>
      </c>
      <c r="P12" s="4">
        <v>-0.70152158519791241</v>
      </c>
      <c r="Q12" s="4">
        <v>1.0679864324074745E-2</v>
      </c>
      <c r="R12" s="4">
        <v>-8.8900206352101416E-3</v>
      </c>
      <c r="S12" s="4">
        <v>1.5700339788858274E-3</v>
      </c>
      <c r="T12" s="4">
        <v>6.9766288303562832E-3</v>
      </c>
      <c r="U12" s="4">
        <v>1.8103505904878999E-4</v>
      </c>
      <c r="V12" s="4">
        <v>3.2007582733933968E-4</v>
      </c>
      <c r="W12" s="4">
        <v>2.4566764139969926E-5</v>
      </c>
      <c r="X12" s="4">
        <v>4.7066749728063267E-6</v>
      </c>
      <c r="Y12" s="4">
        <v>1.7170744893499891E-7</v>
      </c>
      <c r="Z12" s="4">
        <v>1.7306460512478698E-7</v>
      </c>
      <c r="AA12" s="4">
        <v>6.3309084846283155E-10</v>
      </c>
      <c r="AB12" s="4">
        <v>5.9195563054689456E-10</v>
      </c>
      <c r="AC12" s="4">
        <v>6.1738257076902583E-12</v>
      </c>
      <c r="AD12" s="4">
        <v>3.8736937049582635E-12</v>
      </c>
      <c r="AE12" s="4">
        <v>2.60960093383728E-14</v>
      </c>
      <c r="AF12" s="4">
        <v>3.2244239980206578E-15</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-545.28878997771676</v>
      </c>
      <c r="D13" s="4">
        <v>-91.137766403333231</v>
      </c>
      <c r="E13" s="4">
        <v>-10.47461042331722</v>
      </c>
      <c r="F13" s="4">
        <v>-285.10114087497828</v>
      </c>
      <c r="G13" s="4">
        <v>-75.568810541207469</v>
      </c>
      <c r="H13" s="4">
        <v>-147.84828250815644</v>
      </c>
      <c r="I13" s="4">
        <v>-142.84535811446244</v>
      </c>
      <c r="J13" s="4">
        <v>-194.483384744517</v>
      </c>
      <c r="K13" s="4">
        <v>-52.190377570873899</v>
      </c>
      <c r="L13" s="4">
        <v>-72.503262447461623</v>
      </c>
      <c r="M13" s="4">
        <v>-4.4943558987231862</v>
      </c>
      <c r="N13" s="4">
        <v>-14.282195650897702</v>
      </c>
      <c r="O13" s="4">
        <v>1.3816451187848786</v>
      </c>
      <c r="P13" s="4">
        <v>-1.0478957559568041</v>
      </c>
      <c r="Q13" s="4">
        <v>1.6638961588300048E-2</v>
      </c>
      <c r="R13" s="4">
        <v>-1.4449495527147596E-2</v>
      </c>
      <c r="S13" s="4">
        <v>2.662904718766841E-3</v>
      </c>
      <c r="T13" s="4">
        <v>1.2350863990963015E-2</v>
      </c>
      <c r="U13" s="4">
        <v>3.3460260646558829E-4</v>
      </c>
      <c r="V13" s="4">
        <v>6.1779656254602549E-4</v>
      </c>
      <c r="W13" s="4">
        <v>4.9531210372202586E-5</v>
      </c>
      <c r="X13" s="4">
        <v>9.9151048530102236E-6</v>
      </c>
      <c r="Y13" s="4">
        <v>3.7804149884766494E-7</v>
      </c>
      <c r="Z13" s="4">
        <v>3.9832939137464088E-7</v>
      </c>
      <c r="AA13" s="4">
        <v>1.523708300068102E-9</v>
      </c>
      <c r="AB13" s="4">
        <v>1.4902051155811908E-9</v>
      </c>
      <c r="AC13" s="4">
        <v>1.6261223907687125E-11</v>
      </c>
      <c r="AD13" s="4">
        <v>1.0677965036064668E-11</v>
      </c>
      <c r="AE13" s="4">
        <v>7.5305306863620492E-14</v>
      </c>
      <c r="AF13" s="4">
        <v>9.7435534957209365E-15</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-581.17736621271138</v>
      </c>
      <c r="D14" s="4">
        <v>-82.296431038808365</v>
      </c>
      <c r="E14" s="4">
        <v>-9.8391739604185364</v>
      </c>
      <c r="F14" s="4">
        <v>-278.64467239053124</v>
      </c>
      <c r="G14" s="4">
        <v>-76.863349623928769</v>
      </c>
      <c r="H14" s="4">
        <v>-156.53550807337641</v>
      </c>
      <c r="I14" s="4">
        <v>-157.46301265378244</v>
      </c>
      <c r="J14" s="4">
        <v>-223.25840122055615</v>
      </c>
      <c r="K14" s="4">
        <v>-62.406057840207772</v>
      </c>
      <c r="L14" s="4">
        <v>-90.324192115009296</v>
      </c>
      <c r="M14" s="4">
        <v>-5.8347810408489824</v>
      </c>
      <c r="N14" s="4">
        <v>-19.326985634039438</v>
      </c>
      <c r="O14" s="4">
        <v>1.9493073884502696</v>
      </c>
      <c r="P14" s="4">
        <v>-1.5417728337157586</v>
      </c>
      <c r="Q14" s="4">
        <v>2.5535949970474897E-2</v>
      </c>
      <c r="R14" s="4">
        <v>-2.313706146557952E-2</v>
      </c>
      <c r="S14" s="4">
        <v>4.4498802195843627E-3</v>
      </c>
      <c r="T14" s="4">
        <v>2.1544475927779753E-2</v>
      </c>
      <c r="U14" s="4">
        <v>6.0942999000923701E-4</v>
      </c>
      <c r="V14" s="4">
        <v>1.175187623000281E-3</v>
      </c>
      <c r="W14" s="4">
        <v>9.8428421834031519E-5</v>
      </c>
      <c r="X14" s="4">
        <v>2.0588881115942432E-5</v>
      </c>
      <c r="Y14" s="4">
        <v>8.2051048674654694E-7</v>
      </c>
      <c r="Z14" s="4">
        <v>9.0388465071333954E-7</v>
      </c>
      <c r="AA14" s="4">
        <v>3.6159023519080594E-9</v>
      </c>
      <c r="AB14" s="4">
        <v>3.699344438358004E-9</v>
      </c>
      <c r="AC14" s="4">
        <v>4.2239322888206351E-11</v>
      </c>
      <c r="AD14" s="4">
        <v>2.9030857188891452E-11</v>
      </c>
      <c r="AE14" s="4">
        <v>2.1435261259679148E-13</v>
      </c>
      <c r="AF14" s="4">
        <v>2.904545338650315E-14</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-615.13596429511881</v>
      </c>
      <c r="D15" s="4">
        <v>-73.110417409514511</v>
      </c>
      <c r="E15" s="4">
        <v>-9.0935333706738266</v>
      </c>
      <c r="F15" s="4">
        <v>-267.97459761488437</v>
      </c>
      <c r="G15" s="4">
        <v>-76.935212336779799</v>
      </c>
      <c r="H15" s="4">
        <v>-163.10858639201948</v>
      </c>
      <c r="I15" s="4">
        <v>-170.84285007575875</v>
      </c>
      <c r="J15" s="4">
        <v>-252.27697286182141</v>
      </c>
      <c r="K15" s="4">
        <v>-73.459241038415485</v>
      </c>
      <c r="L15" s="4">
        <v>-110.7829945241963</v>
      </c>
      <c r="M15" s="4">
        <v>-7.4583620986912269</v>
      </c>
      <c r="N15" s="4">
        <v>-25.753402254789776</v>
      </c>
      <c r="O15" s="4">
        <v>2.7083529552325794</v>
      </c>
      <c r="P15" s="4">
        <v>-2.2341061497345325</v>
      </c>
      <c r="Q15" s="4">
        <v>3.8601053095062211E-2</v>
      </c>
      <c r="R15" s="4">
        <v>-3.6494339741035456E-2</v>
      </c>
      <c r="S15" s="4">
        <v>7.3256051419153317E-3</v>
      </c>
      <c r="T15" s="4">
        <v>3.7026951374738083E-2</v>
      </c>
      <c r="U15" s="4">
        <v>1.0937118746061133E-3</v>
      </c>
      <c r="V15" s="4">
        <v>2.2029008681526594E-3</v>
      </c>
      <c r="W15" s="4">
        <v>1.9276571568138892E-4</v>
      </c>
      <c r="X15" s="4">
        <v>4.2138375726939899E-5</v>
      </c>
      <c r="Y15" s="4">
        <v>1.7554181245434096E-6</v>
      </c>
      <c r="Z15" s="4">
        <v>2.0219847734744731E-6</v>
      </c>
      <c r="AA15" s="4">
        <v>8.459962781238618E-9</v>
      </c>
      <c r="AB15" s="4">
        <v>9.0548933087482139E-9</v>
      </c>
      <c r="AC15" s="4">
        <v>1.0819413778276717E-10</v>
      </c>
      <c r="AD15" s="4">
        <v>7.7839094391839405E-11</v>
      </c>
      <c r="AE15" s="4">
        <v>6.0178628855047745E-13</v>
      </c>
      <c r="AF15" s="4">
        <v>8.540696493268459E-14</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-646.591905143742</v>
      </c>
      <c r="D16" s="4">
        <v>-63.892017529568712</v>
      </c>
      <c r="E16" s="4">
        <v>-8.2682492070980196</v>
      </c>
      <c r="F16" s="4">
        <v>-253.56036814406022</v>
      </c>
      <c r="G16" s="4">
        <v>-75.772928411720358</v>
      </c>
      <c r="H16" s="4">
        <v>-167.2485099309167</v>
      </c>
      <c r="I16" s="4">
        <v>-182.42113752585115</v>
      </c>
      <c r="J16" s="4">
        <v>-280.57330584261371</v>
      </c>
      <c r="K16" s="4">
        <v>-85.114610443569433</v>
      </c>
      <c r="L16" s="4">
        <v>-133.75788039778053</v>
      </c>
      <c r="M16" s="4">
        <v>-9.3859691545092669</v>
      </c>
      <c r="N16" s="4">
        <v>-33.787929054274663</v>
      </c>
      <c r="O16" s="4">
        <v>3.7053276087789579</v>
      </c>
      <c r="P16" s="4">
        <v>-3.1880403556322672</v>
      </c>
      <c r="Q16" s="4">
        <v>5.746762945126288E-2</v>
      </c>
      <c r="R16" s="4">
        <v>-5.6697049015527995E-2</v>
      </c>
      <c r="S16" s="4">
        <v>1.1879473703805042E-2</v>
      </c>
      <c r="T16" s="4">
        <v>6.2690192274885412E-2</v>
      </c>
      <c r="U16" s="4">
        <v>1.9338510253157424E-3</v>
      </c>
      <c r="V16" s="4">
        <v>4.0687900884812146E-3</v>
      </c>
      <c r="W16" s="4">
        <v>3.7201761607343206E-4</v>
      </c>
      <c r="X16" s="4">
        <v>8.4994216850842384E-5</v>
      </c>
      <c r="Y16" s="4">
        <v>3.7015695816043495E-6</v>
      </c>
      <c r="Z16" s="4">
        <v>4.4585563759414261E-6</v>
      </c>
      <c r="AA16" s="4">
        <v>1.9512575604531647E-8</v>
      </c>
      <c r="AB16" s="4">
        <v>2.1851408331305244E-8</v>
      </c>
      <c r="AC16" s="4">
        <v>2.7325709462929211E-10</v>
      </c>
      <c r="AD16" s="4">
        <v>2.0580707491305022E-10</v>
      </c>
      <c r="AE16" s="4">
        <v>1.666189359052431E-12</v>
      </c>
      <c r="AF16" s="4">
        <v>2.476972624708874E-13</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-674.96555937011885</v>
      </c>
      <c r="D17" s="4">
        <v>-54.920701688925305</v>
      </c>
      <c r="E17" s="4">
        <v>-7.3952786826934442</v>
      </c>
      <c r="F17" s="4">
        <v>-236.03009236428625</v>
      </c>
      <c r="G17" s="4">
        <v>-73.424266097828422</v>
      </c>
      <c r="H17" s="4">
        <v>-168.74188606242953</v>
      </c>
      <c r="I17" s="4">
        <v>-191.67590095876395</v>
      </c>
      <c r="J17" s="4">
        <v>-307.09171378204871</v>
      </c>
      <c r="K17" s="4">
        <v>-97.063071734722641</v>
      </c>
      <c r="L17" s="4">
        <v>-158.963471436128</v>
      </c>
      <c r="M17" s="4">
        <v>-11.627494192400858</v>
      </c>
      <c r="N17" s="4">
        <v>-43.641511000537541</v>
      </c>
      <c r="O17" s="4">
        <v>4.9911351093387912</v>
      </c>
      <c r="P17" s="4">
        <v>-4.4795617661773548</v>
      </c>
      <c r="Q17" s="4">
        <v>8.4251900796184581E-2</v>
      </c>
      <c r="R17" s="4">
        <v>-8.6749806054923814E-2</v>
      </c>
      <c r="S17" s="4">
        <v>1.897426945085115E-2</v>
      </c>
      <c r="T17" s="4">
        <v>0.10455305158143624</v>
      </c>
      <c r="U17" s="4">
        <v>3.3685275839399299E-3</v>
      </c>
      <c r="V17" s="4">
        <v>7.4041363465096105E-3</v>
      </c>
      <c r="W17" s="4">
        <v>7.0742115646716818E-4</v>
      </c>
      <c r="X17" s="4">
        <v>1.689367281037263E-4</v>
      </c>
      <c r="Y17" s="4">
        <v>7.6923124794210669E-6</v>
      </c>
      <c r="Z17" s="4">
        <v>9.689895816749073E-6</v>
      </c>
      <c r="AA17" s="4">
        <v>4.4362118075014047E-8</v>
      </c>
      <c r="AB17" s="4">
        <v>5.1984082777876847E-8</v>
      </c>
      <c r="AC17" s="4">
        <v>6.8042085799233269E-10</v>
      </c>
      <c r="AD17" s="4">
        <v>5.3654376318783982E-10</v>
      </c>
      <c r="AE17" s="4">
        <v>4.5491776265489523E-12</v>
      </c>
      <c r="AF17" s="4">
        <v>7.084676391152148E-13</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-699.68153081680589</v>
      </c>
      <c r="D18" s="4">
        <v>-46.43018016533815</v>
      </c>
      <c r="E18" s="4">
        <v>-6.5059163118150609</v>
      </c>
      <c r="F18" s="4">
        <v>-216.12482363507459</v>
      </c>
      <c r="G18" s="4">
        <v>-69.993058285039183</v>
      </c>
      <c r="H18" s="4">
        <v>-167.49895648843707</v>
      </c>
      <c r="I18" s="4">
        <v>-198.1652032961986</v>
      </c>
      <c r="J18" s="4">
        <v>-330.74749073519916</v>
      </c>
      <c r="K18" s="4">
        <v>-108.93064045269728</v>
      </c>
      <c r="L18" s="4">
        <v>-185.93494898252064</v>
      </c>
      <c r="M18" s="4">
        <v>-14.178122146605181</v>
      </c>
      <c r="N18" s="4">
        <v>-55.488581986206455</v>
      </c>
      <c r="O18" s="4">
        <v>6.6187805213140551</v>
      </c>
      <c r="P18" s="4">
        <v>-6.1971743733734295</v>
      </c>
      <c r="Q18" s="4">
        <v>0.12162514263521235</v>
      </c>
      <c r="R18" s="4">
        <v>-0.13070879108172068</v>
      </c>
      <c r="S18" s="4">
        <v>2.9847117273670433E-2</v>
      </c>
      <c r="T18" s="4">
        <v>0.17174526345638597</v>
      </c>
      <c r="U18" s="4">
        <v>5.77976085113187E-3</v>
      </c>
      <c r="V18" s="4">
        <v>1.3273277367256307E-2</v>
      </c>
      <c r="W18" s="4">
        <v>1.3253465249043021E-3</v>
      </c>
      <c r="X18" s="4">
        <v>3.3085531648066287E-4</v>
      </c>
      <c r="Y18" s="4">
        <v>1.5752518103200317E-5</v>
      </c>
      <c r="Z18" s="4">
        <v>2.0754344147453802E-5</v>
      </c>
      <c r="AA18" s="4">
        <v>9.9407296762212894E-8</v>
      </c>
      <c r="AB18" s="4">
        <v>1.2190265808097434E-7</v>
      </c>
      <c r="AC18" s="4">
        <v>1.6702420667655457E-9</v>
      </c>
      <c r="AD18" s="4">
        <v>1.3790807385545134E-9</v>
      </c>
      <c r="AE18" s="4">
        <v>1.2246880021931906E-11</v>
      </c>
      <c r="AF18" s="4">
        <v>1.9982392191878794E-12</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-720.18316449694873</v>
      </c>
      <c r="D19" s="4">
        <v>-38.600397161691085</v>
      </c>
      <c r="E19" s="4">
        <v>-5.6289553913080583</v>
      </c>
      <c r="F19" s="4">
        <v>-194.64615775089106</v>
      </c>
      <c r="G19" s="4">
        <v>-65.631592900510213</v>
      </c>
      <c r="H19" s="4">
        <v>-163.56216663992663</v>
      </c>
      <c r="I19" s="4">
        <v>-201.5616760978333</v>
      </c>
      <c r="J19" s="4">
        <v>-350.49760332670581</v>
      </c>
      <c r="K19" s="4">
        <v>-120.29447784400554</v>
      </c>
      <c r="L19" s="4">
        <v>-214.02481169119653</v>
      </c>
      <c r="M19" s="4">
        <v>-17.01495165873267</v>
      </c>
      <c r="N19" s="4">
        <v>-69.442787340756652</v>
      </c>
      <c r="O19" s="4">
        <v>8.6400604284101057</v>
      </c>
      <c r="P19" s="4">
        <v>-8.4402003753049879</v>
      </c>
      <c r="Q19" s="4">
        <v>0.17286569381187741</v>
      </c>
      <c r="R19" s="4">
        <v>-0.1939206504252618</v>
      </c>
      <c r="S19" s="4">
        <v>4.6234281834060711E-2</v>
      </c>
      <c r="T19" s="4">
        <v>0.27784263078003002</v>
      </c>
      <c r="U19" s="4">
        <v>9.7675939464970506E-3</v>
      </c>
      <c r="V19" s="4">
        <v>2.3438620982735626E-2</v>
      </c>
      <c r="W19" s="4">
        <v>2.4460953204671117E-3</v>
      </c>
      <c r="X19" s="4">
        <v>6.3839187890163125E-4</v>
      </c>
      <c r="Y19" s="4">
        <v>3.1784923849528582E-5</v>
      </c>
      <c r="Z19" s="4">
        <v>4.3804650641710379E-5</v>
      </c>
      <c r="AA19" s="4">
        <v>2.1952753549231872E-7</v>
      </c>
      <c r="AB19" s="4">
        <v>2.8175032564740052E-7</v>
      </c>
      <c r="AC19" s="4">
        <v>4.0414169895418233E-9</v>
      </c>
      <c r="AD19" s="4">
        <v>3.4943865010140342E-9</v>
      </c>
      <c r="AE19" s="4">
        <v>3.2505681254772101E-11</v>
      </c>
      <c r="AF19" s="4">
        <v>5.5572635962942633E-12</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-735.95011089358877</v>
      </c>
      <c r="D20" s="4">
        <v>-31.554565114312283</v>
      </c>
      <c r="E20" s="4">
        <v>-4.7892182288255531</v>
      </c>
      <c r="F20" s="4">
        <v>-172.40234805644474</v>
      </c>
      <c r="G20" s="4">
        <v>-60.529343057968937</v>
      </c>
      <c r="H20" s="4">
        <v>-157.10418018119114</v>
      </c>
      <c r="I20" s="4">
        <v>-201.67960095909083</v>
      </c>
      <c r="J20" s="4">
        <v>-365.41512961716882</v>
      </c>
      <c r="K20" s="4">
        <v>-130.7055571946004</v>
      </c>
      <c r="L20" s="4">
        <v>-242.41523905904123</v>
      </c>
      <c r="M20" s="4">
        <v>-20.094426799356487</v>
      </c>
      <c r="N20" s="4">
        <v>-85.531085608551422</v>
      </c>
      <c r="O20" s="4">
        <v>11.101190544851233</v>
      </c>
      <c r="P20" s="4">
        <v>-11.31531539904131</v>
      </c>
      <c r="Q20" s="4">
        <v>0.24187459466343084</v>
      </c>
      <c r="R20" s="4">
        <v>-0.28325701415999927</v>
      </c>
      <c r="S20" s="4">
        <v>7.0518780986661395E-2</v>
      </c>
      <c r="T20" s="4">
        <v>0.44262281960395006</v>
      </c>
      <c r="U20" s="4">
        <v>1.6256543993783821E-2</v>
      </c>
      <c r="V20" s="4">
        <v>4.0765350975138739E-2</v>
      </c>
      <c r="W20" s="4">
        <v>4.4469797334628679E-3</v>
      </c>
      <c r="X20" s="4">
        <v>1.2134650796985452E-3</v>
      </c>
      <c r="Y20" s="4">
        <v>6.3186771900469231E-5</v>
      </c>
      <c r="Z20" s="4">
        <v>9.109795076127567E-5</v>
      </c>
      <c r="AA20" s="4">
        <v>4.7772784856225179E-7</v>
      </c>
      <c r="AB20" s="4">
        <v>6.4177146725116018E-7</v>
      </c>
      <c r="AC20" s="4">
        <v>9.6382195461176109E-9</v>
      </c>
      <c r="AD20" s="4">
        <v>8.7278152989616033E-9</v>
      </c>
      <c r="AE20" s="4">
        <v>8.5053301691682747E-11</v>
      </c>
      <c r="AF20" s="4">
        <v>1.5237637134618468E-11</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-746.51808618498058</v>
      </c>
      <c r="D21" s="4">
        <v>-25.360812558263088</v>
      </c>
      <c r="E21" s="4">
        <v>-4.006550497842384</v>
      </c>
      <c r="F21" s="4">
        <v>-150.15802106497028</v>
      </c>
      <c r="G21" s="4">
        <v>-54.899204373849436</v>
      </c>
      <c r="H21" s="4">
        <v>-148.4154014890635</v>
      </c>
      <c r="I21" s="4">
        <v>-198.49145562668076</v>
      </c>
      <c r="J21" s="4">
        <v>-374.76026144109204</v>
      </c>
      <c r="K21" s="4">
        <v>-139.7165576105813</v>
      </c>
      <c r="L21" s="4">
        <v>-270.14773096658945</v>
      </c>
      <c r="M21" s="4">
        <v>-23.351055381197302</v>
      </c>
      <c r="N21" s="4">
        <v>-103.66864402385727</v>
      </c>
      <c r="O21" s="4">
        <v>14.037499844741175</v>
      </c>
      <c r="P21" s="4">
        <v>-14.931006038183144</v>
      </c>
      <c r="Q21" s="4">
        <v>0.33313595124133072</v>
      </c>
      <c r="R21" s="4">
        <v>-0.40731334652539097</v>
      </c>
      <c r="S21" s="4">
        <v>0.10589577174134795</v>
      </c>
      <c r="T21" s="4">
        <v>0.69429477252232619</v>
      </c>
      <c r="U21" s="4">
        <v>2.6643195363087149E-2</v>
      </c>
      <c r="V21" s="4">
        <v>6.9824897550784221E-2</v>
      </c>
      <c r="W21" s="4">
        <v>7.9626880557800168E-3</v>
      </c>
      <c r="X21" s="4">
        <v>2.2720246284632004E-3</v>
      </c>
      <c r="Y21" s="4">
        <v>1.2374289953313397E-4</v>
      </c>
      <c r="Z21" s="4">
        <v>1.8665072778472459E-4</v>
      </c>
      <c r="AA21" s="4">
        <v>1.0243506383542423E-6</v>
      </c>
      <c r="AB21" s="4">
        <v>1.4405124395918415E-6</v>
      </c>
      <c r="AC21" s="4">
        <v>2.265296078861936E-8</v>
      </c>
      <c r="AD21" s="4">
        <v>2.1485715187715531E-8</v>
      </c>
      <c r="AE21" s="4">
        <v>2.1937022176994003E-10</v>
      </c>
      <c r="AF21" s="4">
        <v>4.1188318839652707E-11</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-751.49941346237915</v>
      </c>
      <c r="D22" s="4">
        <v>-20.037604056453198</v>
      </c>
      <c r="E22" s="4">
        <v>-3.295316125287632</v>
      </c>
      <c r="F22" s="4">
        <v>-128.59183149635604</v>
      </c>
      <c r="G22" s="4">
        <v>-48.962643451346388</v>
      </c>
      <c r="H22" s="4">
        <v>-137.88225050080277</v>
      </c>
      <c r="I22" s="4">
        <v>-192.13190282488227</v>
      </c>
      <c r="J22" s="4">
        <v>-378.04042950097454</v>
      </c>
      <c r="K22" s="4">
        <v>-146.91275786484442</v>
      </c>
      <c r="L22" s="4">
        <v>-296.1698671168474</v>
      </c>
      <c r="M22" s="4">
        <v>-26.697838492485822</v>
      </c>
      <c r="N22" s="4">
        <v>-123.63753388060266</v>
      </c>
      <c r="O22" s="4">
        <v>17.467488760573765</v>
      </c>
      <c r="P22" s="4">
        <v>-19.389795672697232</v>
      </c>
      <c r="Q22" s="4">
        <v>0.45160214645669322</v>
      </c>
      <c r="R22" s="4">
        <v>-0.57652956912245379</v>
      </c>
      <c r="S22" s="4">
        <v>0.15654507020056083</v>
      </c>
      <c r="T22" s="4">
        <v>1.0722181742269312</v>
      </c>
      <c r="U22" s="4">
        <v>4.2994810517105776E-2</v>
      </c>
      <c r="V22" s="4">
        <v>0.11777247325485919</v>
      </c>
      <c r="W22" s="4">
        <v>1.4041438391992943E-2</v>
      </c>
      <c r="X22" s="4">
        <v>4.1898586015651895E-3</v>
      </c>
      <c r="Y22" s="4">
        <v>2.3870333399309557E-4</v>
      </c>
      <c r="Z22" s="4">
        <v>3.7673728719369497E-4</v>
      </c>
      <c r="AA22" s="4">
        <v>2.1639568359352533E-6</v>
      </c>
      <c r="AB22" s="4">
        <v>3.1858827528835379E-6</v>
      </c>
      <c r="AC22" s="4">
        <v>5.2465506947489377E-8</v>
      </c>
      <c r="AD22" s="4">
        <v>5.2126633267869597E-8</v>
      </c>
      <c r="AE22" s="4">
        <v>5.5766693916879103E-10</v>
      </c>
      <c r="AF22" s="4">
        <v>1.0974548188188639E-10</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-750.60251155146955</v>
      </c>
      <c r="D23" s="4">
        <v>-15.561834829345655</v>
      </c>
      <c r="E23" s="4">
        <v>-2.6643723078166062</v>
      </c>
      <c r="F23" s="4">
        <v>-108.26517560025212</v>
      </c>
      <c r="G23" s="4">
        <v>-42.935213407582268</v>
      </c>
      <c r="H23" s="4">
        <v>-125.9584591464514</v>
      </c>
      <c r="I23" s="4">
        <v>-182.88857449753755</v>
      </c>
      <c r="J23" s="4">
        <v>-375.05282988766129</v>
      </c>
      <c r="K23" s="4">
        <v>-151.94307589248263</v>
      </c>
      <c r="L23" s="4">
        <v>-319.39689801303592</v>
      </c>
      <c r="M23" s="4">
        <v>-30.028711936528754</v>
      </c>
      <c r="N23" s="4">
        <v>-145.07254594930964</v>
      </c>
      <c r="O23" s="4">
        <v>21.386728950583347</v>
      </c>
      <c r="P23" s="4">
        <v>-24.778329096909609</v>
      </c>
      <c r="Q23" s="4">
        <v>0.60248576629183781</v>
      </c>
      <c r="R23" s="4">
        <v>-0.80317974864345731</v>
      </c>
      <c r="S23" s="4">
        <v>0.22779309341390058</v>
      </c>
      <c r="T23" s="4">
        <v>1.6300661312660532</v>
      </c>
      <c r="U23" s="4">
        <v>6.8307945044867216E-2</v>
      </c>
      <c r="V23" s="4">
        <v>0.19558955033441558</v>
      </c>
      <c r="W23" s="4">
        <v>2.4382320153490695E-2</v>
      </c>
      <c r="X23" s="4">
        <v>7.60922912972011E-3</v>
      </c>
      <c r="Y23" s="4">
        <v>4.5351884303250191E-4</v>
      </c>
      <c r="Z23" s="4">
        <v>7.4901434639812708E-4</v>
      </c>
      <c r="AA23" s="4">
        <v>4.5033466884489373E-6</v>
      </c>
      <c r="AB23" s="4">
        <v>6.941828815407667E-6</v>
      </c>
      <c r="AC23" s="4">
        <v>1.1972886971204605E-7</v>
      </c>
      <c r="AD23" s="4">
        <v>1.2462084689493225E-7</v>
      </c>
      <c r="AE23" s="4">
        <v>1.3971357923007779E-9</v>
      </c>
      <c r="AF23" s="4">
        <v>2.8821152980901555E-10</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-743.64829817950522</v>
      </c>
      <c r="D24" s="4">
        <v>-11.878415595799151</v>
      </c>
      <c r="E24" s="4">
        <v>-2.1174569910508785</v>
      </c>
      <c r="F24" s="4">
        <v>-89.603590780497427</v>
      </c>
      <c r="G24" s="4">
        <v>-37.013759897126029</v>
      </c>
      <c r="H24" s="4">
        <v>-113.13237978230012</v>
      </c>
      <c r="I24" s="4">
        <v>-171.18050040218642</v>
      </c>
      <c r="J24" s="4">
        <v>-365.90429826992192</v>
      </c>
      <c r="K24" s="4">
        <v>-154.54809140905883</v>
      </c>
      <c r="L24" s="4">
        <v>-338.78372429879931</v>
      </c>
      <c r="M24" s="4">
        <v>-33.223107137687897</v>
      </c>
      <c r="N24" s="4">
        <v>-167.4573538037148</v>
      </c>
      <c r="O24" s="4">
        <v>25.762246836405787</v>
      </c>
      <c r="P24" s="4">
        <v>-31.155727981075366</v>
      </c>
      <c r="Q24" s="4">
        <v>0.79094548392424058</v>
      </c>
      <c r="R24" s="4">
        <v>-1.101171556299827</v>
      </c>
      <c r="S24" s="4">
        <v>0.32623844059159729</v>
      </c>
      <c r="T24" s="4">
        <v>2.4392892801848842</v>
      </c>
      <c r="U24" s="4">
        <v>0.10683296366641458</v>
      </c>
      <c r="V24" s="4">
        <v>0.31979338916918454</v>
      </c>
      <c r="W24" s="4">
        <v>4.1687303476140476E-2</v>
      </c>
      <c r="X24" s="4">
        <v>1.3607894200865469E-2</v>
      </c>
      <c r="Y24" s="4">
        <v>8.4856485663185833E-4</v>
      </c>
      <c r="Z24" s="4">
        <v>1.4666911590703654E-3</v>
      </c>
      <c r="AA24" s="4">
        <v>9.2313156827235838E-6</v>
      </c>
      <c r="AB24" s="4">
        <v>1.4900613164003783E-5</v>
      </c>
      <c r="AC24" s="4">
        <v>2.69187565618145E-7</v>
      </c>
      <c r="AD24" s="4">
        <v>2.9356081070070723E-7</v>
      </c>
      <c r="AE24" s="4">
        <v>3.4492465179065354E-9</v>
      </c>
      <c r="AF24" s="4">
        <v>7.4593978730610364E-10</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-730.58154492951371</v>
      </c>
      <c r="D25" s="4">
        <v>-8.9102286019555486</v>
      </c>
      <c r="E25" s="4">
        <v>-1.6538885153824394</v>
      </c>
      <c r="F25" s="4">
        <v>-72.890937227587671</v>
      </c>
      <c r="G25" s="4">
        <v>-31.366353440114189</v>
      </c>
      <c r="H25" s="4">
        <v>-99.893616116529316</v>
      </c>
      <c r="I25" s="4">
        <v>-157.52643140215221</v>
      </c>
      <c r="J25" s="4">
        <v>-351.00590485541767</v>
      </c>
      <c r="K25" s="4">
        <v>-154.58198185587963</v>
      </c>
      <c r="L25" s="4">
        <v>-353.40097886044919</v>
      </c>
      <c r="M25" s="4">
        <v>-36.152493728657838</v>
      </c>
      <c r="N25" s="4">
        <v>-190.13366597037071</v>
      </c>
      <c r="O25" s="4">
        <v>30.528150027837714</v>
      </c>
      <c r="P25" s="4">
        <v>-38.541000012227805</v>
      </c>
      <c r="Q25" s="4">
        <v>1.0216627297229375</v>
      </c>
      <c r="R25" s="4">
        <v>-1.485596117115016</v>
      </c>
      <c r="S25" s="4">
        <v>0.45980722387490419</v>
      </c>
      <c r="T25" s="4">
        <v>3.5926115276392236</v>
      </c>
      <c r="U25" s="4">
        <v>0.16446414997624287</v>
      </c>
      <c r="V25" s="4">
        <v>0.51471701703587347</v>
      </c>
      <c r="W25" s="4">
        <v>7.0169979160332546E-2</v>
      </c>
      <c r="X25" s="4">
        <v>2.3960935763268257E-2</v>
      </c>
      <c r="Y25" s="4">
        <v>1.5634407218273632E-3</v>
      </c>
      <c r="Z25" s="4">
        <v>2.8283831214083789E-3</v>
      </c>
      <c r="AA25" s="4">
        <v>1.8637492055799092E-5</v>
      </c>
      <c r="AB25" s="4">
        <v>3.1504669384251955E-5</v>
      </c>
      <c r="AC25" s="4">
        <v>5.9620666856937518E-7</v>
      </c>
      <c r="AD25" s="4">
        <v>6.8129725301385008E-7</v>
      </c>
      <c r="AE25" s="4">
        <v>8.3904793369651166E-9</v>
      </c>
      <c r="AF25" s="4">
        <v>1.9024758256607727E-9</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-711.4755743367183</v>
      </c>
      <c r="D26" s="4">
        <v>-6.5675183225775537</v>
      </c>
      <c r="E26" s="4">
        <v>-1.2694613686156595</v>
      </c>
      <c r="F26" s="4">
        <v>-58.275096479472687</v>
      </c>
      <c r="G26" s="4">
        <v>-26.125592300367867</v>
      </c>
      <c r="H26" s="4">
        <v>-86.702174381806287</v>
      </c>
      <c r="I26" s="4">
        <v>-142.50640978187749</v>
      </c>
      <c r="J26" s="4">
        <v>-331.04250338203167</v>
      </c>
      <c r="K26" s="4">
        <v>-152.02581773230003</v>
      </c>
      <c r="L26" s="4">
        <v>-362.50772674846166</v>
      </c>
      <c r="M26" s="4">
        <v>-38.688498093878287</v>
      </c>
      <c r="N26" s="4">
        <v>-212.32490608790923</v>
      </c>
      <c r="O26" s="4">
        <v>35.583291449225705</v>
      </c>
      <c r="P26" s="4">
        <v>-46.900657728455542</v>
      </c>
      <c r="Q26" s="4">
        <v>1.2983197683448289</v>
      </c>
      <c r="R26" s="4">
        <v>-1.971978297797349</v>
      </c>
      <c r="S26" s="4">
        <v>0.6376976043318805</v>
      </c>
      <c r="T26" s="4">
        <v>5.2071313473596668</v>
      </c>
      <c r="U26" s="4">
        <v>0.24918492907931405</v>
      </c>
      <c r="V26" s="4">
        <v>0.8154467850666054</v>
      </c>
      <c r="W26" s="4">
        <v>0.11627081001923925</v>
      </c>
      <c r="X26" s="4">
        <v>4.1536743916413585E-2</v>
      </c>
      <c r="Y26" s="4">
        <v>2.8362068615276699E-3</v>
      </c>
      <c r="Z26" s="4">
        <v>5.3708429968384961E-3</v>
      </c>
      <c r="AA26" s="4">
        <v>3.7056194860121873E-5</v>
      </c>
      <c r="AB26" s="4">
        <v>6.5605506718240141E-5</v>
      </c>
      <c r="AC26" s="4">
        <v>1.3007044448936161E-6</v>
      </c>
      <c r="AD26" s="4">
        <v>1.5576175077368564E-6</v>
      </c>
      <c r="AE26" s="4">
        <v>2.0108555808947754E-8</v>
      </c>
      <c r="AF26" s="4">
        <v>4.780929401755387E-9</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-686.5292930156611</v>
      </c>
      <c r="D27" s="4">
        <v>-4.75603388717985</v>
      </c>
      <c r="E27" s="4">
        <v>-0.95742250982901844</v>
      </c>
      <c r="F27" s="4">
        <v>-45.782895539167846</v>
      </c>
      <c r="G27" s="4">
        <v>-21.385488027960868</v>
      </c>
      <c r="H27" s="4">
        <v>-73.962824736554452</v>
      </c>
      <c r="I27" s="4">
        <v>-126.72058507325131</v>
      </c>
      <c r="J27" s="4">
        <v>-306.92034968970421</v>
      </c>
      <c r="K27" s="4">
        <v>-146.99055505041946</v>
      </c>
      <c r="L27" s="4">
        <v>-365.61300447637427</v>
      </c>
      <c r="M27" s="4">
        <v>-40.711940540097615</v>
      </c>
      <c r="N27" s="4">
        <v>-233.1744125269598</v>
      </c>
      <c r="O27" s="4">
        <v>40.791692731392828</v>
      </c>
      <c r="P27" s="4">
        <v>-56.138015330331562</v>
      </c>
      <c r="Q27" s="4">
        <v>1.6230069787931765</v>
      </c>
      <c r="R27" s="4">
        <v>-2.5751989224884304</v>
      </c>
      <c r="S27" s="4">
        <v>0.87016975094878746</v>
      </c>
      <c r="T27" s="4">
        <v>7.4264315971932939</v>
      </c>
      <c r="U27" s="4">
        <v>0.37154302369875386</v>
      </c>
      <c r="V27" s="4">
        <v>1.2714615301770908</v>
      </c>
      <c r="W27" s="4">
        <v>0.18963325563070202</v>
      </c>
      <c r="X27" s="4">
        <v>7.088099259427165E-2</v>
      </c>
      <c r="Y27" s="4">
        <v>5.0653275793628447E-3</v>
      </c>
      <c r="Z27" s="4">
        <v>1.0041638423795149E-2</v>
      </c>
      <c r="AA27" s="4">
        <v>7.254994708329204E-5</v>
      </c>
      <c r="AB27" s="4">
        <v>1.3454076532067795E-4</v>
      </c>
      <c r="AC27" s="4">
        <v>2.7948225266293252E-6</v>
      </c>
      <c r="AD27" s="4">
        <v>3.5077181161512961E-6</v>
      </c>
      <c r="AE27" s="4">
        <v>4.7474546888117719E-8</v>
      </c>
      <c r="AF27" s="4">
        <v>1.1836895131015332E-8</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-656.05633825919404</v>
      </c>
      <c r="D28" s="4">
        <v>-3.3835176991946807</v>
      </c>
      <c r="E28" s="4">
        <v>-0.7094266666324508</v>
      </c>
      <c r="F28" s="4">
        <v>-35.341365322267656</v>
      </c>
      <c r="G28" s="4">
        <v>-17.201736791301702</v>
      </c>
      <c r="H28" s="4">
        <v>-62.006557706351664</v>
      </c>
      <c r="I28" s="4">
        <v>-110.74938347864681</v>
      </c>
      <c r="J28" s="4">
        <v>-279.69838477360503</v>
      </c>
      <c r="K28" s="4">
        <v>-139.7092164352924</v>
      </c>
      <c r="L28" s="4">
        <v>-362.51916907464084</v>
      </c>
      <c r="M28" s="4">
        <v>-42.121940781229995</v>
      </c>
      <c r="N28" s="4">
        <v>-251.7963189567914</v>
      </c>
      <c r="O28" s="4">
        <v>45.986251430681079</v>
      </c>
      <c r="P28" s="4">
        <v>-66.085811459131548</v>
      </c>
      <c r="Q28" s="4">
        <v>1.9956058956233516</v>
      </c>
      <c r="R28" s="4">
        <v>-3.3080950261310633</v>
      </c>
      <c r="S28" s="4">
        <v>1.1681398568498864</v>
      </c>
      <c r="T28" s="4">
        <v>10.420939487013094</v>
      </c>
      <c r="U28" s="4">
        <v>0.54511121220069891</v>
      </c>
      <c r="V28" s="4">
        <v>1.9509375905940205</v>
      </c>
      <c r="W28" s="4">
        <v>0.30439324209846069</v>
      </c>
      <c r="X28" s="4">
        <v>0.11905516720560114</v>
      </c>
      <c r="Y28" s="4">
        <v>8.9051855000827854E-3</v>
      </c>
      <c r="Z28" s="4">
        <v>1.8483212505876655E-2</v>
      </c>
      <c r="AA28" s="4">
        <v>1.3985221956123219E-4</v>
      </c>
      <c r="AB28" s="4">
        <v>2.7168708006983233E-4</v>
      </c>
      <c r="AC28" s="4">
        <v>5.9139429208549985E-6</v>
      </c>
      <c r="AD28" s="4">
        <v>7.780041425410162E-6</v>
      </c>
      <c r="AE28" s="4">
        <v>1.1040290423994656E-7</v>
      </c>
      <c r="AF28" s="4">
        <v>2.8870190391783702E-8</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-620.46697982560477</v>
      </c>
      <c r="D29" s="4">
        <v>-2.3643952044340213</v>
      </c>
      <c r="E29" s="4">
        <v>-0.51639203559582347</v>
      </c>
      <c r="F29" s="4">
        <v>-26.802284005975196</v>
      </c>
      <c r="G29" s="4">
        <v>-13.594847104449808</v>
      </c>
      <c r="H29" s="4">
        <v>-51.080055047709664</v>
      </c>
      <c r="I29" s="4">
        <v>-95.118719521414135</v>
      </c>
      <c r="J29" s="4">
        <v>-250.51049088558742</v>
      </c>
      <c r="K29" s="4">
        <v>-130.51900498788291</v>
      </c>
      <c r="L29" s="4">
        <v>-353.34178929724743</v>
      </c>
      <c r="M29" s="4">
        <v>-42.844145040350092</v>
      </c>
      <c r="N29" s="4">
        <v>-267.33541083307324</v>
      </c>
      <c r="O29" s="4">
        <v>50.97594030904397</v>
      </c>
      <c r="P29" s="4">
        <v>-76.503785302234078</v>
      </c>
      <c r="Q29" s="4">
        <v>2.4132121877626971</v>
      </c>
      <c r="R29" s="4">
        <v>-4.1797910863643981</v>
      </c>
      <c r="S29" s="4">
        <v>1.5425470603601015</v>
      </c>
      <c r="T29" s="4">
        <v>14.385662002784585</v>
      </c>
      <c r="U29" s="4">
        <v>0.78686682324269763</v>
      </c>
      <c r="V29" s="4">
        <v>2.9455590341298437</v>
      </c>
      <c r="W29" s="4">
        <v>0.48082170417064268</v>
      </c>
      <c r="X29" s="4">
        <v>0.19680669841460247</v>
      </c>
      <c r="Y29" s="4">
        <v>1.5409780677130568E-2</v>
      </c>
      <c r="Z29" s="4">
        <v>3.3489876496096915E-2</v>
      </c>
      <c r="AA29" s="4">
        <v>2.6540571677176848E-4</v>
      </c>
      <c r="AB29" s="4">
        <v>5.4017992415713646E-4</v>
      </c>
      <c r="AC29" s="4">
        <v>1.2322544074391954E-5</v>
      </c>
      <c r="AD29" s="4">
        <v>1.6993615012078636E-5</v>
      </c>
      <c r="AE29" s="4">
        <v>2.528677147927981E-7</v>
      </c>
      <c r="AF29" s="4">
        <v>6.9358801489612187E-8</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-580.24424997756785</v>
      </c>
      <c r="D30" s="4">
        <v>-1.6227349988307476</v>
      </c>
      <c r="E30" s="4">
        <v>-0.36920511211297002</v>
      </c>
      <c r="F30" s="4">
        <v>-19.967186586719663</v>
      </c>
      <c r="G30" s="4">
        <v>-10.555373699883363</v>
      </c>
      <c r="H30" s="4">
        <v>-41.34311893275536</v>
      </c>
      <c r="I30" s="4">
        <v>-80.273081234855042</v>
      </c>
      <c r="J30" s="4">
        <v>-220.48674198520985</v>
      </c>
      <c r="K30" s="4">
        <v>-119.83526122086974</v>
      </c>
      <c r="L30" s="4">
        <v>-338.50338255098472</v>
      </c>
      <c r="M30" s="4">
        <v>-42.837154074444328</v>
      </c>
      <c r="N30" s="4">
        <v>-279.03064398171034</v>
      </c>
      <c r="O30" s="4">
        <v>55.556298539267956</v>
      </c>
      <c r="P30" s="4">
        <v>-87.082563699102749</v>
      </c>
      <c r="Q30" s="4">
        <v>2.8696758127169213</v>
      </c>
      <c r="R30" s="4">
        <v>-5.1938694567948636</v>
      </c>
      <c r="S30" s="4">
        <v>2.0034816530843775</v>
      </c>
      <c r="T30" s="4">
        <v>19.534394967192153</v>
      </c>
      <c r="U30" s="4">
        <v>1.1173996051131476</v>
      </c>
      <c r="V30" s="4">
        <v>4.3754984237502832</v>
      </c>
      <c r="W30" s="4">
        <v>0.74733120650439244</v>
      </c>
      <c r="X30" s="4">
        <v>0.32015207281559677</v>
      </c>
      <c r="Y30" s="4">
        <v>2.6243384882498885E-2</v>
      </c>
      <c r="Z30" s="4">
        <v>5.9726202694135366E-2</v>
      </c>
      <c r="AA30" s="4">
        <v>4.9580635915423587E-4</v>
      </c>
      <c r="AB30" s="4">
        <v>1.0573401509723919E-3</v>
      </c>
      <c r="AC30" s="4">
        <v>2.5279976701983162E-5</v>
      </c>
      <c r="AD30" s="4">
        <v>3.6550150746279921E-5</v>
      </c>
      <c r="AE30" s="4">
        <v>5.7036463122242037E-7</v>
      </c>
      <c r="AF30" s="4">
        <v>1.6411448336541765E-7</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-535.91646118372989</v>
      </c>
      <c r="D31" s="4">
        <v>-1.0937005490180594</v>
      </c>
      <c r="E31" s="4">
        <v>-0.25925048705007991</v>
      </c>
      <c r="F31" s="4">
        <v>-14.610540509970052</v>
      </c>
      <c r="G31" s="4">
        <v>-8.050411609675292</v>
      </c>
      <c r="H31" s="4">
        <v>-32.873154339321182</v>
      </c>
      <c r="I31" s="4">
        <v>-66.558179573091167</v>
      </c>
      <c r="J31" s="4">
        <v>-190.68131411179985</v>
      </c>
      <c r="K31" s="4">
        <v>-108.12007922976468</v>
      </c>
      <c r="L31" s="4">
        <v>-318.70132804399265</v>
      </c>
      <c r="M31" s="4">
        <v>-42.096387048511048</v>
      </c>
      <c r="N31" s="4">
        <v>-286.27595353258306</v>
      </c>
      <c r="O31" s="4">
        <v>59.522563865934778</v>
      </c>
      <c r="P31" s="4">
        <v>-97.454683642870734</v>
      </c>
      <c r="Q31" s="4">
        <v>3.3553404948399774</v>
      </c>
      <c r="R31" s="4">
        <v>-6.3465451571449094</v>
      </c>
      <c r="S31" s="4">
        <v>2.5590921065153491</v>
      </c>
      <c r="T31" s="4">
        <v>26.089613380076596</v>
      </c>
      <c r="U31" s="4">
        <v>1.5608371194726005</v>
      </c>
      <c r="V31" s="4">
        <v>6.3940144382773907</v>
      </c>
      <c r="W31" s="4">
        <v>1.1428078262113497</v>
      </c>
      <c r="X31" s="4">
        <v>0.5124468369746763</v>
      </c>
      <c r="Y31" s="4">
        <v>4.398094870522614E-2</v>
      </c>
      <c r="Z31" s="4">
        <v>0.10482941996384158</v>
      </c>
      <c r="AA31" s="4">
        <v>9.11646946991884E-4</v>
      </c>
      <c r="AB31" s="4">
        <v>2.0372761896529164E-3</v>
      </c>
      <c r="AC31" s="4">
        <v>5.1057350637479822E-5</v>
      </c>
      <c r="AD31" s="4">
        <v>7.7400647257343803E-5</v>
      </c>
      <c r="AE31" s="4">
        <v>1.2668080391882962E-6</v>
      </c>
      <c r="AF31" s="4">
        <v>3.8241820260037012E-7</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-488.02871693500759</v>
      </c>
      <c r="D32" s="4">
        <v>-0.72380152065454761</v>
      </c>
      <c r="E32" s="4">
        <v>-0.1787649145002351</v>
      </c>
      <c r="F32" s="4">
        <v>-10.499468959286087</v>
      </c>
      <c r="G32" s="4">
        <v>-6.0305266488968776</v>
      </c>
      <c r="H32" s="4">
        <v>-25.67517816578605</v>
      </c>
      <c r="I32" s="4">
        <v>-54.21361558847628</v>
      </c>
      <c r="J32" s="4">
        <v>-162.01340422993965</v>
      </c>
      <c r="K32" s="4">
        <v>-95.848912797566129</v>
      </c>
      <c r="L32" s="4">
        <v>-294.85332418596124</v>
      </c>
      <c r="M32" s="4">
        <v>-40.654886885209578</v>
      </c>
      <c r="N32" s="4">
        <v>-288.67170914961071</v>
      </c>
      <c r="O32" s="4">
        <v>62.684367782648657</v>
      </c>
      <c r="P32" s="4">
        <v>-107.21280880242868</v>
      </c>
      <c r="Q32" s="4">
        <v>3.8570583635715212</v>
      </c>
      <c r="R32" s="4">
        <v>-7.62505929230052</v>
      </c>
      <c r="S32" s="4">
        <v>3.2143256945631893</v>
      </c>
      <c r="T32" s="4">
        <v>34.267538095782292</v>
      </c>
      <c r="U32" s="4">
        <v>2.1443647794764886</v>
      </c>
      <c r="V32" s="4">
        <v>9.1908651468838816</v>
      </c>
      <c r="W32" s="4">
        <v>1.7191546745559425</v>
      </c>
      <c r="X32" s="4">
        <v>0.80699009065801519</v>
      </c>
      <c r="Y32" s="4">
        <v>7.2523995788155327E-2</v>
      </c>
      <c r="Z32" s="4">
        <v>0.18105879551375417</v>
      </c>
      <c r="AA32" s="4">
        <v>1.6497019738710315E-3</v>
      </c>
      <c r="AB32" s="4">
        <v>3.8636311496087761E-3</v>
      </c>
      <c r="AC32" s="4">
        <v>1.0150725275330554E-4</v>
      </c>
      <c r="AD32" s="4">
        <v>1.6136306085965613E-4</v>
      </c>
      <c r="AE32" s="4">
        <v>2.7702588980055376E-6</v>
      </c>
      <c r="AF32" s="4">
        <v>8.7746345206003732E-7</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-437.11616093283374</v>
      </c>
      <c r="D33" s="4">
        <v>-0.47028083878394344</v>
      </c>
      <c r="E33" s="4">
        <v>-0.12103263903055314</v>
      </c>
      <c r="F33" s="4">
        <v>-7.4091246251624243</v>
      </c>
      <c r="G33" s="4">
        <v>-4.4364147045057853</v>
      </c>
      <c r="H33" s="4">
        <v>-19.695487942389299</v>
      </c>
      <c r="I33" s="4">
        <v>-43.374869394319077</v>
      </c>
      <c r="J33" s="4">
        <v>-135.22548275609688</v>
      </c>
      <c r="K33" s="4">
        <v>-83.478560747485531</v>
      </c>
      <c r="L33" s="4">
        <v>-268.02634846046197</v>
      </c>
      <c r="M33" s="4">
        <v>-38.580923174034879</v>
      </c>
      <c r="N33" s="4">
        <v>-286.06080911897953</v>
      </c>
      <c r="O33" s="4">
        <v>64.880585517251632</v>
      </c>
      <c r="P33" s="4">
        <v>-115.93428120042849</v>
      </c>
      <c r="Q33" s="4">
        <v>4.3585362866716828</v>
      </c>
      <c r="R33" s="4">
        <v>-9.0065356686343918</v>
      </c>
      <c r="S33" s="4">
        <v>3.9695991166152949</v>
      </c>
      <c r="T33" s="4">
        <v>44.258362490703007</v>
      </c>
      <c r="U33" s="4">
        <v>2.8972205229626291</v>
      </c>
      <c r="V33" s="4">
        <v>12.993491823723033</v>
      </c>
      <c r="W33" s="4">
        <v>2.5438328109259132</v>
      </c>
      <c r="X33" s="4">
        <v>1.2501579504244149</v>
      </c>
      <c r="Y33" s="4">
        <v>0.1176581090132114</v>
      </c>
      <c r="Z33" s="4">
        <v>0.30769827920020176</v>
      </c>
      <c r="AA33" s="4">
        <v>2.9376467494396257E-3</v>
      </c>
      <c r="AB33" s="4">
        <v>7.2111283554770591E-3</v>
      </c>
      <c r="AC33" s="4">
        <v>1.9862985768503736E-4</v>
      </c>
      <c r="AD33" s="4">
        <v>3.3114594886215001E-4</v>
      </c>
      <c r="AE33" s="4">
        <v>5.9639380980652754E-6</v>
      </c>
      <c r="AF33" s="4">
        <v>1.9823049504265239E-6</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-383.68151573328174</v>
      </c>
      <c r="D34" s="4">
        <v>-0.29995621163152369</v>
      </c>
      <c r="E34" s="4">
        <v>-8.0450078257658458E-2</v>
      </c>
      <c r="F34" s="4">
        <v>-5.133474468137587</v>
      </c>
      <c r="G34" s="4">
        <v>-3.2047590752714195</v>
      </c>
      <c r="H34" s="4">
        <v>-14.837065685453739</v>
      </c>
      <c r="I34" s="4">
        <v>-34.083003166658941</v>
      </c>
      <c r="J34" s="4">
        <v>-110.86082417059605</v>
      </c>
      <c r="K34" s="4">
        <v>-71.419535458581208</v>
      </c>
      <c r="L34" s="4">
        <v>-239.3568340476069</v>
      </c>
      <c r="M34" s="4">
        <v>-35.972628180683017</v>
      </c>
      <c r="N34" s="4">
        <v>-278.54492733527144</v>
      </c>
      <c r="O34" s="4">
        <v>65.992765012007425</v>
      </c>
      <c r="P34" s="4">
        <v>-123.21020434639554</v>
      </c>
      <c r="Q34" s="4">
        <v>4.8410383968492949</v>
      </c>
      <c r="R34" s="4">
        <v>-10.457545972378362</v>
      </c>
      <c r="S34" s="4">
        <v>4.8195356122858497</v>
      </c>
      <c r="T34" s="4">
        <v>56.20230452632741</v>
      </c>
      <c r="U34" s="4">
        <v>3.8490683262472065</v>
      </c>
      <c r="V34" s="4">
        <v>18.064736956745843</v>
      </c>
      <c r="W34" s="4">
        <v>3.702063197515626</v>
      </c>
      <c r="X34" s="4">
        <v>1.9049731844482147</v>
      </c>
      <c r="Y34" s="4">
        <v>0.18777389598528824</v>
      </c>
      <c r="Z34" s="4">
        <v>0.51445799242247159</v>
      </c>
      <c r="AA34" s="4">
        <v>5.1470636477369235E-3</v>
      </c>
      <c r="AB34" s="4">
        <v>1.3244130466852425E-2</v>
      </c>
      <c r="AC34" s="4">
        <v>3.8251784649463689E-4</v>
      </c>
      <c r="AD34" s="4">
        <v>6.6887017595456256E-4</v>
      </c>
      <c r="AE34" s="4">
        <v>1.263864757877191E-5</v>
      </c>
      <c r="AF34" s="4">
        <v>4.408740628862561E-6</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-328.1789485727254</v>
      </c>
      <c r="D35" s="4">
        <v>-0.18778755962553181</v>
      </c>
      <c r="E35" s="4">
        <v>-5.2492828804510012E-2</v>
      </c>
      <c r="F35" s="4">
        <v>-3.4917796544892612</v>
      </c>
      <c r="G35" s="4">
        <v>-2.272956675807615</v>
      </c>
      <c r="H35" s="4">
        <v>-10.974977748648946</v>
      </c>
      <c r="I35" s="4">
        <v>-26.299890904062917</v>
      </c>
      <c r="J35" s="4">
        <v>-89.259896425811775</v>
      </c>
      <c r="K35" s="4">
        <v>-60.015072372531819</v>
      </c>
      <c r="L35" s="4">
        <v>-209.97045473999162</v>
      </c>
      <c r="M35" s="4">
        <v>-32.950252565975973</v>
      </c>
      <c r="N35" s="4">
        <v>-266.47865340219721</v>
      </c>
      <c r="O35" s="4">
        <v>65.955599303417898</v>
      </c>
      <c r="P35" s="4">
        <v>-128.67643301002056</v>
      </c>
      <c r="Q35" s="4">
        <v>5.284427238631868</v>
      </c>
      <c r="R35" s="4">
        <v>-11.934592177429895</v>
      </c>
      <c r="S35" s="4">
        <v>5.7519359876279905</v>
      </c>
      <c r="T35" s="4">
        <v>70.162974118838505</v>
      </c>
      <c r="U35" s="4">
        <v>5.0277052911470763</v>
      </c>
      <c r="V35" s="4">
        <v>24.695785233641619</v>
      </c>
      <c r="W35" s="4">
        <v>5.2982214121645308</v>
      </c>
      <c r="X35" s="4">
        <v>2.8548921746453857</v>
      </c>
      <c r="Y35" s="4">
        <v>0.29476204693758856</v>
      </c>
      <c r="Z35" s="4">
        <v>0.84614379348207336</v>
      </c>
      <c r="AA35" s="4">
        <v>8.8722874446284863E-3</v>
      </c>
      <c r="AB35" s="4">
        <v>2.3933529709871424E-2</v>
      </c>
      <c r="AC35" s="4">
        <v>7.2488518370737482E-4</v>
      </c>
      <c r="AD35" s="4">
        <v>1.3296034519732162E-3</v>
      </c>
      <c r="AE35" s="4">
        <v>2.636172725850921E-5</v>
      </c>
      <c r="AF35" s="4">
        <v>9.6518948496116799E-6</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-271.00552647517731</v>
      </c>
      <c r="D36" s="4">
        <v>-0.11537967254662237</v>
      </c>
      <c r="E36" s="4">
        <v>-3.3617727665774783E-2</v>
      </c>
      <c r="F36" s="4">
        <v>-2.3314102123553182</v>
      </c>
      <c r="G36" s="4">
        <v>-1.5825781531819629</v>
      </c>
      <c r="H36" s="4">
        <v>-7.9703893868501101</v>
      </c>
      <c r="I36" s="4">
        <v>-19.926570368199005</v>
      </c>
      <c r="J36" s="4">
        <v>-70.573176100985364</v>
      </c>
      <c r="K36" s="4">
        <v>-49.528067568806335</v>
      </c>
      <c r="L36" s="4">
        <v>-180.90944810648466</v>
      </c>
      <c r="M36" s="4">
        <v>-29.646896603496376</v>
      </c>
      <c r="N36" s="4">
        <v>-250.44188377541263</v>
      </c>
      <c r="O36" s="4">
        <v>64.763167781716106</v>
      </c>
      <c r="P36" s="4">
        <v>-132.04329936765521</v>
      </c>
      <c r="Q36" s="4">
        <v>5.6684789873505856</v>
      </c>
      <c r="R36" s="4">
        <v>-13.385637773498448</v>
      </c>
      <c r="S36" s="4">
        <v>6.7471645199649437</v>
      </c>
      <c r="T36" s="4">
        <v>86.100414872260629</v>
      </c>
      <c r="U36" s="4">
        <v>6.4561355670662248</v>
      </c>
      <c r="V36" s="4">
        <v>33.193128724277365</v>
      </c>
      <c r="W36" s="4">
        <v>7.4558355445670745</v>
      </c>
      <c r="X36" s="4">
        <v>4.2074267001767778</v>
      </c>
      <c r="Y36" s="4">
        <v>0.45507214911403221</v>
      </c>
      <c r="Z36" s="4">
        <v>1.3688548468946966</v>
      </c>
      <c r="AA36" s="4">
        <v>1.5044492688601484E-2</v>
      </c>
      <c r="AB36" s="4">
        <v>4.2550349531440552E-2</v>
      </c>
      <c r="AC36" s="4">
        <v>1.351597282774426E-3</v>
      </c>
      <c r="AD36" s="4">
        <v>2.6008229432440987E-3</v>
      </c>
      <c r="AE36" s="4">
        <v>5.4113242448370423E-5</v>
      </c>
      <c r="AF36" s="4">
        <v>2.0797706225598215E-5</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-212.5005786520577</v>
      </c>
      <c r="D37" s="4">
        <v>-6.9564872590917384E-2</v>
      </c>
      <c r="E37" s="4">
        <v>-2.1128879986487239E-2</v>
      </c>
      <c r="F37" s="4">
        <v>-1.5278195545733457</v>
      </c>
      <c r="G37" s="4">
        <v>-1.0815900137124703</v>
      </c>
      <c r="H37" s="4">
        <v>-5.6822605389843961</v>
      </c>
      <c r="I37" s="4">
        <v>-14.822427408396665</v>
      </c>
      <c r="J37" s="4">
        <v>-54.786530552655982</v>
      </c>
      <c r="K37" s="4">
        <v>-40.136195992877312</v>
      </c>
      <c r="L37" s="4">
        <v>-153.07393608631884</v>
      </c>
      <c r="M37" s="4">
        <v>-26.198720324295891</v>
      </c>
      <c r="N37" s="4">
        <v>-231.19343720801515</v>
      </c>
      <c r="O37" s="4">
        <v>62.470128889089956</v>
      </c>
      <c r="P37" s="4">
        <v>-133.12075807833008</v>
      </c>
      <c r="Q37" s="4">
        <v>5.9743633105235547</v>
      </c>
      <c r="R37" s="4">
        <v>-14.752706070635806</v>
      </c>
      <c r="S37" s="4">
        <v>7.7781196296067243</v>
      </c>
      <c r="T37" s="4">
        <v>103.84695133943094</v>
      </c>
      <c r="U37" s="4">
        <v>8.1491475209742408</v>
      </c>
      <c r="V37" s="4">
        <v>43.858722488982465</v>
      </c>
      <c r="W37" s="4">
        <v>10.315516386159572</v>
      </c>
      <c r="X37" s="4">
        <v>6.0970270195334137</v>
      </c>
      <c r="Y37" s="4">
        <v>0.69089208684692227</v>
      </c>
      <c r="Z37" s="4">
        <v>2.1779039859583991</v>
      </c>
      <c r="AA37" s="4">
        <v>2.509196791055136E-2</v>
      </c>
      <c r="AB37" s="4">
        <v>7.4415286479030451E-2</v>
      </c>
      <c r="AC37" s="4">
        <v>2.4793380910307036E-3</v>
      </c>
      <c r="AD37" s="4">
        <v>5.0056191452298032E-3</v>
      </c>
      <c r="AE37" s="4">
        <v>1.0930497297551688E-4</v>
      </c>
      <c r="AF37" s="4">
        <v>4.4103552934214746E-5</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-152.95229241771798</v>
      </c>
      <c r="D38" s="4">
        <v>-4.1152205024163599E-2</v>
      </c>
      <c r="E38" s="4">
        <v>-1.3030730135068828E-2</v>
      </c>
      <c r="F38" s="4">
        <v>-0.98254294404057751</v>
      </c>
      <c r="G38" s="4">
        <v>-0.72548504022172311</v>
      </c>
      <c r="H38" s="4">
        <v>-3.9762478830271406</v>
      </c>
      <c r="I38" s="4">
        <v>-10.823294087753387</v>
      </c>
      <c r="J38" s="4">
        <v>-41.754584944756608</v>
      </c>
      <c r="K38" s="4">
        <v>-31.934520039573425</v>
      </c>
      <c r="L38" s="4">
        <v>-127.18150924231713</v>
      </c>
      <c r="M38" s="4">
        <v>-22.735643537994996</v>
      </c>
      <c r="N38" s="4">
        <v>-209.61107754090855</v>
      </c>
      <c r="O38" s="4">
        <v>59.18763886057728</v>
      </c>
      <c r="P38" s="4">
        <v>-131.83594908531293</v>
      </c>
      <c r="Q38" s="4">
        <v>6.1861434265319977</v>
      </c>
      <c r="R38" s="4">
        <v>-15.975426135732505</v>
      </c>
      <c r="S38" s="4">
        <v>8.8109190681995937</v>
      </c>
      <c r="T38" s="4">
        <v>123.08947890772981</v>
      </c>
      <c r="U38" s="4">
        <v>10.109648592469847</v>
      </c>
      <c r="V38" s="4">
        <v>56.963156203274941</v>
      </c>
      <c r="W38" s="4">
        <v>14.030143685171357</v>
      </c>
      <c r="X38" s="4">
        <v>8.6864567760024798</v>
      </c>
      <c r="Y38" s="4">
        <v>1.0313591672411482</v>
      </c>
      <c r="Z38" s="4">
        <v>3.4075078879399978</v>
      </c>
      <c r="AA38" s="4">
        <v>4.1158169444726792E-2</v>
      </c>
      <c r="AB38" s="4">
        <v>0.12800677906670946</v>
      </c>
      <c r="AC38" s="4">
        <v>4.4738756675027306E-3</v>
      </c>
      <c r="AD38" s="4">
        <v>9.477913953095933E-3</v>
      </c>
      <c r="AE38" s="4">
        <v>2.1723648065118478E-4</v>
      </c>
      <c r="AF38" s="4">
        <v>9.2031611125899344E-5</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-92.609962959632725</v>
      </c>
      <c r="D39" s="4">
        <v>-2.3882643592794225E-2</v>
      </c>
      <c r="E39" s="4">
        <v>-7.8847715922939123E-3</v>
      </c>
      <c r="F39" s="4">
        <v>-0.62001366155079707</v>
      </c>
      <c r="G39" s="4">
        <v>-0.47753683169355454</v>
      </c>
      <c r="H39" s="4">
        <v>-2.7307440063171744</v>
      </c>
      <c r="I39" s="4">
        <v>-7.7570691294618417</v>
      </c>
      <c r="J39" s="4">
        <v>-31.237459179696422</v>
      </c>
      <c r="K39" s="4">
        <v>-24.94417009007423</v>
      </c>
      <c r="L39" s="4">
        <v>-103.74680861254772</v>
      </c>
      <c r="M39" s="4">
        <v>-19.373419492993154</v>
      </c>
      <c r="N39" s="4">
        <v>-186.62459428829834</v>
      </c>
      <c r="O39" s="4">
        <v>55.074410352945463</v>
      </c>
      <c r="P39" s="4">
        <v>-128.2409450407367</v>
      </c>
      <c r="Q39" s="4">
        <v>6.292133865233982</v>
      </c>
      <c r="R39" s="4">
        <v>-16.995263690604503</v>
      </c>
      <c r="S39" s="4">
        <v>9.8063602466431163</v>
      </c>
      <c r="T39" s="4">
        <v>143.36190468762433</v>
      </c>
      <c r="U39" s="4">
        <v>12.325128799488571</v>
      </c>
      <c r="V39" s="4">
        <v>72.712619262347758</v>
      </c>
      <c r="W39" s="4">
        <v>18.756740424628266</v>
      </c>
      <c r="X39" s="4">
        <v>12.165725574569734</v>
      </c>
      <c r="Y39" s="4">
        <v>1.5136569002401001</v>
      </c>
      <c r="Z39" s="4">
        <v>5.2420369815841648</v>
      </c>
      <c r="AA39" s="4">
        <v>6.6388065091716117E-2</v>
      </c>
      <c r="AB39" s="4">
        <v>0.216553032613268</v>
      </c>
      <c r="AC39" s="4">
        <v>7.9403694185861788E-3</v>
      </c>
      <c r="AD39" s="4">
        <v>1.7653255675898243E-2</v>
      </c>
      <c r="AE39" s="4">
        <v>4.2474809717477405E-4</v>
      </c>
      <c r="AF39" s="4">
        <v>1.8895369196778183E-4</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-31.699626456141253</v>
      </c>
      <c r="D40" s="4">
        <v>-1.359568598247006E-2</v>
      </c>
      <c r="E40" s="4">
        <v>-4.6803791987627338E-3</v>
      </c>
      <c r="F40" s="4">
        <v>-0.38385294625314126</v>
      </c>
      <c r="G40" s="4">
        <v>-0.30841945319311737</v>
      </c>
      <c r="H40" s="4">
        <v>-1.8402965545385777</v>
      </c>
      <c r="I40" s="4">
        <v>-5.4560481550581077</v>
      </c>
      <c r="J40" s="4">
        <v>-22.936800940297974</v>
      </c>
      <c r="K40" s="4">
        <v>-19.125238629216561</v>
      </c>
      <c r="L40" s="4">
        <v>-83.080370253942704</v>
      </c>
      <c r="M40" s="4">
        <v>-16.207731490497416</v>
      </c>
      <c r="N40" s="4">
        <v>-163.14910912200634</v>
      </c>
      <c r="O40" s="4">
        <v>50.323912340681488</v>
      </c>
      <c r="P40" s="4">
        <v>-122.50957718797054</v>
      </c>
      <c r="Q40" s="4">
        <v>6.2859572508017489</v>
      </c>
      <c r="R40" s="4">
        <v>-17.760048775144185</v>
      </c>
      <c r="S40" s="4">
        <v>10.722123875168402</v>
      </c>
      <c r="T40" s="4">
        <v>164.05095344186407</v>
      </c>
      <c r="U40" s="4">
        <v>14.764717169695423</v>
      </c>
      <c r="V40" s="4">
        <v>91.211617721563613</v>
      </c>
      <c r="W40" s="4">
        <v>24.644719801380845</v>
      </c>
      <c r="X40" s="4">
        <v>16.747560605978993</v>
      </c>
      <c r="Y40" s="4">
        <v>2.1837873826476413</v>
      </c>
      <c r="Z40" s="4">
        <v>7.9282288855759591</v>
      </c>
      <c r="AA40" s="4">
        <v>0.10528939819582726</v>
      </c>
      <c r="AB40" s="4">
        <v>0.36025027370398477</v>
      </c>
      <c r="AC40" s="4">
        <v>1.3859725539929381E-2</v>
      </c>
      <c r="AD40" s="4">
        <v>3.2340197074420762E-2</v>
      </c>
      <c r="AE40" s="4">
        <v>8.1693011961979519E-4</v>
      </c>
      <c r="AF40" s="4">
        <v>3.8166102545936356E-4</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29.55956383939008</v>
      </c>
      <c r="D41" s="4">
        <v>-7.5908792481354827E-3</v>
      </c>
      <c r="E41" s="4">
        <v>-2.7251317683359686E-3</v>
      </c>
      <c r="F41" s="4">
        <v>-0.23312324635694348</v>
      </c>
      <c r="G41" s="4">
        <v>-0.19542337534855395</v>
      </c>
      <c r="H41" s="4">
        <v>-1.2168512795081425</v>
      </c>
      <c r="I41" s="4">
        <v>-3.7656923738356443</v>
      </c>
      <c r="J41" s="4">
        <v>-16.527972636710377</v>
      </c>
      <c r="K41" s="4">
        <v>-14.391895224169874</v>
      </c>
      <c r="L41" s="4">
        <v>-65.303941570929055</v>
      </c>
      <c r="M41" s="4">
        <v>-13.310663304063834</v>
      </c>
      <c r="N41" s="4">
        <v>-140.02530286814039</v>
      </c>
      <c r="O41" s="4">
        <v>45.149156985595447</v>
      </c>
      <c r="P41" s="4">
        <v>-114.9235570142361</v>
      </c>
      <c r="Q41" s="4">
        <v>6.1671685632807245</v>
      </c>
      <c r="R41" s="4">
        <v>-18.228327742952139</v>
      </c>
      <c r="S41" s="4">
        <v>11.515584632334782</v>
      </c>
      <c r="T41" s="4">
        <v>184.41743799691787</v>
      </c>
      <c r="U41" s="4">
        <v>17.377341401281601</v>
      </c>
      <c r="V41" s="4">
        <v>112.42467604152107</v>
      </c>
      <c r="W41" s="4">
        <v>31.820601002864912</v>
      </c>
      <c r="X41" s="4">
        <v>22.658451061291554</v>
      </c>
      <c r="Y41" s="4">
        <v>3.0967475539051352</v>
      </c>
      <c r="Z41" s="4">
        <v>11.787251126743087</v>
      </c>
      <c r="AA41" s="4">
        <v>0.16416763398845732</v>
      </c>
      <c r="AB41" s="4">
        <v>0.58925182156318567</v>
      </c>
      <c r="AC41" s="4">
        <v>2.3788864769209384E-2</v>
      </c>
      <c r="AD41" s="4">
        <v>5.8265916408871944E-2</v>
      </c>
      <c r="AE41" s="4">
        <v>1.5454026527151141E-3</v>
      </c>
      <c r="AF41" s="4">
        <v>7.5832092912805113E-4</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90.940842817472657</v>
      </c>
      <c r="D42" s="4">
        <v>-4.1562108775070215E-3</v>
      </c>
      <c r="E42" s="4">
        <v>-1.5561484214972284E-3</v>
      </c>
      <c r="F42" s="4">
        <v>-0.13886924373862633</v>
      </c>
      <c r="G42" s="4">
        <v>-0.12146580004512657</v>
      </c>
      <c r="H42" s="4">
        <v>-0.78935644550686634</v>
      </c>
      <c r="I42" s="4">
        <v>-2.5500042023774849</v>
      </c>
      <c r="J42" s="4">
        <v>-11.686364437219812</v>
      </c>
      <c r="K42" s="4">
        <v>-10.627867865555599</v>
      </c>
      <c r="L42" s="4">
        <v>-50.378075767722635</v>
      </c>
      <c r="M42" s="4">
        <v>-10.729581858793292</v>
      </c>
      <c r="N42" s="4">
        <v>-117.97191983783878</v>
      </c>
      <c r="O42" s="4">
        <v>39.766753631203073</v>
      </c>
      <c r="P42" s="4">
        <v>-105.84942717201446</v>
      </c>
      <c r="Q42" s="4">
        <v>5.9413631595455483</v>
      </c>
      <c r="R42" s="4">
        <v>-18.373043401178162</v>
      </c>
      <c r="S42" s="4">
        <v>12.146991867699162</v>
      </c>
      <c r="T42" s="4">
        <v>203.63341189785592</v>
      </c>
      <c r="U42" s="4">
        <v>20.09147798008923</v>
      </c>
      <c r="V42" s="4">
        <v>136.1414214852972</v>
      </c>
      <c r="W42" s="4">
        <v>40.369846597824449</v>
      </c>
      <c r="X42" s="4">
        <v>30.124542976663609</v>
      </c>
      <c r="Y42" s="4">
        <v>4.3157918453744415</v>
      </c>
      <c r="Z42" s="4">
        <v>17.224874477969173</v>
      </c>
      <c r="AA42" s="4">
        <v>0.25162039380239637</v>
      </c>
      <c r="AB42" s="4">
        <v>0.9475485638949962</v>
      </c>
      <c r="AC42" s="4">
        <v>4.014630335190935E-2</v>
      </c>
      <c r="AD42" s="4">
        <v>0.1032258313664902</v>
      </c>
      <c r="AE42" s="4">
        <v>2.8750786280353287E-3</v>
      </c>
      <c r="AF42" s="4">
        <v>1.4819356694852318E-3</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152.19943189609774</v>
      </c>
      <c r="D43" s="4">
        <v>-2.2313074383080765E-3</v>
      </c>
      <c r="E43" s="4">
        <v>-8.7139202756595638E-4</v>
      </c>
      <c r="F43" s="4">
        <v>-8.1127586215692146E-2</v>
      </c>
      <c r="G43" s="4">
        <v>-7.4048572444199948E-2</v>
      </c>
      <c r="H43" s="4">
        <v>-0.50227018308965943</v>
      </c>
      <c r="I43" s="4">
        <v>-1.693983535298508</v>
      </c>
      <c r="J43" s="4">
        <v>-8.1069107034902199</v>
      </c>
      <c r="K43" s="4">
        <v>-7.7007772928072882</v>
      </c>
      <c r="L43" s="4">
        <v>-38.137164412127674</v>
      </c>
      <c r="M43" s="4">
        <v>-8.4881916014999117</v>
      </c>
      <c r="N43" s="4">
        <v>-97.553967631234343</v>
      </c>
      <c r="O43" s="4">
        <v>34.381905165059642</v>
      </c>
      <c r="P43" s="4">
        <v>-95.708976554867533</v>
      </c>
      <c r="Q43" s="4">
        <v>5.6197468086094711</v>
      </c>
      <c r="R43" s="4">
        <v>-18.184094141588723</v>
      </c>
      <c r="S43" s="4">
        <v>12.582704083226373</v>
      </c>
      <c r="T43" s="4">
        <v>220.83354845999614</v>
      </c>
      <c r="U43" s="4">
        <v>22.816873661801026</v>
      </c>
      <c r="V43" s="4">
        <v>161.9502543630343</v>
      </c>
      <c r="W43" s="4">
        <v>50.317127046830905</v>
      </c>
      <c r="X43" s="4">
        <v>39.352136350311888</v>
      </c>
      <c r="Y43" s="4">
        <v>5.9104513321471215</v>
      </c>
      <c r="Z43" s="4">
        <v>24.737352918983973</v>
      </c>
      <c r="AA43" s="4">
        <v>0.37905848429222339</v>
      </c>
      <c r="AB43" s="4">
        <v>1.49779667082207</v>
      </c>
      <c r="AC43" s="4">
        <v>6.6606605509801631E-2</v>
      </c>
      <c r="AD43" s="4">
        <v>0.17980901148091027</v>
      </c>
      <c r="AE43" s="4">
        <v>5.2596485605131259E-3</v>
      </c>
      <c r="AF43" s="4">
        <v>2.8480956587401854E-3</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213.06768504593867</v>
      </c>
      <c r="D44" s="4">
        <v>-1.1744077687531836E-3</v>
      </c>
      <c r="E44" s="4">
        <v>-4.7842814532139997E-4</v>
      </c>
      <c r="F44" s="4">
        <v>-4.6474502921578405E-2</v>
      </c>
      <c r="G44" s="4">
        <v>-4.4269687566200151E-2</v>
      </c>
      <c r="H44" s="4">
        <v>-0.31345293518222034</v>
      </c>
      <c r="I44" s="4">
        <v>-1.1038041796376148</v>
      </c>
      <c r="J44" s="4">
        <v>-5.5168352082973202</v>
      </c>
      <c r="K44" s="4">
        <v>-5.4742670916634877</v>
      </c>
      <c r="L44" s="4">
        <v>-28.327145715413735</v>
      </c>
      <c r="M44" s="4">
        <v>-6.5893107261456123</v>
      </c>
      <c r="N44" s="4">
        <v>-79.167833727419648</v>
      </c>
      <c r="O44" s="4">
        <v>29.175790070098291</v>
      </c>
      <c r="P44" s="4">
        <v>-84.946469627514489</v>
      </c>
      <c r="Q44" s="4">
        <v>5.2182127143717807</v>
      </c>
      <c r="R44" s="4">
        <v>-17.669439085392188</v>
      </c>
      <c r="S44" s="4">
        <v>12.798119446399312</v>
      </c>
      <c r="T44" s="4">
        <v>235.17691105896398</v>
      </c>
      <c r="U44" s="4">
        <v>25.448428400032149</v>
      </c>
      <c r="V44" s="4">
        <v>189.22599770110213</v>
      </c>
      <c r="W44" s="4">
        <v>61.606978491452068</v>
      </c>
      <c r="X44" s="4">
        <v>50.503247276245034</v>
      </c>
      <c r="Y44" s="4">
        <v>7.9530193180839177</v>
      </c>
      <c r="Z44" s="4">
        <v>34.910012751187807</v>
      </c>
      <c r="AA44" s="4">
        <v>0.56119644558711079</v>
      </c>
      <c r="AB44" s="4">
        <v>2.327027590888636</v>
      </c>
      <c r="AC44" s="4">
        <v>0.10862645700266782</v>
      </c>
      <c r="AD44" s="4">
        <v>0.30791488565443415</v>
      </c>
      <c r="AE44" s="4">
        <v>9.4604064894335191E-3</v>
      </c>
      <c r="AF44" s="4">
        <v>5.3824013867001001E-3</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273.25624526413515</v>
      </c>
      <c r="D45" s="4">
        <v>-6.0592224495161103E-4</v>
      </c>
      <c r="E45" s="4">
        <v>-2.5751435833388218E-4</v>
      </c>
      <c r="F45" s="4">
        <v>-2.6102727319000641E-2</v>
      </c>
      <c r="G45" s="4">
        <v>-2.5951635855874657E-2</v>
      </c>
      <c r="H45" s="4">
        <v>-0.19183136591965488</v>
      </c>
      <c r="I45" s="4">
        <v>-0.70539321683409151</v>
      </c>
      <c r="J45" s="4">
        <v>-3.6823522827592083</v>
      </c>
      <c r="K45" s="4">
        <v>-3.8173559234875993</v>
      </c>
      <c r="L45" s="4">
        <v>-20.641786792717266</v>
      </c>
      <c r="M45" s="4">
        <v>-5.018800225677702</v>
      </c>
      <c r="N45" s="4">
        <v>-63.042438359777911</v>
      </c>
      <c r="O45" s="4">
        <v>24.296364642283422</v>
      </c>
      <c r="P45" s="4">
        <v>-73.99626669251856</v>
      </c>
      <c r="Q45" s="4">
        <v>4.7560313978067805</v>
      </c>
      <c r="R45" s="4">
        <v>-16.854587185591686</v>
      </c>
      <c r="S45" s="4">
        <v>12.779952222467813</v>
      </c>
      <c r="T45" s="4">
        <v>245.91335289301225</v>
      </c>
      <c r="U45" s="4">
        <v>27.872169559019646</v>
      </c>
      <c r="V45" s="4">
        <v>217.13628950594875</v>
      </c>
      <c r="W45" s="4">
        <v>74.087367800379269</v>
      </c>
      <c r="X45" s="4">
        <v>63.66760390735233</v>
      </c>
      <c r="Y45" s="4">
        <v>10.513321923250624</v>
      </c>
      <c r="Z45" s="4">
        <v>48.405190989078378</v>
      </c>
      <c r="AA45" s="4">
        <v>0.81642756918532178</v>
      </c>
      <c r="AB45" s="4">
        <v>3.552985841672843</v>
      </c>
      <c r="AC45" s="4">
        <v>0.17411922207909417</v>
      </c>
      <c r="AD45" s="4">
        <v>0.51831351337292197</v>
      </c>
      <c r="AE45" s="4">
        <v>1.6728446913870473E-2</v>
      </c>
      <c r="AF45" s="4">
        <v>1.0000939508910459E-2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v>857.43039287171337</v>
      </c>
      <c r="C46" s="4">
        <v>332.46060583210783</v>
      </c>
      <c r="D46" s="4">
        <v>-3.0640346067232983E-4</v>
      </c>
      <c r="E46" s="4">
        <v>-1.358652147170373E-4</v>
      </c>
      <c r="F46" s="4">
        <v>-1.4372180744777328E-2</v>
      </c>
      <c r="G46" s="4">
        <v>-1.4915315935485644E-2</v>
      </c>
      <c r="H46" s="4">
        <v>-0.11511193646303201</v>
      </c>
      <c r="I46" s="4">
        <v>-0.44204680402985369</v>
      </c>
      <c r="J46" s="4">
        <v>-2.4104764988508993</v>
      </c>
      <c r="K46" s="4">
        <v>-2.6108765218817349</v>
      </c>
      <c r="L46" s="4">
        <v>-14.754475594669268</v>
      </c>
      <c r="M46" s="4">
        <v>-3.7500504915224826</v>
      </c>
      <c r="N46" s="4">
        <v>-49.253835006385991</v>
      </c>
      <c r="O46" s="4">
        <v>19.853110421237091</v>
      </c>
      <c r="P46" s="4">
        <v>-63.254134500376779</v>
      </c>
      <c r="Q46" s="4">
        <v>4.2543046968742342</v>
      </c>
      <c r="R46" s="4">
        <v>-15.780508691558632</v>
      </c>
      <c r="S46" s="4">
        <v>12.527565238132192</v>
      </c>
      <c r="T46" s="4">
        <v>252.44747833293914</v>
      </c>
      <c r="U46" s="4">
        <v>29.97294953692565</v>
      </c>
      <c r="V46" s="4">
        <v>244.66993322782011</v>
      </c>
      <c r="W46" s="4">
        <v>87.498976427841981</v>
      </c>
      <c r="X46" s="4">
        <v>78.833446930932752</v>
      </c>
      <c r="Y46" s="4">
        <v>13.651778865724339</v>
      </c>
      <c r="Z46" s="4">
        <v>65.936223363723755</v>
      </c>
      <c r="AA46" s="4">
        <v>1.1669701661917546</v>
      </c>
      <c r="AB46" s="4">
        <v>5.3305768341093547</v>
      </c>
      <c r="AC46" s="4">
        <v>0.27428140082679869</v>
      </c>
      <c r="AD46" s="4">
        <v>0.85751747053149907</v>
      </c>
      <c r="AE46" s="4">
        <v>2.9076385627537414E-2</v>
      </c>
      <c r="AF46" s="4">
        <v>1.8268175871835341E-2</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390.37150729454856</v>
      </c>
      <c r="D47" s="4">
        <v>-1.5184098763100927E-4</v>
      </c>
      <c r="E47" s="4">
        <v>-7.0254995894565323E-5</v>
      </c>
      <c r="F47" s="4">
        <v>-7.7564913286414135E-3</v>
      </c>
      <c r="G47" s="4">
        <v>-8.4033030416191482E-3</v>
      </c>
      <c r="H47" s="4">
        <v>-6.7719724805377648E-2</v>
      </c>
      <c r="I47" s="4">
        <v>-0.27160877228627439</v>
      </c>
      <c r="J47" s="4">
        <v>-1.54726162621037</v>
      </c>
      <c r="K47" s="4">
        <v>-1.7512101665297781</v>
      </c>
      <c r="L47" s="4">
        <v>-10.343648470574124</v>
      </c>
      <c r="M47" s="4">
        <v>-2.7484844566933382</v>
      </c>
      <c r="N47" s="4">
        <v>-37.74955194173085</v>
      </c>
      <c r="O47" s="4">
        <v>15.915728378549602</v>
      </c>
      <c r="P47" s="4">
        <v>-53.054837377506303</v>
      </c>
      <c r="Q47" s="4">
        <v>3.7343580787198509</v>
      </c>
      <c r="R47" s="4">
        <v>-14.500205775003653</v>
      </c>
      <c r="S47" s="4">
        <v>12.053175349272905</v>
      </c>
      <c r="T47" s="4">
        <v>254.39271400375927</v>
      </c>
      <c r="U47" s="4">
        <v>31.643209172532067</v>
      </c>
      <c r="V47" s="4">
        <v>270.68802053753905</v>
      </c>
      <c r="W47" s="4">
        <v>101.47293371997782</v>
      </c>
      <c r="X47" s="4">
        <v>95.860446561869566</v>
      </c>
      <c r="Y47" s="4">
        <v>17.411020448825344</v>
      </c>
      <c r="Z47" s="4">
        <v>88.224858723377508</v>
      </c>
      <c r="AA47" s="4">
        <v>1.638649207253569</v>
      </c>
      <c r="AB47" s="4">
        <v>7.8575791323821154</v>
      </c>
      <c r="AC47" s="4">
        <v>0.42455094345198346</v>
      </c>
      <c r="AD47" s="4">
        <v>1.3942078695450382</v>
      </c>
      <c r="AE47" s="4">
        <v>4.9671804555639895E-2</v>
      </c>
      <c r="AF47" s="4">
        <v>3.2800859179443947E-2</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446.68691919710238</v>
      </c>
      <c r="D48" s="4">
        <v>-7.3729661022198199E-5</v>
      </c>
      <c r="E48" s="4">
        <v>-3.5599814419042529E-5</v>
      </c>
      <c r="F48" s="4">
        <v>-4.1025464018569239E-3</v>
      </c>
      <c r="G48" s="4">
        <v>-4.6404205823930358E-3</v>
      </c>
      <c r="H48" s="4">
        <v>-3.9052082947344656E-2</v>
      </c>
      <c r="I48" s="4">
        <v>-0.16360561768077261</v>
      </c>
      <c r="J48" s="4">
        <v>-0.97375214048505787</v>
      </c>
      <c r="K48" s="4">
        <v>-1.1517526241399709</v>
      </c>
      <c r="L48" s="4">
        <v>-7.1111226568512569</v>
      </c>
      <c r="M48" s="4">
        <v>-1.9756481100625365</v>
      </c>
      <c r="N48" s="4">
        <v>-28.378513533404909</v>
      </c>
      <c r="O48" s="4">
        <v>12.516323729207167</v>
      </c>
      <c r="P48" s="4">
        <v>-43.657598894236664</v>
      </c>
      <c r="Q48" s="4">
        <v>3.2162430770650112</v>
      </c>
      <c r="R48" s="4">
        <v>-13.074343449383711</v>
      </c>
      <c r="S48" s="4">
        <v>11.380887422198066</v>
      </c>
      <c r="T48" s="4">
        <v>251.6087398228718</v>
      </c>
      <c r="U48" s="4">
        <v>32.791919246206071</v>
      </c>
      <c r="V48" s="4">
        <v>293.99563271304896</v>
      </c>
      <c r="W48" s="4">
        <v>115.53918343410983</v>
      </c>
      <c r="X48" s="4">
        <v>114.45873106599718</v>
      </c>
      <c r="Y48" s="4">
        <v>21.806640409790777</v>
      </c>
      <c r="Z48" s="4">
        <v>115.94091861050762</v>
      </c>
      <c r="AA48" s="4">
        <v>2.2601678929901379</v>
      </c>
      <c r="AB48" s="4">
        <v>11.378413246748167</v>
      </c>
      <c r="AC48" s="4">
        <v>0.64564213870962395</v>
      </c>
      <c r="AD48" s="4">
        <v>2.22736414097619</v>
      </c>
      <c r="AE48" s="4">
        <v>8.3389131150380796E-2</v>
      </c>
      <c r="AF48" s="4">
        <v>5.7883718279530316E-2</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501.12309312605811</v>
      </c>
      <c r="D49" s="4">
        <v>-3.5074547258029397E-5</v>
      </c>
      <c r="E49" s="4">
        <v>-1.7674974935706826E-5</v>
      </c>
      <c r="F49" s="4">
        <v>-2.1263091779677454E-3</v>
      </c>
      <c r="G49" s="4">
        <v>-2.5112722380819215E-3</v>
      </c>
      <c r="H49" s="4">
        <v>-2.2072270400572684E-2</v>
      </c>
      <c r="I49" s="4">
        <v>-9.6598707977178414E-2</v>
      </c>
      <c r="J49" s="4">
        <v>-0.6007543599883266</v>
      </c>
      <c r="K49" s="4">
        <v>-0.74265889462440637</v>
      </c>
      <c r="L49" s="4">
        <v>-4.7935523803637627</v>
      </c>
      <c r="M49" s="4">
        <v>-1.3926010044141623</v>
      </c>
      <c r="N49" s="4">
        <v>-20.922542574316168</v>
      </c>
      <c r="O49" s="4">
        <v>9.654292799006388</v>
      </c>
      <c r="P49" s="4">
        <v>-35.239912105322787</v>
      </c>
      <c r="Q49" s="4">
        <v>2.7174956123103233</v>
      </c>
      <c r="R49" s="4">
        <v>-11.566446081391845</v>
      </c>
      <c r="S49" s="4">
        <v>10.544661018621239</v>
      </c>
      <c r="T49" s="4">
        <v>244.21729486897883</v>
      </c>
      <c r="U49" s="4">
        <v>33.352690109846343</v>
      </c>
      <c r="V49" s="4">
        <v>313.42873143024167</v>
      </c>
      <c r="W49" s="4">
        <v>129.14663869112618</v>
      </c>
      <c r="X49" s="4">
        <v>134.17823883934724</v>
      </c>
      <c r="Y49" s="4">
        <v>26.817989786737186</v>
      </c>
      <c r="Z49" s="4">
        <v>149.62527619681245</v>
      </c>
      <c r="AA49" s="4">
        <v>3.0617358276340734</v>
      </c>
      <c r="AB49" s="4">
        <v>16.184418422772989</v>
      </c>
      <c r="AC49" s="4">
        <v>0.96455465485499281</v>
      </c>
      <c r="AD49" s="4">
        <v>3.4960578384487806</v>
      </c>
      <c r="AE49" s="4">
        <v>0.1375573322509874</v>
      </c>
      <c r="AF49" s="4">
        <v>0.10038153286401881</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553.42239928895731</v>
      </c>
      <c r="D50" s="4">
        <v>-1.6344692595366747E-5</v>
      </c>
      <c r="E50" s="4">
        <v>-8.5970383991650284E-6</v>
      </c>
      <c r="F50" s="4">
        <v>-1.0797487083572704E-3</v>
      </c>
      <c r="G50" s="4">
        <v>-1.3316749680948898E-3</v>
      </c>
      <c r="H50" s="4">
        <v>-1.2225388490945345E-2</v>
      </c>
      <c r="I50" s="4">
        <v>-5.5898788219412299E-2</v>
      </c>
      <c r="J50" s="4">
        <v>-0.36328609127895234</v>
      </c>
      <c r="K50" s="4">
        <v>-0.46942748401790058</v>
      </c>
      <c r="L50" s="4">
        <v>-3.167901042344424</v>
      </c>
      <c r="M50" s="4">
        <v>-0.96246460446388649</v>
      </c>
      <c r="N50" s="4">
        <v>-15.126087940170896</v>
      </c>
      <c r="O50" s="4">
        <v>7.3029469306905179</v>
      </c>
      <c r="P50" s="4">
        <v>-27.899133174831089</v>
      </c>
      <c r="Q50" s="4">
        <v>2.2522518687646831</v>
      </c>
      <c r="R50" s="4">
        <v>-10.038193679694157</v>
      </c>
      <c r="S50" s="4">
        <v>9.5854487058837385</v>
      </c>
      <c r="T50" s="4">
        <v>232.59397643204818</v>
      </c>
      <c r="U50" s="4">
        <v>33.290058763601508</v>
      </c>
      <c r="V50" s="4">
        <v>327.94799953869659</v>
      </c>
      <c r="W50" s="4">
        <v>141.69484821596771</v>
      </c>
      <c r="X50" s="4">
        <v>154.41218389765032</v>
      </c>
      <c r="Y50" s="4">
        <v>32.380195973150663</v>
      </c>
      <c r="Z50" s="4">
        <v>189.60018731856906</v>
      </c>
      <c r="AA50" s="4">
        <v>4.0729622092207309</v>
      </c>
      <c r="AB50" s="4">
        <v>22.608853048576123</v>
      </c>
      <c r="AC50" s="4">
        <v>1.4153979214174837</v>
      </c>
      <c r="AD50" s="4">
        <v>5.390558323877813</v>
      </c>
      <c r="AE50" s="4">
        <v>0.22293442261651888</v>
      </c>
      <c r="AF50" s="4">
        <v>0.17104956610211136</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603.35635077154757</v>
      </c>
      <c r="D51" s="4">
        <v>-7.4599167173539479E-6</v>
      </c>
      <c r="E51" s="4">
        <v>-4.0959610377913552E-6</v>
      </c>
      <c r="F51" s="4">
        <v>-5.3713129278593671E-4</v>
      </c>
      <c r="G51" s="4">
        <v>-6.9184529814693733E-4</v>
      </c>
      <c r="H51" s="4">
        <v>-6.6348288876487607E-3</v>
      </c>
      <c r="I51" s="4">
        <v>-3.1697878396738509E-2</v>
      </c>
      <c r="J51" s="4">
        <v>-0.21529944797772266</v>
      </c>
      <c r="K51" s="4">
        <v>-0.29082770698888472</v>
      </c>
      <c r="L51" s="4">
        <v>-2.05220133949395</v>
      </c>
      <c r="M51" s="4">
        <v>-0.65211382956153208</v>
      </c>
      <c r="N51" s="4">
        <v>-10.721757378743174</v>
      </c>
      <c r="O51" s="4">
        <v>5.4168884907497654</v>
      </c>
      <c r="P51" s="4">
        <v>-21.660467349625044</v>
      </c>
      <c r="Q51" s="4">
        <v>1.8307696265227416</v>
      </c>
      <c r="R51" s="4">
        <v>-8.5453043676236007</v>
      </c>
      <c r="S51" s="4">
        <v>8.5478437731734225</v>
      </c>
      <c r="T51" s="4">
        <v>217.33669963721124</v>
      </c>
      <c r="U51" s="4">
        <v>32.60313411008751</v>
      </c>
      <c r="V51" s="4">
        <v>336.72944025646962</v>
      </c>
      <c r="W51" s="4">
        <v>152.57523659995184</v>
      </c>
      <c r="X51" s="4">
        <v>174.41727406411977</v>
      </c>
      <c r="Y51" s="4">
        <v>38.378755423453867</v>
      </c>
      <c r="Z51" s="4">
        <v>235.87435987832984</v>
      </c>
      <c r="AA51" s="4">
        <v>5.319998863337867</v>
      </c>
      <c r="AB51" s="4">
        <v>31.014807339041155</v>
      </c>
      <c r="AC51" s="4">
        <v>2.0398128885576288</v>
      </c>
      <c r="AD51" s="4">
        <v>8.1639477248669117</v>
      </c>
      <c r="AE51" s="4">
        <v>0.35492241295458621</v>
      </c>
      <c r="AF51" s="4">
        <v>0.28635511403441055</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650.72325845764385</v>
      </c>
      <c r="D52" s="4">
        <v>-3.3342709790155222E-6</v>
      </c>
      <c r="E52" s="4">
        <v>-1.9112479021387198E-6</v>
      </c>
      <c r="F52" s="4">
        <v>-2.6172021940221022E-4</v>
      </c>
      <c r="G52" s="4">
        <v>-3.5209824451012505E-4</v>
      </c>
      <c r="H52" s="4">
        <v>-3.5276556842259621E-3</v>
      </c>
      <c r="I52" s="4">
        <v>-1.7611362096286023E-2</v>
      </c>
      <c r="J52" s="4">
        <v>-0.1250310301162304</v>
      </c>
      <c r="K52" s="4">
        <v>-0.17657525644336419</v>
      </c>
      <c r="L52" s="4">
        <v>-1.3029910661155006</v>
      </c>
      <c r="M52" s="4">
        <v>-0.43309357131967086</v>
      </c>
      <c r="N52" s="4">
        <v>-7.4502671979203576</v>
      </c>
      <c r="O52" s="4">
        <v>3.9392656375188579</v>
      </c>
      <c r="P52" s="4">
        <v>-16.489440861621535</v>
      </c>
      <c r="Q52" s="4">
        <v>1.4593487171244828</v>
      </c>
      <c r="R52" s="4">
        <v>-7.1343771231532509</v>
      </c>
      <c r="S52" s="4">
        <v>7.4766227323046728</v>
      </c>
      <c r="T52" s="4">
        <v>199.21448738224919</v>
      </c>
      <c r="U52" s="4">
        <v>31.326087382812396</v>
      </c>
      <c r="V52" s="4">
        <v>339.24094637331825</v>
      </c>
      <c r="W52" s="4">
        <v>161.21834977640609</v>
      </c>
      <c r="X52" s="4">
        <v>193.35147978537873</v>
      </c>
      <c r="Y52" s="4">
        <v>44.648032529035333</v>
      </c>
      <c r="Z52" s="4">
        <v>288.05338571807721</v>
      </c>
      <c r="AA52" s="4">
        <v>6.8220285916086461</v>
      </c>
      <c r="AB52" s="4">
        <v>41.774508789098221</v>
      </c>
      <c r="AC52" s="4">
        <v>2.8867222715929715</v>
      </c>
      <c r="AD52" s="4">
        <v>12.142862548607344</v>
      </c>
      <c r="AE52" s="4">
        <v>0.55500378469150002</v>
      </c>
      <c r="AF52" s="4">
        <v>0.47091908391713949</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695.34114210595419</v>
      </c>
      <c r="D53" s="4">
        <v>-1.459197588553574E-6</v>
      </c>
      <c r="E53" s="4">
        <v>-8.7331174492022951E-7</v>
      </c>
      <c r="F53" s="4">
        <v>-1.2489072606986063E-4</v>
      </c>
      <c r="G53" s="4">
        <v>-1.7550927990285734E-4</v>
      </c>
      <c r="H53" s="4">
        <v>-1.8372553607785167E-3</v>
      </c>
      <c r="I53" s="4">
        <v>-9.585799324123968E-3</v>
      </c>
      <c r="J53" s="4">
        <v>-7.1139589443299289E-2</v>
      </c>
      <c r="K53" s="4">
        <v>-0.10504825386896971</v>
      </c>
      <c r="L53" s="4">
        <v>-0.8107264977898514</v>
      </c>
      <c r="M53" s="4">
        <v>-0.28190210408094818</v>
      </c>
      <c r="N53" s="4">
        <v>-5.0743805681959877</v>
      </c>
      <c r="O53" s="4">
        <v>2.8082339243069856</v>
      </c>
      <c r="P53" s="4">
        <v>-12.306775467220195</v>
      </c>
      <c r="Q53" s="4">
        <v>1.1405979257918488</v>
      </c>
      <c r="R53" s="4">
        <v>-5.8409145775239422</v>
      </c>
      <c r="S53" s="4">
        <v>6.4135584309523477</v>
      </c>
      <c r="T53" s="4">
        <v>179.10272059174167</v>
      </c>
      <c r="U53" s="4">
        <v>29.525371951349136</v>
      </c>
      <c r="V53" s="4">
        <v>335.29506074542348</v>
      </c>
      <c r="W53" s="4">
        <v>167.142229734761</v>
      </c>
      <c r="X53" s="4">
        <v>210.32780668432969</v>
      </c>
      <c r="Y53" s="4">
        <v>50.974754167281773</v>
      </c>
      <c r="Z53" s="4">
        <v>345.26861445060445</v>
      </c>
      <c r="AA53" s="4">
        <v>8.5873309563298932</v>
      </c>
      <c r="AB53" s="4">
        <v>55.239202572732623</v>
      </c>
      <c r="AC53" s="4">
        <v>4.0111129323873342</v>
      </c>
      <c r="AD53" s="4">
        <v>17.735315133277215</v>
      </c>
      <c r="AE53" s="4">
        <v>0.85232947362434375</v>
      </c>
      <c r="AF53" s="4">
        <v>0.76065738233772462</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c r="C54" s="4">
        <v>737.0375960021139</v>
      </c>
      <c r="D54" s="4">
        <v>-6.251866069765018E-7</v>
      </c>
      <c r="E54" s="4">
        <v>-3.9070495901376298E-7</v>
      </c>
      <c r="F54" s="4">
        <v>-5.8357366379932988E-5</v>
      </c>
      <c r="G54" s="4">
        <v>-8.5675050726768647E-5</v>
      </c>
      <c r="H54" s="4">
        <v>-9.3716627115873589E-4</v>
      </c>
      <c r="I54" s="4">
        <v>-5.1106188853379479E-3</v>
      </c>
      <c r="J54" s="4">
        <v>-3.9651618025086086E-2</v>
      </c>
      <c r="K54" s="4">
        <v>-6.1228037568003373E-2</v>
      </c>
      <c r="L54" s="4">
        <v>-0.49426125042265018</v>
      </c>
      <c r="M54" s="4">
        <v>-0.17980889960192253</v>
      </c>
      <c r="N54" s="4">
        <v>-3.387176235630692</v>
      </c>
      <c r="O54" s="4">
        <v>1.9621961641591428</v>
      </c>
      <c r="P54" s="4">
        <v>-9.0037116906759387</v>
      </c>
      <c r="Q54" s="4">
        <v>0.87396317365594289</v>
      </c>
      <c r="R54" s="4">
        <v>-4.6885773855404871</v>
      </c>
      <c r="S54" s="4">
        <v>5.3948174124195321</v>
      </c>
      <c r="T54" s="4">
        <v>157.9124979530466</v>
      </c>
      <c r="U54" s="4">
        <v>27.29398161211601</v>
      </c>
      <c r="V54" s="4">
        <v>325.07073372268763</v>
      </c>
      <c r="W54" s="4">
        <v>169.9963372897025</v>
      </c>
      <c r="X54" s="4">
        <v>224.48000556700038</v>
      </c>
      <c r="Y54" s="4">
        <v>57.107107261181916</v>
      </c>
      <c r="Z54" s="4">
        <v>406.1385021871564</v>
      </c>
      <c r="AA54" s="4">
        <v>10.60930306282879</v>
      </c>
      <c r="AB54" s="4">
        <v>71.699940938013299</v>
      </c>
      <c r="AC54" s="4">
        <v>5.4715680274240128</v>
      </c>
      <c r="AD54" s="4">
        <v>25.432893169043506</v>
      </c>
      <c r="AE54" s="4">
        <v>1.2853175015211704</v>
      </c>
      <c r="AF54" s="4">
        <v>1.2066349132010656</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775.639019278055</v>
      </c>
      <c r="D55" s="4">
        <v>-2.6219419737646721E-7</v>
      </c>
      <c r="E55" s="4">
        <v>-1.7111638717943428E-7</v>
      </c>
      <c r="F55" s="4">
        <v>-2.6697444214821182E-5</v>
      </c>
      <c r="G55" s="4">
        <v>-4.095084491824246E-5</v>
      </c>
      <c r="H55" s="4">
        <v>-4.681272674356906E-4</v>
      </c>
      <c r="I55" s="4">
        <v>-2.6684865914411255E-3</v>
      </c>
      <c r="J55" s="4">
        <v>-2.164727831270748E-2</v>
      </c>
      <c r="K55" s="4">
        <v>-3.4958387271745633E-2</v>
      </c>
      <c r="L55" s="4">
        <v>-0.29520607309062336</v>
      </c>
      <c r="M55" s="4">
        <v>-0.1123719256992642</v>
      </c>
      <c r="N55" s="4">
        <v>-2.215510639469628</v>
      </c>
      <c r="O55" s="4">
        <v>1.3436329192590397</v>
      </c>
      <c r="P55" s="4">
        <v>-6.4561856950451828</v>
      </c>
      <c r="Q55" s="4">
        <v>0.65641599394087713</v>
      </c>
      <c r="R55" s="4">
        <v>-3.6895670169277719</v>
      </c>
      <c r="S55" s="4">
        <v>4.4491538662210672</v>
      </c>
      <c r="T55" s="4">
        <v>136.52210934255115</v>
      </c>
      <c r="U55" s="4">
        <v>24.743438589602192</v>
      </c>
      <c r="V55" s="4">
        <v>309.10070677111224</v>
      </c>
      <c r="W55" s="4">
        <v>169.59553510880872</v>
      </c>
      <c r="X55" s="4">
        <v>235.03388577939594</v>
      </c>
      <c r="Y55" s="4">
        <v>62.76935990034071</v>
      </c>
      <c r="Z55" s="4">
        <v>468.77529940889798</v>
      </c>
      <c r="AA55" s="4">
        <v>12.862941597931302</v>
      </c>
      <c r="AB55" s="4">
        <v>91.341174185048217</v>
      </c>
      <c r="AC55" s="4">
        <v>7.3263394703627656</v>
      </c>
      <c r="AD55" s="4">
        <v>35.804135828163325</v>
      </c>
      <c r="AE55" s="4">
        <v>1.9030337266812196</v>
      </c>
      <c r="AF55" s="4">
        <v>1.8795277790688052</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810.96178135884225</v>
      </c>
      <c r="D56" s="4">
        <v>-1.0761907777711373E-7</v>
      </c>
      <c r="E56" s="4">
        <v>-7.3355467177177664E-8</v>
      </c>
      <c r="F56" s="4">
        <v>-1.195604580186995E-5</v>
      </c>
      <c r="G56" s="4">
        <v>-1.9162896938568886E-5</v>
      </c>
      <c r="H56" s="4">
        <v>-2.2895345480470478E-4</v>
      </c>
      <c r="I56" s="4">
        <v>-1.364391345088705E-3</v>
      </c>
      <c r="J56" s="4">
        <v>-1.1573768040570002E-2</v>
      </c>
      <c r="K56" s="4">
        <v>-1.9549176592132587E-2</v>
      </c>
      <c r="L56" s="4">
        <v>-0.17270990731974806</v>
      </c>
      <c r="M56" s="4">
        <v>-6.8797899158491008E-2</v>
      </c>
      <c r="N56" s="4">
        <v>-1.4198038264800061</v>
      </c>
      <c r="O56" s="4">
        <v>0.90154066278073419</v>
      </c>
      <c r="P56" s="4">
        <v>-4.536753757057074</v>
      </c>
      <c r="Q56" s="4">
        <v>0.48320175731025</v>
      </c>
      <c r="R56" s="4">
        <v>-2.845914821154647</v>
      </c>
      <c r="S56" s="4">
        <v>3.5969915230046272</v>
      </c>
      <c r="T56" s="4">
        <v>115.71781195641763</v>
      </c>
      <c r="U56" s="4">
        <v>21.994478229545273</v>
      </c>
      <c r="V56" s="4">
        <v>288.22562269129105</v>
      </c>
      <c r="W56" s="4">
        <v>165.93959830133929</v>
      </c>
      <c r="X56" s="4">
        <v>241.3763284763746</v>
      </c>
      <c r="Y56" s="4">
        <v>67.681119582373711</v>
      </c>
      <c r="Z56" s="4">
        <v>530.84630492679332</v>
      </c>
      <c r="AA56" s="4">
        <v>15.302373599012737</v>
      </c>
      <c r="AB56" s="4">
        <v>114.19084829915738</v>
      </c>
      <c r="AC56" s="4">
        <v>9.6278954853699545</v>
      </c>
      <c r="AD56" s="4">
        <v>49.475731215782289</v>
      </c>
      <c r="AE56" s="4">
        <v>2.7660305799953315</v>
      </c>
      <c r="AF56" s="4">
        <v>2.8744132316559314</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842.80742866013554</v>
      </c>
      <c r="D57" s="4">
        <v>-4.3225755995522115E-8</v>
      </c>
      <c r="E57" s="4">
        <v>-3.077557387485965E-8</v>
      </c>
      <c r="F57" s="4">
        <v>-5.2406376640441055E-6</v>
      </c>
      <c r="G57" s="4">
        <v>-8.7777717991118854E-6</v>
      </c>
      <c r="H57" s="4">
        <v>-1.0962300060839799E-4</v>
      </c>
      <c r="I57" s="4">
        <v>-6.8301581629214849E-4</v>
      </c>
      <c r="J57" s="4">
        <v>-6.0591406219681664E-3</v>
      </c>
      <c r="K57" s="4">
        <v>-1.0705760086086022E-2</v>
      </c>
      <c r="L57" s="4">
        <v>-9.8962032721135018E-2</v>
      </c>
      <c r="M57" s="4">
        <v>-4.1257188202885368E-2</v>
      </c>
      <c r="N57" s="4">
        <v>-0.89132874941645168</v>
      </c>
      <c r="O57" s="4">
        <v>0.59264322121324353</v>
      </c>
      <c r="P57" s="4">
        <v>-3.1236778844416859</v>
      </c>
      <c r="Q57" s="4">
        <v>0.34856076494786847</v>
      </c>
      <c r="R57" s="4">
        <v>-2.1513849296465137</v>
      </c>
      <c r="S57" s="4">
        <v>2.8503651946573116</v>
      </c>
      <c r="T57" s="4">
        <v>96.149316586524165</v>
      </c>
      <c r="U57" s="4">
        <v>19.16752305316723</v>
      </c>
      <c r="V57" s="4">
        <v>263.5203421367076</v>
      </c>
      <c r="W57" s="4">
        <v>159.21543854287393</v>
      </c>
      <c r="X57" s="4">
        <v>243.11359840691293</v>
      </c>
      <c r="Y57" s="4">
        <v>71.57954098927803</v>
      </c>
      <c r="Z57" s="4">
        <v>589.69289013118339</v>
      </c>
      <c r="AA57" s="4">
        <v>17.860026795720088</v>
      </c>
      <c r="AB57" s="4">
        <v>140.07251214350259</v>
      </c>
      <c r="AC57" s="4">
        <v>12.416095236608522</v>
      </c>
      <c r="AD57" s="4">
        <v>67.098581969001486</v>
      </c>
      <c r="AE57" s="4">
        <v>3.9462323394974428</v>
      </c>
      <c r="AF57" s="4">
        <v>4.315372224839674</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870.96302727473403</v>
      </c>
      <c r="D58" s="4">
        <v>-1.6987006605832375E-8</v>
      </c>
      <c r="E58" s="4">
        <v>-1.2634167398021969E-8</v>
      </c>
      <c r="F58" s="4">
        <v>-2.247986028559132E-6</v>
      </c>
      <c r="G58" s="4">
        <v>-3.9351988800106356E-6</v>
      </c>
      <c r="H58" s="4">
        <v>-5.1376210653888082E-5</v>
      </c>
      <c r="I58" s="4">
        <v>-3.3471512916624023E-4</v>
      </c>
      <c r="J58" s="4">
        <v>-3.1056120659578614E-3</v>
      </c>
      <c r="K58" s="4">
        <v>-5.74055470862498E-3</v>
      </c>
      <c r="L58" s="4">
        <v>-5.5528372690964917E-2</v>
      </c>
      <c r="M58" s="4">
        <v>-2.4230757621083471E-2</v>
      </c>
      <c r="N58" s="4">
        <v>-0.54807325673807228</v>
      </c>
      <c r="O58" s="4">
        <v>0.38162861195746278</v>
      </c>
      <c r="P58" s="4">
        <v>-2.1070538842058366</v>
      </c>
      <c r="Q58" s="4">
        <v>0.24635756278278287</v>
      </c>
      <c r="R58" s="4">
        <v>-1.593679825704184</v>
      </c>
      <c r="S58" s="4">
        <v>2.2135938436176241</v>
      </c>
      <c r="T58" s="4">
        <v>78.303005710580891</v>
      </c>
      <c r="U58" s="4">
        <v>16.373999202321318</v>
      </c>
      <c r="V58" s="4">
        <v>236.20149415200748</v>
      </c>
      <c r="W58" s="4">
        <v>149.78145747816501</v>
      </c>
      <c r="X58" s="4">
        <v>240.11133343994084</v>
      </c>
      <c r="Y58" s="4">
        <v>74.24214792027054</v>
      </c>
      <c r="Z58" s="4">
        <v>642.50269178889585</v>
      </c>
      <c r="AA58" s="4">
        <v>20.447933207648564</v>
      </c>
      <c r="AB58" s="4">
        <v>168.56635735695673</v>
      </c>
      <c r="AC58" s="4">
        <v>15.710418458144936</v>
      </c>
      <c r="AD58" s="4">
        <v>89.296929245908316</v>
      </c>
      <c r="AE58" s="4">
        <v>5.5254001072021079</v>
      </c>
      <c r="AF58" s="4">
        <v>6.359111030948295</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895.20640673673233</v>
      </c>
      <c r="D59" s="4">
        <v>-6.5304820888577732E-9</v>
      </c>
      <c r="E59" s="4">
        <v>-5.0744305502351E-9</v>
      </c>
      <c r="F59" s="4">
        <v>-9.4351680833918189E-7</v>
      </c>
      <c r="G59" s="4">
        <v>-1.7264032237861654E-6</v>
      </c>
      <c r="H59" s="4">
        <v>-2.3564729183339771E-5</v>
      </c>
      <c r="I59" s="4">
        <v>-1.6054878830490849E-4</v>
      </c>
      <c r="J59" s="4">
        <v>-1.5581808155390108E-3</v>
      </c>
      <c r="K59" s="4">
        <v>-3.0135077928081892E-3</v>
      </c>
      <c r="L59" s="4">
        <v>-3.0506423032975256E-2</v>
      </c>
      <c r="M59" s="4">
        <v>-1.3935178351756032E-2</v>
      </c>
      <c r="N59" s="4">
        <v>-0.33003949901676843</v>
      </c>
      <c r="O59" s="4">
        <v>0.24069322312205194</v>
      </c>
      <c r="P59" s="4">
        <v>-1.3922247995995198</v>
      </c>
      <c r="Q59" s="4">
        <v>0.17057952487393363</v>
      </c>
      <c r="R59" s="4">
        <v>-1.1566639347903509</v>
      </c>
      <c r="S59" s="4">
        <v>1.684489816259267</v>
      </c>
      <c r="T59" s="4">
        <v>62.4933533496663</v>
      </c>
      <c r="U59" s="4">
        <v>13.709358758379594</v>
      </c>
      <c r="V59" s="4">
        <v>207.52741764025913</v>
      </c>
      <c r="W59" s="4">
        <v>138.13582227257396</v>
      </c>
      <c r="X59" s="4">
        <v>232.51062727993252</v>
      </c>
      <c r="Y59" s="4">
        <v>75.507579328893698</v>
      </c>
      <c r="Z59" s="4">
        <v>686.52188514023192</v>
      </c>
      <c r="AA59" s="4">
        <v>22.961454590406731</v>
      </c>
      <c r="AB59" s="4">
        <v>198.98675404385884</v>
      </c>
      <c r="AC59" s="4">
        <v>19.501979333334418</v>
      </c>
      <c r="AD59" s="4">
        <v>116.60071080521003</v>
      </c>
      <c r="AE59" s="4">
        <v>7.5917151902919642</v>
      </c>
      <c r="AF59" s="4">
        <v>9.1965214946124121</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915.31476078447076</v>
      </c>
      <c r="D60" s="4">
        <v>-2.4556155313512041E-9</v>
      </c>
      <c r="E60" s="4">
        <v>-1.9937057260037018E-9</v>
      </c>
      <c r="F60" s="4">
        <v>-3.8742290918677471E-7</v>
      </c>
      <c r="G60" s="4">
        <v>-7.4104440649943118E-7</v>
      </c>
      <c r="H60" s="4">
        <v>-1.0576363197815915E-5</v>
      </c>
      <c r="I60" s="4">
        <v>-7.5363242621774725E-5</v>
      </c>
      <c r="J60" s="4">
        <v>-7.6516827196255739E-4</v>
      </c>
      <c r="K60" s="4">
        <v>-1.54848532408601E-3</v>
      </c>
      <c r="L60" s="4">
        <v>-1.6407109547767196E-2</v>
      </c>
      <c r="M60" s="4">
        <v>-7.8464085869753494E-3</v>
      </c>
      <c r="N60" s="4">
        <v>-0.19460534029119761</v>
      </c>
      <c r="O60" s="4">
        <v>0.14866107814040164</v>
      </c>
      <c r="P60" s="4">
        <v>-0.90095438699554986</v>
      </c>
      <c r="Q60" s="4">
        <v>0.1156903501544726</v>
      </c>
      <c r="R60" s="4">
        <v>-0.82237964578203959</v>
      </c>
      <c r="S60" s="4">
        <v>1.2558795139160459</v>
      </c>
      <c r="T60" s="4">
        <v>48.870721425577656</v>
      </c>
      <c r="U60" s="4">
        <v>11.248373534210431</v>
      </c>
      <c r="V60" s="4">
        <v>178.70204517637455</v>
      </c>
      <c r="W60" s="4">
        <v>124.87257684654517</v>
      </c>
      <c r="X60" s="4">
        <v>220.71764208339104</v>
      </c>
      <c r="Y60" s="4">
        <v>75.291607752623804</v>
      </c>
      <c r="Z60" s="4">
        <v>719.28673761762889</v>
      </c>
      <c r="AA60" s="4">
        <v>25.28541898287655</v>
      </c>
      <c r="AB60" s="4">
        <v>230.38334645012333</v>
      </c>
      <c r="AC60" s="4">
        <v>23.746328838795495</v>
      </c>
      <c r="AD60" s="4">
        <v>149.36410720754179</v>
      </c>
      <c r="AE60" s="4">
        <v>10.234115705066801</v>
      </c>
      <c r="AF60" s="4">
        <v>13.050862623297109</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931.07414255449896</v>
      </c>
      <c r="D61" s="4">
        <v>-9.0301353448797634E-10</v>
      </c>
      <c r="E61" s="4">
        <v>-7.6612582093078944E-10</v>
      </c>
      <c r="F61" s="4">
        <v>-1.5560840402151216E-7</v>
      </c>
      <c r="G61" s="4">
        <v>-3.1117548211142642E-7</v>
      </c>
      <c r="H61" s="4">
        <v>-4.6442619607808253E-6</v>
      </c>
      <c r="I61" s="4">
        <v>-3.461514348584144E-5</v>
      </c>
      <c r="J61" s="4">
        <v>-3.6770361548209616E-4</v>
      </c>
      <c r="K61" s="4">
        <v>-7.7873879611396681E-4</v>
      </c>
      <c r="L61" s="4">
        <v>-8.6371642140471022E-3</v>
      </c>
      <c r="M61" s="4">
        <v>-4.3249018472090502E-3</v>
      </c>
      <c r="N61" s="4">
        <v>-0.11234130156068244</v>
      </c>
      <c r="O61" s="4">
        <v>8.9903324064692341E-2</v>
      </c>
      <c r="P61" s="4">
        <v>-0.57094039878569103</v>
      </c>
      <c r="Q61" s="4">
        <v>7.6844300535386295E-2</v>
      </c>
      <c r="R61" s="4">
        <v>-0.57270615580542417</v>
      </c>
      <c r="S61" s="4">
        <v>0.91721731177179189</v>
      </c>
      <c r="T61" s="4">
        <v>37.441995536620723</v>
      </c>
      <c r="U61" s="4">
        <v>9.0429175049167316</v>
      </c>
      <c r="V61" s="4">
        <v>150.79295478968081</v>
      </c>
      <c r="W61" s="4">
        <v>110.63100576900069</v>
      </c>
      <c r="X61" s="4">
        <v>205.36771480193099</v>
      </c>
      <c r="Y61" s="4">
        <v>73.596242636354916</v>
      </c>
      <c r="Z61" s="4">
        <v>738.84825156493321</v>
      </c>
      <c r="AA61" s="4">
        <v>27.30230075126417</v>
      </c>
      <c r="AB61" s="4">
        <v>261.57092016903721</v>
      </c>
      <c r="AC61" s="4">
        <v>28.358234149497388</v>
      </c>
      <c r="AD61" s="4">
        <v>187.67654861480975</v>
      </c>
      <c r="AE61" s="4">
        <v>13.534230791953878</v>
      </c>
      <c r="AF61" s="4">
        <v>18.171139185108967</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942.28716567023343</v>
      </c>
      <c r="D62" s="4">
        <v>-3.2469703418444262E-10</v>
      </c>
      <c r="E62" s="4">
        <v>-2.8789630198116666E-10</v>
      </c>
      <c r="F62" s="4">
        <v>-6.112582935561044E-8</v>
      </c>
      <c r="G62" s="4">
        <v>-1.278079159445039E-7</v>
      </c>
      <c r="H62" s="4">
        <v>-1.9949675812558391E-6</v>
      </c>
      <c r="I62" s="4">
        <v>-1.5554615434475799E-5</v>
      </c>
      <c r="J62" s="4">
        <v>-1.7289144086428068E-4</v>
      </c>
      <c r="K62" s="4">
        <v>-3.8323000828689437E-4</v>
      </c>
      <c r="L62" s="4">
        <v>-4.4498140005039188E-3</v>
      </c>
      <c r="M62" s="4">
        <v>-2.3332541742757426E-3</v>
      </c>
      <c r="N62" s="4">
        <v>-6.3482462097221123E-2</v>
      </c>
      <c r="O62" s="4">
        <v>5.3227156807738422E-2</v>
      </c>
      <c r="P62" s="4">
        <v>-0.35424808284081954</v>
      </c>
      <c r="Q62" s="4">
        <v>4.9981001811991152E-2</v>
      </c>
      <c r="R62" s="4">
        <v>-0.39058936309535658</v>
      </c>
      <c r="S62" s="4">
        <v>0.65610924818016481</v>
      </c>
      <c r="T62" s="4">
        <v>28.099575387528656</v>
      </c>
      <c r="U62" s="4">
        <v>7.1221173469108177</v>
      </c>
      <c r="V62" s="4">
        <v>124.67109799606308</v>
      </c>
      <c r="W62" s="4">
        <v>96.044311411506541</v>
      </c>
      <c r="X62" s="4">
        <v>187.26835650774763</v>
      </c>
      <c r="Y62" s="4">
        <v>70.510572502350342</v>
      </c>
      <c r="Z62" s="4">
        <v>743.96193202570578</v>
      </c>
      <c r="AA62" s="4">
        <v>28.901718522848416</v>
      </c>
      <c r="AB62" s="4">
        <v>291.19006638522001</v>
      </c>
      <c r="AC62" s="4">
        <v>33.209652203892894</v>
      </c>
      <c r="AD62" s="4">
        <v>231.27583616555623</v>
      </c>
      <c r="AE62" s="4">
        <v>17.55608670563247</v>
      </c>
      <c r="AF62" s="4">
        <v>24.81936760949085</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948.77682748915208</v>
      </c>
      <c r="D63" s="4">
        <v>-1.1414144434290007E-10</v>
      </c>
      <c r="E63" s="4">
        <v>-1.0577914483239122E-10</v>
      </c>
      <c r="F63" s="4">
        <v>-2.3479655083957232E-8</v>
      </c>
      <c r="G63" s="4">
        <v>-5.1337282770870573E-8</v>
      </c>
      <c r="H63" s="4">
        <v>-8.3815722135725691E-7</v>
      </c>
      <c r="I63" s="4">
        <v>-6.837084836940308E-6</v>
      </c>
      <c r="J63" s="4">
        <v>-7.9527244717234906E-5</v>
      </c>
      <c r="K63" s="4">
        <v>-1.8451965091397369E-4</v>
      </c>
      <c r="L63" s="4">
        <v>-2.2432454724426363E-3</v>
      </c>
      <c r="M63" s="4">
        <v>-1.231859634429746E-3</v>
      </c>
      <c r="N63" s="4">
        <v>-3.5110001279957649E-2</v>
      </c>
      <c r="O63" s="4">
        <v>3.0846311245164466E-2</v>
      </c>
      <c r="P63" s="4">
        <v>-0.21517244434690699</v>
      </c>
      <c r="Q63" s="4">
        <v>3.1828114477093231E-2</v>
      </c>
      <c r="R63" s="4">
        <v>-0.26083878765626262</v>
      </c>
      <c r="S63" s="4">
        <v>0.45961491247604536</v>
      </c>
      <c r="T63" s="4">
        <v>20.65407246646312</v>
      </c>
      <c r="U63" s="4">
        <v>5.4944760556674872</v>
      </c>
      <c r="V63" s="4">
        <v>100.97616253594531</v>
      </c>
      <c r="W63" s="4">
        <v>81.693372932231711</v>
      </c>
      <c r="X63" s="4">
        <v>167.32829396267442</v>
      </c>
      <c r="Y63" s="4">
        <v>66.203091927065884</v>
      </c>
      <c r="Z63" s="4">
        <v>734.21729358587697</v>
      </c>
      <c r="AA63" s="4">
        <v>29.990233196948999</v>
      </c>
      <c r="AB63" s="4">
        <v>317.7964609092341</v>
      </c>
      <c r="AC63" s="4">
        <v>38.131936346421377</v>
      </c>
      <c r="AD63" s="4">
        <v>279.47580742860788</v>
      </c>
      <c r="AE63" s="4">
        <v>22.334190909401798</v>
      </c>
      <c r="AF63" s="4">
        <v>33.250841519131335</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950.38571957687748</v>
      </c>
      <c r="D64" s="4">
        <v>-3.9221082483892418E-11</v>
      </c>
      <c r="E64" s="4">
        <v>-3.7994647247362491E-11</v>
      </c>
      <c r="F64" s="4">
        <v>-8.8178873574740761E-9</v>
      </c>
      <c r="G64" s="4">
        <v>-2.0163301006116077E-8</v>
      </c>
      <c r="H64" s="4">
        <v>-3.4436323279360869E-7</v>
      </c>
      <c r="I64" s="4">
        <v>-2.9392231983161629E-6</v>
      </c>
      <c r="J64" s="4">
        <v>-3.5781358423905575E-5</v>
      </c>
      <c r="K64" s="4">
        <v>-8.6910649241178701E-5</v>
      </c>
      <c r="L64" s="4">
        <v>-1.1063895822946825E-3</v>
      </c>
      <c r="M64" s="4">
        <v>-6.3636471685403278E-4</v>
      </c>
      <c r="N64" s="4">
        <v>-1.9002172728734449E-2</v>
      </c>
      <c r="O64" s="4">
        <v>1.7495181741010762E-2</v>
      </c>
      <c r="P64" s="4">
        <v>-0.12792671840627579</v>
      </c>
      <c r="Q64" s="4">
        <v>1.9840966492121088E-2</v>
      </c>
      <c r="R64" s="4">
        <v>-0.1705378097141525</v>
      </c>
      <c r="S64" s="4">
        <v>0.31525348427645455</v>
      </c>
      <c r="T64" s="4">
        <v>14.86657248941593</v>
      </c>
      <c r="U64" s="4">
        <v>4.1513977982924759</v>
      </c>
      <c r="V64" s="4">
        <v>80.107806435228881</v>
      </c>
      <c r="W64" s="4">
        <v>68.070229274449474</v>
      </c>
      <c r="X64" s="4">
        <v>146.48130228039878</v>
      </c>
      <c r="Y64" s="4">
        <v>60.906419282509042</v>
      </c>
      <c r="Z64" s="4">
        <v>710.08857880592575</v>
      </c>
      <c r="AA64" s="4">
        <v>30.500265885178273</v>
      </c>
      <c r="AB64" s="4">
        <v>339.97194439467017</v>
      </c>
      <c r="AC64" s="4">
        <v>42.922910389610458</v>
      </c>
      <c r="AD64" s="4">
        <v>331.12238087496638</v>
      </c>
      <c r="AE64" s="4">
        <v>27.861084459781569</v>
      </c>
      <c r="AF64" s="4">
        <v>43.687292610618819</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c r="C65" s="4">
        <v>946.97166763804864</v>
      </c>
      <c r="D65" s="4">
        <v>-1.317153909487668E-11</v>
      </c>
      <c r="E65" s="4">
        <v>-1.3339298223371041E-11</v>
      </c>
      <c r="F65" s="4">
        <v>-3.2372280950822249E-9</v>
      </c>
      <c r="G65" s="4">
        <v>-7.7423765471617572E-9</v>
      </c>
      <c r="H65" s="4">
        <v>-1.3833758975434485E-7</v>
      </c>
      <c r="I65" s="4">
        <v>-1.2355912294601076E-6</v>
      </c>
      <c r="J65" s="4">
        <v>-1.5744437248561424E-5</v>
      </c>
      <c r="K65" s="4">
        <v>-4.0038872878985168E-5</v>
      </c>
      <c r="L65" s="4">
        <v>-5.3378597546587089E-4</v>
      </c>
      <c r="M65" s="4">
        <v>-3.2160912710485631E-4</v>
      </c>
      <c r="N65" s="4">
        <v>-1.0062432173924657E-2</v>
      </c>
      <c r="O65" s="4">
        <v>9.7098190340339351E-3</v>
      </c>
      <c r="P65" s="4">
        <v>-7.4432700473900784E-2</v>
      </c>
      <c r="Q65" s="4">
        <v>1.2105797133637979E-2</v>
      </c>
      <c r="R65" s="4">
        <v>-0.10914375328073894</v>
      </c>
      <c r="S65" s="4">
        <v>0.21169310467500332</v>
      </c>
      <c r="T65" s="4">
        <v>10.477283143667686</v>
      </c>
      <c r="U65" s="4">
        <v>3.0714753254812579</v>
      </c>
      <c r="V65" s="4">
        <v>62.239727651357782</v>
      </c>
      <c r="W65" s="4">
        <v>55.55421671383133</v>
      </c>
      <c r="X65" s="4">
        <v>125.61378730176565</v>
      </c>
      <c r="Y65" s="4">
        <v>54.896337349080227</v>
      </c>
      <c r="Z65" s="4">
        <v>672.89836661516938</v>
      </c>
      <c r="AA65" s="4">
        <v>30.396969377454564</v>
      </c>
      <c r="AB65" s="4">
        <v>356.44634066124809</v>
      </c>
      <c r="AC65" s="4">
        <v>47.358838094000959</v>
      </c>
      <c r="AD65" s="4">
        <v>384.59114749206447</v>
      </c>
      <c r="AE65" s="4">
        <v>34.075908233674205</v>
      </c>
      <c r="AF65" s="4">
        <v>56.283980045735333</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938.4025672383907</v>
      </c>
      <c r="D66" s="4">
        <v>-4.3223820392373006E-12</v>
      </c>
      <c r="E66" s="4">
        <v>-4.5767893072193569E-12</v>
      </c>
      <c r="F66" s="4">
        <v>-1.161575340786366E-9</v>
      </c>
      <c r="G66" s="4">
        <v>-2.9060326610332234E-9</v>
      </c>
      <c r="H66" s="4">
        <v>-5.4328243115869253E-8</v>
      </c>
      <c r="I66" s="4">
        <v>-5.0784109727481913E-7</v>
      </c>
      <c r="J66" s="4">
        <v>-6.7741881590423239E-6</v>
      </c>
      <c r="K66" s="4">
        <v>-1.803847335908472E-5</v>
      </c>
      <c r="L66" s="4">
        <v>-2.5187490243904945E-4</v>
      </c>
      <c r="M66" s="4">
        <v>-1.5898609433346599E-4</v>
      </c>
      <c r="N66" s="4">
        <v>-5.212682850095263E-3</v>
      </c>
      <c r="O66" s="4">
        <v>5.2724547426830932E-3</v>
      </c>
      <c r="P66" s="4">
        <v>-4.2376593610716079E-2</v>
      </c>
      <c r="Q66" s="4">
        <v>7.2282756807185268E-3</v>
      </c>
      <c r="R66" s="4">
        <v>-6.8365835850793241E-2</v>
      </c>
      <c r="S66" s="4">
        <v>0.13914485755153805</v>
      </c>
      <c r="T66" s="4">
        <v>7.2285640491280496</v>
      </c>
      <c r="U66" s="4">
        <v>2.2249355528679651</v>
      </c>
      <c r="V66" s="4">
        <v>47.351175188124074</v>
      </c>
      <c r="W66" s="4">
        <v>44.401731031288421</v>
      </c>
      <c r="X66" s="4">
        <v>105.50392720783928</v>
      </c>
      <c r="Y66" s="4">
        <v>48.467802675227937</v>
      </c>
      <c r="Z66" s="4">
        <v>624.69764281448454</v>
      </c>
      <c r="AA66" s="4">
        <v>29.682092120136527</v>
      </c>
      <c r="AB66" s="4">
        <v>366.21594752088475</v>
      </c>
      <c r="AC66" s="4">
        <v>51.210582083464139</v>
      </c>
      <c r="AD66" s="4">
        <v>437.83649052592631</v>
      </c>
      <c r="AE66" s="4">
        <v>40.855850832149123</v>
      </c>
      <c r="AF66" s="4">
        <v>71.093138639501078</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924.55432537311049</v>
      </c>
      <c r="D67" s="4">
        <v>-1.3858229556984262E-12</v>
      </c>
      <c r="E67" s="4">
        <v>-1.534386498955417E-12</v>
      </c>
      <c r="F67" s="4">
        <v>-4.0730108849560696E-10</v>
      </c>
      <c r="G67" s="4">
        <v>-1.0660295743371936E-9</v>
      </c>
      <c r="H67" s="4">
        <v>-2.0854625693054084E-8</v>
      </c>
      <c r="I67" s="4">
        <v>-2.0404273798784534E-7</v>
      </c>
      <c r="J67" s="4">
        <v>-2.8495540745582551E-6</v>
      </c>
      <c r="K67" s="4">
        <v>-7.946150491420398E-6</v>
      </c>
      <c r="L67" s="4">
        <v>-1.1622284857675674E-4</v>
      </c>
      <c r="M67" s="4">
        <v>-7.6865046508641776E-5</v>
      </c>
      <c r="N67" s="4">
        <v>-2.6412468701118622E-3</v>
      </c>
      <c r="O67" s="4">
        <v>2.8006227162073534E-3</v>
      </c>
      <c r="P67" s="4">
        <v>-2.3603656657934451E-2</v>
      </c>
      <c r="Q67" s="4">
        <v>4.2229724728266296E-3</v>
      </c>
      <c r="R67" s="4">
        <v>-4.1905704324886411E-2</v>
      </c>
      <c r="S67" s="4">
        <v>8.9510344503787739E-2</v>
      </c>
      <c r="T67" s="4">
        <v>4.8814984655392175</v>
      </c>
      <c r="U67" s="4">
        <v>1.5777495694764925</v>
      </c>
      <c r="V67" s="4">
        <v>35.269299986576208</v>
      </c>
      <c r="W67" s="4">
        <v>34.748723821676379</v>
      </c>
      <c r="X67" s="4">
        <v>86.777958754782617</v>
      </c>
      <c r="Y67" s="4">
        <v>41.910853741078824</v>
      </c>
      <c r="Z67" s="4">
        <v>568.07742168848847</v>
      </c>
      <c r="AA67" s="4">
        <v>28.394248785017265</v>
      </c>
      <c r="AB67" s="4">
        <v>368.64361386829921</v>
      </c>
      <c r="AC67" s="4">
        <v>54.26250181373441</v>
      </c>
      <c r="AD67" s="4">
        <v>488.49649578019398</v>
      </c>
      <c r="AE67" s="4">
        <v>48.012426353259983</v>
      </c>
      <c r="AF67" s="4">
        <v>88.027678896231507</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905.31595524482987</v>
      </c>
      <c r="D68" s="4">
        <v>-4.3402823819338492E-13</v>
      </c>
      <c r="E68" s="4">
        <v>-5.0255363987101881E-13</v>
      </c>
      <c r="F68" s="4">
        <v>-1.3954233851657017E-10</v>
      </c>
      <c r="G68" s="4">
        <v>-3.821280796174198E-10</v>
      </c>
      <c r="H68" s="4">
        <v>-7.8234630917616471E-9</v>
      </c>
      <c r="I68" s="4">
        <v>-8.0127865832434918E-8</v>
      </c>
      <c r="J68" s="4">
        <v>-1.1716966565275333E-6</v>
      </c>
      <c r="K68" s="4">
        <v>-3.4220174134214277E-6</v>
      </c>
      <c r="L68" s="4">
        <v>-5.2434438295073324E-5</v>
      </c>
      <c r="M68" s="4">
        <v>-3.6338540076770384E-5</v>
      </c>
      <c r="N68" s="4">
        <v>-1.308808612443332E-3</v>
      </c>
      <c r="O68" s="4">
        <v>1.4550125065799333E-3</v>
      </c>
      <c r="P68" s="4">
        <v>-1.286038929526233E-2</v>
      </c>
      <c r="Q68" s="4">
        <v>2.4136532489474234E-3</v>
      </c>
      <c r="R68" s="4">
        <v>-2.5132289207282846E-2</v>
      </c>
      <c r="S68" s="4">
        <v>5.6345117520346488E-2</v>
      </c>
      <c r="T68" s="4">
        <v>3.2261435162083427</v>
      </c>
      <c r="U68" s="4">
        <v>1.0950673404811964</v>
      </c>
      <c r="V68" s="4">
        <v>25.715683501178926</v>
      </c>
      <c r="W68" s="4">
        <v>26.623571808309546</v>
      </c>
      <c r="X68" s="4">
        <v>69.886357673015993</v>
      </c>
      <c r="Y68" s="4">
        <v>35.489170604710182</v>
      </c>
      <c r="Z68" s="4">
        <v>505.93610990491902</v>
      </c>
      <c r="AA68" s="4">
        <v>26.605498412902424</v>
      </c>
      <c r="AB68" s="4">
        <v>363.52669571692871</v>
      </c>
      <c r="AC68" s="4">
        <v>56.332026768042063</v>
      </c>
      <c r="AD68" s="4">
        <v>534.05020898821283</v>
      </c>
      <c r="AE68" s="4">
        <v>55.294280529254486</v>
      </c>
      <c r="AF68" s="4">
        <v>106.83027688450153</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880.60481097169406</v>
      </c>
      <c r="D69" s="4">
        <v>-1.3276416279937914E-13</v>
      </c>
      <c r="E69" s="4">
        <v>-1.6077966872615732E-13</v>
      </c>
      <c r="F69" s="4">
        <v>-4.6703147438027798E-11</v>
      </c>
      <c r="G69" s="4">
        <v>-1.338281014177259E-10</v>
      </c>
      <c r="H69" s="4">
        <v>-2.867764941185809E-9</v>
      </c>
      <c r="I69" s="4">
        <v>-3.0749875527903283E-8</v>
      </c>
      <c r="J69" s="4">
        <v>-4.7086952661896674E-7</v>
      </c>
      <c r="K69" s="4">
        <v>-1.4404718687255481E-6</v>
      </c>
      <c r="L69" s="4">
        <v>-2.3125395645056366E-5</v>
      </c>
      <c r="M69" s="4">
        <v>-1.6795931610642278E-5</v>
      </c>
      <c r="N69" s="4">
        <v>-6.3415031851662008E-4</v>
      </c>
      <c r="O69" s="4">
        <v>7.392289016407102E-4</v>
      </c>
      <c r="P69" s="4">
        <v>-6.8529963147950764E-3</v>
      </c>
      <c r="Q69" s="4">
        <v>1.3493817227099613E-3</v>
      </c>
      <c r="R69" s="4">
        <v>-1.4745052743381991E-2</v>
      </c>
      <c r="S69" s="4">
        <v>3.4701407556221774E-2</v>
      </c>
      <c r="T69" s="4">
        <v>2.0862897389049975</v>
      </c>
      <c r="U69" s="4">
        <v>0.74380137634077159</v>
      </c>
      <c r="V69" s="4">
        <v>18.351264507609415</v>
      </c>
      <c r="W69" s="4">
        <v>19.967058296351009</v>
      </c>
      <c r="X69" s="4">
        <v>55.09974959398604</v>
      </c>
      <c r="Y69" s="4">
        <v>29.423456964552063</v>
      </c>
      <c r="Z69" s="4">
        <v>441.23191983410601</v>
      </c>
      <c r="AA69" s="4">
        <v>24.414646382079869</v>
      </c>
      <c r="AB69" s="4">
        <v>351.12292891670802</v>
      </c>
      <c r="AC69" s="4">
        <v>57.287495298102797</v>
      </c>
      <c r="AD69" s="4">
        <v>572.01520478700456</v>
      </c>
      <c r="AE69" s="4">
        <v>62.397604883565684</v>
      </c>
      <c r="AF69" s="4">
        <v>127.05368541174026</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850.39281124838521</v>
      </c>
      <c r="D70" s="4">
        <v>-3.9657261844110993E-14</v>
      </c>
      <c r="E70" s="4">
        <v>-5.023512397409453E-14</v>
      </c>
      <c r="F70" s="4">
        <v>-1.5267321895258951E-11</v>
      </c>
      <c r="G70" s="4">
        <v>-4.5783756764322892E-11</v>
      </c>
      <c r="H70" s="4">
        <v>-1.0269830165762137E-9</v>
      </c>
      <c r="I70" s="4">
        <v>-1.1529967207675853E-8</v>
      </c>
      <c r="J70" s="4">
        <v>-1.8491021537537535E-7</v>
      </c>
      <c r="K70" s="4">
        <v>-5.9258759048532577E-7</v>
      </c>
      <c r="L70" s="4">
        <v>-9.9686762189966121E-6</v>
      </c>
      <c r="M70" s="4">
        <v>-7.588699112755772E-6</v>
      </c>
      <c r="N70" s="4">
        <v>-3.0039038959337507E-4</v>
      </c>
      <c r="O70" s="4">
        <v>3.6721492527215857E-4</v>
      </c>
      <c r="P70" s="4">
        <v>-3.5709829506546053E-3</v>
      </c>
      <c r="Q70" s="4">
        <v>7.3778136677455969E-4</v>
      </c>
      <c r="R70" s="4">
        <v>-8.4614705437749439E-3</v>
      </c>
      <c r="S70" s="4">
        <v>2.0906231412053174E-2</v>
      </c>
      <c r="T70" s="4">
        <v>1.3199465812994764</v>
      </c>
      <c r="U70" s="4">
        <v>0.49433022991114184</v>
      </c>
      <c r="V70" s="4">
        <v>12.815380984577116</v>
      </c>
      <c r="W70" s="4">
        <v>14.65592851410255</v>
      </c>
      <c r="X70" s="4">
        <v>42.521887653565344</v>
      </c>
      <c r="Y70" s="4">
        <v>23.880959326635985</v>
      </c>
      <c r="Z70" s="4">
        <v>376.74999821567582</v>
      </c>
      <c r="AA70" s="4">
        <v>21.938138228353168</v>
      </c>
      <c r="AB70" s="4">
        <v>332.12984538669059</v>
      </c>
      <c r="AC70" s="4">
        <v>57.061870987921445</v>
      </c>
      <c r="AD70" s="4">
        <v>600.16546883930857</v>
      </c>
      <c r="AE70" s="4">
        <v>68.984283901812901</v>
      </c>
      <c r="AF70" s="4">
        <v>148.05792361058758</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814.74171445197135</v>
      </c>
      <c r="D71" s="4">
        <v>-1.1565629059186088E-14</v>
      </c>
      <c r="E71" s="4">
        <v>-1.5326302580668247E-14</v>
      </c>
      <c r="F71" s="4">
        <v>-4.8739638699172762E-12</v>
      </c>
      <c r="G71" s="4">
        <v>-1.5297754792384589E-11</v>
      </c>
      <c r="H71" s="4">
        <v>-3.5924012117175641E-10</v>
      </c>
      <c r="I71" s="4">
        <v>-4.2234233743737636E-9</v>
      </c>
      <c r="J71" s="4">
        <v>-7.0945248271237596E-8</v>
      </c>
      <c r="K71" s="4">
        <v>-2.3820613617873361E-7</v>
      </c>
      <c r="L71" s="4">
        <v>-4.199419348665985E-6</v>
      </c>
      <c r="M71" s="4">
        <v>-3.3510823985598793E-6</v>
      </c>
      <c r="N71" s="4">
        <v>-1.3908675700968968E-4</v>
      </c>
      <c r="O71" s="4">
        <v>1.7832791107445504E-4</v>
      </c>
      <c r="P71" s="4">
        <v>-1.8193013684288087E-3</v>
      </c>
      <c r="Q71" s="4">
        <v>3.9444132793558818E-4</v>
      </c>
      <c r="R71" s="4">
        <v>-4.7485368903398854E-3</v>
      </c>
      <c r="S71" s="4">
        <v>1.231889511328769E-2</v>
      </c>
      <c r="T71" s="4">
        <v>0.81688069010185071</v>
      </c>
      <c r="U71" s="4">
        <v>0.3214041026665404</v>
      </c>
      <c r="V71" s="4">
        <v>8.7563867133779887</v>
      </c>
      <c r="W71" s="4">
        <v>10.526757709330711</v>
      </c>
      <c r="X71" s="4">
        <v>32.115298315592874</v>
      </c>
      <c r="Y71" s="4">
        <v>18.971477797222597</v>
      </c>
      <c r="Z71" s="4">
        <v>314.90971243858939</v>
      </c>
      <c r="AA71" s="4">
        <v>19.299721228694104</v>
      </c>
      <c r="AB71" s="4">
        <v>307.61986101466721</v>
      </c>
      <c r="AC71" s="4">
        <v>55.660371401442667</v>
      </c>
      <c r="AD71" s="4">
        <v>616.74390854577086</v>
      </c>
      <c r="AE71" s="4">
        <v>74.706725754378127</v>
      </c>
      <c r="AF71" s="4">
        <v>169.02874631702707</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773.84271534144091</v>
      </c>
      <c r="D72" s="4">
        <v>-3.2926492764902021E-15</v>
      </c>
      <c r="E72" s="4">
        <v>-4.5650562687510391E-15</v>
      </c>
      <c r="F72" s="4">
        <v>-1.519252572506099E-12</v>
      </c>
      <c r="G72" s="4">
        <v>-4.9913942594875886E-12</v>
      </c>
      <c r="H72" s="4">
        <v>-1.2272534666905084E-10</v>
      </c>
      <c r="I72" s="4">
        <v>-1.5110514531693786E-9</v>
      </c>
      <c r="J72" s="4">
        <v>-2.6589753545218421E-8</v>
      </c>
      <c r="K72" s="4">
        <v>-9.3547613570410261E-8</v>
      </c>
      <c r="L72" s="4">
        <v>-1.7285082054095917E-6</v>
      </c>
      <c r="M72" s="4">
        <v>-1.4460545740607136E-6</v>
      </c>
      <c r="N72" s="4">
        <v>-6.2938875680425632E-5</v>
      </c>
      <c r="O72" s="4">
        <v>8.4645468967493813E-5</v>
      </c>
      <c r="P72" s="4">
        <v>-9.0606457694254402E-4</v>
      </c>
      <c r="Q72" s="4">
        <v>2.0617087767200215E-4</v>
      </c>
      <c r="R72" s="4">
        <v>-2.6056543828262618E-3</v>
      </c>
      <c r="S72" s="4">
        <v>7.0984567468890831E-3</v>
      </c>
      <c r="T72" s="4">
        <v>0.49443652962630258</v>
      </c>
      <c r="U72" s="4">
        <v>0.20440385821838292</v>
      </c>
      <c r="V72" s="4">
        <v>5.8529642616090198</v>
      </c>
      <c r="W72" s="4">
        <v>7.3975492859292817</v>
      </c>
      <c r="X72" s="4">
        <v>23.734390702597192</v>
      </c>
      <c r="Y72" s="4">
        <v>14.749331553350775</v>
      </c>
      <c r="Z72" s="4">
        <v>257.6297734490405</v>
      </c>
      <c r="AA72" s="4">
        <v>16.620162226244059</v>
      </c>
      <c r="AB72" s="4">
        <v>278.93941997622738</v>
      </c>
      <c r="AC72" s="4">
        <v>53.16082249550292</v>
      </c>
      <c r="AD72" s="4">
        <v>620.64181192188937</v>
      </c>
      <c r="AE72" s="4">
        <v>79.237122400263971</v>
      </c>
      <c r="AF72" s="4">
        <v>189.01943070346482</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728.05353509992278</v>
      </c>
      <c r="D73" s="4">
        <v>-9.1490435631052431E-16</v>
      </c>
      <c r="E73" s="4">
        <v>-1.327266926606639E-15</v>
      </c>
      <c r="F73" s="4">
        <v>-4.6230725729416871E-13</v>
      </c>
      <c r="G73" s="4">
        <v>-1.5900802347357219E-12</v>
      </c>
      <c r="H73" s="4">
        <v>-4.093896764994496E-11</v>
      </c>
      <c r="I73" s="4">
        <v>-5.2795578276826799E-10</v>
      </c>
      <c r="J73" s="4">
        <v>-9.7332915836931191E-9</v>
      </c>
      <c r="K73" s="4">
        <v>-3.5885412688497542E-8</v>
      </c>
      <c r="L73" s="4">
        <v>-6.9504102045163315E-7</v>
      </c>
      <c r="M73" s="4">
        <v>-6.0966697049599952E-7</v>
      </c>
      <c r="N73" s="4">
        <v>-2.7829954439642514E-5</v>
      </c>
      <c r="O73" s="4">
        <v>3.9264550348016632E-5</v>
      </c>
      <c r="P73" s="4">
        <v>-4.4104071192669351E-4</v>
      </c>
      <c r="Q73" s="4">
        <v>1.0533920986726285E-4</v>
      </c>
      <c r="R73" s="4">
        <v>-1.3977990625313487E-3</v>
      </c>
      <c r="S73" s="4">
        <v>3.9992678016699942E-3</v>
      </c>
      <c r="T73" s="4">
        <v>0.29264463560683418</v>
      </c>
      <c r="U73" s="4">
        <v>0.12713318077388591</v>
      </c>
      <c r="V73" s="4">
        <v>3.8266023619650884</v>
      </c>
      <c r="W73" s="4">
        <v>5.0853673361753495</v>
      </c>
      <c r="X73" s="4">
        <v>17.16091585059965</v>
      </c>
      <c r="Y73" s="4">
        <v>11.220058498911676</v>
      </c>
      <c r="Z73" s="4">
        <v>206.25920978575846</v>
      </c>
      <c r="AA73" s="4">
        <v>14.008215641687073</v>
      </c>
      <c r="AB73" s="4">
        <v>247.585458523158</v>
      </c>
      <c r="AC73" s="4">
        <v>49.70656264353736</v>
      </c>
      <c r="AD73" s="4">
        <v>611.52008089000378</v>
      </c>
      <c r="AE73" s="4">
        <v>82.297882331445692</v>
      </c>
      <c r="AF73" s="4">
        <v>207.01466266928736</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677.92534743010822</v>
      </c>
      <c r="D74" s="4">
        <v>-2.4807532271810183E-16</v>
      </c>
      <c r="E74" s="4">
        <v>-3.7661507237343061E-16</v>
      </c>
      <c r="F74" s="4">
        <v>-1.3731204541621556E-13</v>
      </c>
      <c r="G74" s="4">
        <v>-4.944741335917082E-13</v>
      </c>
      <c r="H74" s="4">
        <v>-1.3332676343083005E-11</v>
      </c>
      <c r="I74" s="4">
        <v>-1.8011273157924477E-10</v>
      </c>
      <c r="J74" s="4">
        <v>-3.4792427697931827E-9</v>
      </c>
      <c r="K74" s="4">
        <v>-1.344417178735975E-8</v>
      </c>
      <c r="L74" s="4">
        <v>-2.7298066667828221E-7</v>
      </c>
      <c r="M74" s="4">
        <v>-2.5109322178504257E-7</v>
      </c>
      <c r="N74" s="4">
        <v>-1.2022437246094013E-5</v>
      </c>
      <c r="O74" s="4">
        <v>1.7796578620559483E-5</v>
      </c>
      <c r="P74" s="4">
        <v>-2.0979249788725409E-4</v>
      </c>
      <c r="Q74" s="4">
        <v>5.2601437200625488E-5</v>
      </c>
      <c r="R74" s="4">
        <v>-7.3294414032459669E-4</v>
      </c>
      <c r="S74" s="4">
        <v>2.2026673863854334E-3</v>
      </c>
      <c r="T74" s="4">
        <v>0.16934659957257589</v>
      </c>
      <c r="U74" s="4">
        <v>7.7319485674600771E-2</v>
      </c>
      <c r="V74" s="4">
        <v>2.4466151762953667</v>
      </c>
      <c r="W74" s="4">
        <v>3.4192167458271436</v>
      </c>
      <c r="X74" s="4">
        <v>12.137464725038202</v>
      </c>
      <c r="Y74" s="4">
        <v>8.3502347802274475</v>
      </c>
      <c r="Z74" s="4">
        <v>161.57248556291489</v>
      </c>
      <c r="AA74" s="4">
        <v>11.553763027999201</v>
      </c>
      <c r="AB74" s="4">
        <v>215.07509124563694</v>
      </c>
      <c r="AC74" s="4">
        <v>45.492785497079879</v>
      </c>
      <c r="AD74" s="4">
        <v>589.85402156180658</v>
      </c>
      <c r="AE74" s="4">
        <v>83.68940599185882</v>
      </c>
      <c r="AF74" s="4">
        <v>222.01162669514957</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624.2126212893063</v>
      </c>
      <c r="D75" s="4">
        <v>-6.5628431496695213E-17</v>
      </c>
      <c r="E75" s="4">
        <v>-1.0427677748435155E-16</v>
      </c>
      <c r="F75" s="4">
        <v>-3.9800378582392492E-14</v>
      </c>
      <c r="G75" s="4">
        <v>-1.5007874601685559E-13</v>
      </c>
      <c r="H75" s="4">
        <v>-4.2383768767545476E-12</v>
      </c>
      <c r="I75" s="4">
        <v>-5.9985191487517739E-11</v>
      </c>
      <c r="J75" s="4">
        <v>-1.2142658477999152E-9</v>
      </c>
      <c r="K75" s="4">
        <v>-4.9181952556243335E-9</v>
      </c>
      <c r="L75" s="4">
        <v>-1.0470340255457912E-7</v>
      </c>
      <c r="M75" s="4">
        <v>-1.0100361129387092E-7</v>
      </c>
      <c r="N75" s="4">
        <v>-5.0732301789223265E-6</v>
      </c>
      <c r="O75" s="4">
        <v>7.8801986309263659E-6</v>
      </c>
      <c r="P75" s="4">
        <v>-9.7503233923894433E-5</v>
      </c>
      <c r="Q75" s="4">
        <v>2.566707017792968E-5</v>
      </c>
      <c r="R75" s="4">
        <v>-3.7559672201246274E-4</v>
      </c>
      <c r="S75" s="4">
        <v>1.1857581086746132E-3</v>
      </c>
      <c r="T75" s="4">
        <v>9.5795568653677041E-2</v>
      </c>
      <c r="U75" s="4">
        <v>4.5973400255185828E-2</v>
      </c>
      <c r="V75" s="4">
        <v>1.5295389644013713</v>
      </c>
      <c r="W75" s="4">
        <v>2.2481678636782303</v>
      </c>
      <c r="X75" s="4">
        <v>8.3959314537395926</v>
      </c>
      <c r="Y75" s="4">
        <v>6.0787118313329547</v>
      </c>
      <c r="Z75" s="4">
        <v>123.81892396039575</v>
      </c>
      <c r="AA75" s="4">
        <v>9.3236563753128952</v>
      </c>
      <c r="AB75" s="4">
        <v>182.8244248921242</v>
      </c>
      <c r="AC75" s="4">
        <v>40.748136212910424</v>
      </c>
      <c r="AD75" s="4">
        <v>556.89388630621897</v>
      </c>
      <c r="AE75" s="4">
        <v>83.311396971884122</v>
      </c>
      <c r="AF75" s="4">
        <v>233.10995785741784</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43ACC-FE0D-47E0-8464-63F39BC9FAAA}">
  <sheetPr codeName="Tabelle15"/>
  <dimension ref="A13:F16"/>
  <sheetViews>
    <sheetView workbookViewId="0">
      <selection activeCell="A13" sqref="A13:F16"/>
    </sheetView>
  </sheetViews>
  <sheetFormatPr baseColWidth="10" defaultRowHeight="14.4" x14ac:dyDescent="0.3"/>
  <cols>
    <col min="1" max="1" width="20.6640625" bestFit="1" customWidth="1"/>
    <col min="2" max="2" width="12.5546875" bestFit="1" customWidth="1"/>
    <col min="3" max="6" width="12.5546875" customWidth="1"/>
    <col min="7" max="14" width="12.5546875" bestFit="1" customWidth="1"/>
    <col min="15" max="17" width="12.5546875" customWidth="1"/>
    <col min="18" max="22" width="12.5546875" bestFit="1" customWidth="1"/>
    <col min="23" max="25" width="12.5546875" customWidth="1"/>
    <col min="26" max="28" width="12.5546875" bestFit="1" customWidth="1"/>
    <col min="29" max="33" width="12.5546875" customWidth="1"/>
    <col min="34" max="36" width="12.5546875" bestFit="1" customWidth="1"/>
    <col min="37" max="41" width="13" bestFit="1" customWidth="1"/>
    <col min="42" max="43" width="12.5546875" customWidth="1"/>
    <col min="44" max="44" width="12.5546875" bestFit="1" customWidth="1"/>
    <col min="45" max="48" width="12.6640625" bestFit="1" customWidth="1"/>
    <col min="49" max="50" width="12.6640625" customWidth="1"/>
    <col min="51" max="55" width="12.6640625" bestFit="1" customWidth="1"/>
    <col min="56" max="58" width="12.6640625" customWidth="1"/>
    <col min="59" max="62" width="12.6640625" bestFit="1" customWidth="1"/>
    <col min="63" max="66" width="12.6640625" customWidth="1"/>
    <col min="67" max="67" width="12.6640625" bestFit="1" customWidth="1"/>
    <col min="68" max="68" width="12.6640625" customWidth="1"/>
    <col min="69" max="72" width="12.6640625" bestFit="1" customWidth="1"/>
    <col min="73" max="74" width="12.6640625" customWidth="1"/>
    <col min="75" max="75" width="12.6640625" bestFit="1" customWidth="1"/>
    <col min="76" max="78" width="12.6640625" customWidth="1"/>
    <col min="79" max="83" width="12.6640625" bestFit="1" customWidth="1"/>
    <col min="84" max="85" width="12.6640625" customWidth="1"/>
    <col min="86" max="89" width="12.6640625" bestFit="1" customWidth="1"/>
    <col min="90" max="91" width="12.6640625" customWidth="1"/>
    <col min="92" max="92" width="12.6640625" bestFit="1" customWidth="1"/>
    <col min="93" max="93" width="12.6640625" customWidth="1"/>
    <col min="94" max="96" width="12.6640625" bestFit="1" customWidth="1"/>
    <col min="97" max="103" width="12.6640625" customWidth="1"/>
    <col min="104" max="110" width="12.6640625" bestFit="1" customWidth="1"/>
    <col min="111" max="113" width="12.6640625" customWidth="1"/>
    <col min="114" max="117" width="12.6640625" bestFit="1" customWidth="1"/>
    <col min="118" max="119" width="12.6640625" customWidth="1"/>
    <col min="120" max="120" width="12.6640625" bestFit="1" customWidth="1"/>
    <col min="121" max="123" width="12.6640625" customWidth="1"/>
    <col min="124" max="127" width="12.6640625" bestFit="1" customWidth="1"/>
    <col min="128" max="129" width="12.6640625" customWidth="1"/>
    <col min="130" max="130" width="12.6640625" bestFit="1" customWidth="1"/>
    <col min="131" max="133" width="12.6640625" customWidth="1"/>
    <col min="134" max="138" width="12.6640625" bestFit="1" customWidth="1"/>
    <col min="139" max="141" width="12.6640625" customWidth="1"/>
    <col min="142" max="146" width="12.6640625" bestFit="1" customWidth="1"/>
    <col min="147" max="148" width="12.6640625" customWidth="1"/>
    <col min="149" max="151" width="12.6640625" bestFit="1" customWidth="1"/>
    <col min="152" max="157" width="12.6640625" customWidth="1"/>
    <col min="158" max="159" width="12.6640625" bestFit="1" customWidth="1"/>
    <col min="160" max="161" width="12.6640625" customWidth="1"/>
    <col min="162" max="171" width="12.6640625" bestFit="1" customWidth="1"/>
    <col min="172" max="173" width="12.6640625" customWidth="1"/>
    <col min="174" max="174" width="12.6640625" bestFit="1" customWidth="1"/>
    <col min="175" max="175" width="21.6640625" bestFit="1" customWidth="1"/>
    <col min="176" max="184" width="12.6640625" bestFit="1" customWidth="1"/>
    <col min="185" max="187" width="12.6640625" customWidth="1"/>
    <col min="188" max="192" width="12.6640625" bestFit="1" customWidth="1"/>
    <col min="193" max="193" width="12.6640625" customWidth="1"/>
    <col min="194" max="202" width="12.6640625" bestFit="1" customWidth="1"/>
    <col min="203" max="207" width="12.6640625" customWidth="1"/>
    <col min="208" max="208" width="12.6640625" bestFit="1" customWidth="1"/>
    <col min="209" max="211" width="12.6640625" customWidth="1"/>
    <col min="212" max="215" width="12.6640625" bestFit="1" customWidth="1"/>
    <col min="216" max="226" width="12.6640625" customWidth="1"/>
    <col min="227" max="227" width="12.6640625" bestFit="1" customWidth="1"/>
    <col min="228" max="229" width="12.6640625" customWidth="1"/>
    <col min="230" max="234" width="12.6640625" bestFit="1" customWidth="1"/>
    <col min="235" max="237" width="12.6640625" customWidth="1"/>
    <col min="238" max="261" width="12.6640625" bestFit="1" customWidth="1"/>
    <col min="262" max="263" width="12.109375" bestFit="1" customWidth="1"/>
    <col min="264" max="264" width="13.109375" bestFit="1" customWidth="1"/>
    <col min="265" max="265" width="14.109375" bestFit="1" customWidth="1"/>
    <col min="266" max="266" width="15.109375" bestFit="1" customWidth="1"/>
    <col min="267" max="268" width="14.109375" bestFit="1" customWidth="1"/>
    <col min="269" max="271" width="15.109375" bestFit="1" customWidth="1"/>
    <col min="272" max="274" width="14.109375" bestFit="1" customWidth="1"/>
    <col min="275" max="277" width="13.109375" bestFit="1" customWidth="1"/>
    <col min="278" max="280" width="14.109375" bestFit="1" customWidth="1"/>
    <col min="281" max="281" width="15.109375" bestFit="1" customWidth="1"/>
    <col min="282" max="282" width="14.109375" bestFit="1" customWidth="1"/>
    <col min="283" max="283" width="13.109375" bestFit="1" customWidth="1"/>
    <col min="284" max="285" width="14.109375" bestFit="1" customWidth="1"/>
    <col min="286" max="286" width="13.109375" bestFit="1" customWidth="1"/>
    <col min="287" max="287" width="12.109375" bestFit="1" customWidth="1"/>
    <col min="288" max="288" width="14.109375" bestFit="1" customWidth="1"/>
    <col min="289" max="290" width="15.109375" bestFit="1" customWidth="1"/>
    <col min="291" max="292" width="14.109375" bestFit="1" customWidth="1"/>
    <col min="293" max="295" width="15.109375" bestFit="1" customWidth="1"/>
    <col min="296" max="297" width="14.109375" bestFit="1" customWidth="1"/>
    <col min="298" max="299" width="15.109375" bestFit="1" customWidth="1"/>
    <col min="300" max="301" width="14.109375" bestFit="1" customWidth="1"/>
    <col min="302" max="302" width="15.109375" bestFit="1" customWidth="1"/>
    <col min="303" max="306" width="14.109375" bestFit="1" customWidth="1"/>
    <col min="307" max="308" width="15.109375" bestFit="1" customWidth="1"/>
    <col min="309" max="310" width="14.109375" bestFit="1" customWidth="1"/>
    <col min="311" max="312" width="15.109375" bestFit="1" customWidth="1"/>
    <col min="313" max="314" width="14.109375" bestFit="1" customWidth="1"/>
    <col min="315" max="317" width="15.109375" bestFit="1" customWidth="1"/>
    <col min="318" max="318" width="14.109375" bestFit="1" customWidth="1"/>
    <col min="319" max="319" width="13.109375" bestFit="1" customWidth="1"/>
    <col min="320" max="322" width="14.109375" bestFit="1" customWidth="1"/>
    <col min="323" max="324" width="13.109375" bestFit="1" customWidth="1"/>
    <col min="325" max="327" width="14.109375" bestFit="1" customWidth="1"/>
    <col min="328" max="329" width="13.109375" bestFit="1" customWidth="1"/>
    <col min="330" max="332" width="14.109375" bestFit="1" customWidth="1"/>
    <col min="333" max="334" width="13.109375" bestFit="1" customWidth="1"/>
    <col min="335" max="337" width="14.109375" bestFit="1" customWidth="1"/>
    <col min="338" max="338" width="13.109375" bestFit="1" customWidth="1"/>
    <col min="339" max="339" width="12.109375" bestFit="1" customWidth="1"/>
    <col min="340" max="342" width="13.109375" bestFit="1" customWidth="1"/>
    <col min="343" max="343" width="12.109375" bestFit="1" customWidth="1"/>
    <col min="344" max="346" width="11.109375" bestFit="1" customWidth="1"/>
    <col min="347" max="348" width="12.109375" bestFit="1" customWidth="1"/>
    <col min="349" max="349" width="11.109375" bestFit="1" customWidth="1"/>
    <col min="350" max="355" width="12.109375" bestFit="1" customWidth="1"/>
    <col min="356" max="356" width="11.109375" bestFit="1" customWidth="1"/>
    <col min="357" max="357" width="15.109375" bestFit="1" customWidth="1"/>
    <col min="358" max="358" width="14.109375" bestFit="1" customWidth="1"/>
    <col min="359" max="359" width="13.109375" bestFit="1" customWidth="1"/>
    <col min="360" max="362" width="14.109375" bestFit="1" customWidth="1"/>
    <col min="363" max="363" width="13.109375" bestFit="1" customWidth="1"/>
    <col min="364" max="366" width="12.109375" bestFit="1" customWidth="1"/>
    <col min="367" max="369" width="14.109375" bestFit="1" customWidth="1"/>
    <col min="370" max="377" width="13.109375" bestFit="1" customWidth="1"/>
    <col min="378" max="378" width="12.109375" bestFit="1" customWidth="1"/>
    <col min="379" max="380" width="11.109375" bestFit="1" customWidth="1"/>
    <col min="381" max="381" width="12.109375" bestFit="1" customWidth="1"/>
    <col min="382" max="382" width="14.109375" bestFit="1" customWidth="1"/>
    <col min="383" max="385" width="15.109375" bestFit="1" customWidth="1"/>
    <col min="386" max="387" width="14.109375" bestFit="1" customWidth="1"/>
    <col min="388" max="390" width="15.109375" bestFit="1" customWidth="1"/>
    <col min="391" max="392" width="14.109375" bestFit="1" customWidth="1"/>
    <col min="393" max="397" width="15.109375" bestFit="1" customWidth="1"/>
    <col min="398" max="399" width="14.109375" bestFit="1" customWidth="1"/>
    <col min="400" max="400" width="15.109375" bestFit="1" customWidth="1"/>
    <col min="401" max="403" width="14.109375" bestFit="1" customWidth="1"/>
    <col min="404" max="404" width="13.109375" bestFit="1" customWidth="1"/>
    <col min="405" max="407" width="14.109375" bestFit="1" customWidth="1"/>
    <col min="408" max="409" width="13.109375" bestFit="1" customWidth="1"/>
    <col min="410" max="412" width="14.109375" bestFit="1" customWidth="1"/>
    <col min="413" max="414" width="13.109375" bestFit="1" customWidth="1"/>
    <col min="415" max="417" width="14.109375" bestFit="1" customWidth="1"/>
    <col min="418" max="419" width="13.109375" bestFit="1" customWidth="1"/>
    <col min="420" max="422" width="14.109375" bestFit="1" customWidth="1"/>
    <col min="423" max="423" width="13.109375" bestFit="1" customWidth="1"/>
    <col min="424" max="424" width="12.109375" bestFit="1" customWidth="1"/>
    <col min="425" max="430" width="13.109375" bestFit="1" customWidth="1"/>
    <col min="431" max="431" width="12.109375" bestFit="1" customWidth="1"/>
    <col min="432" max="433" width="11.109375" bestFit="1" customWidth="1"/>
    <col min="434" max="436" width="12.109375" bestFit="1" customWidth="1"/>
    <col min="437" max="437" width="11.109375" bestFit="1" customWidth="1"/>
    <col min="438" max="439" width="14.109375" bestFit="1" customWidth="1"/>
    <col min="440" max="440" width="13.109375" bestFit="1" customWidth="1"/>
    <col min="441" max="443" width="14.109375" bestFit="1" customWidth="1"/>
    <col min="444" max="445" width="13.109375" bestFit="1" customWidth="1"/>
    <col min="446" max="448" width="14.109375" bestFit="1" customWidth="1"/>
    <col min="449" max="450" width="13.109375" bestFit="1" customWidth="1"/>
    <col min="451" max="453" width="14.109375" bestFit="1" customWidth="1"/>
    <col min="454" max="455" width="13.109375" bestFit="1" customWidth="1"/>
    <col min="456" max="458" width="14.109375" bestFit="1" customWidth="1"/>
    <col min="459" max="459" width="13.109375" bestFit="1" customWidth="1"/>
    <col min="460" max="460" width="12.109375" bestFit="1" customWidth="1"/>
    <col min="461" max="466" width="13.109375" bestFit="1" customWidth="1"/>
    <col min="467" max="467" width="12.109375" bestFit="1" customWidth="1"/>
    <col min="468" max="469" width="11.109375" bestFit="1" customWidth="1"/>
    <col min="470" max="472" width="12.109375" bestFit="1" customWidth="1"/>
    <col min="473" max="473" width="11.109375" bestFit="1" customWidth="1"/>
  </cols>
  <sheetData>
    <row r="13" spans="1:6" x14ac:dyDescent="0.3">
      <c r="A13" t="s">
        <v>201</v>
      </c>
      <c r="B13" t="s">
        <v>289</v>
      </c>
      <c r="C13" t="s">
        <v>290</v>
      </c>
      <c r="D13" t="s">
        <v>291</v>
      </c>
      <c r="E13" t="s">
        <v>292</v>
      </c>
      <c r="F13" t="s">
        <v>287</v>
      </c>
    </row>
    <row r="14" spans="1:6" x14ac:dyDescent="0.3">
      <c r="A14" t="s">
        <v>202</v>
      </c>
      <c r="B14" t="s">
        <v>242</v>
      </c>
      <c r="C14" t="s">
        <v>242</v>
      </c>
      <c r="D14" t="s">
        <v>242</v>
      </c>
      <c r="E14" t="s">
        <v>242</v>
      </c>
      <c r="F14" s="92" t="s">
        <v>242</v>
      </c>
    </row>
    <row r="15" spans="1:6" x14ac:dyDescent="0.3">
      <c r="A15" t="s">
        <v>203</v>
      </c>
      <c r="B15" t="s">
        <v>293</v>
      </c>
      <c r="C15" t="s">
        <v>294</v>
      </c>
      <c r="D15" t="s">
        <v>295</v>
      </c>
      <c r="E15" t="s">
        <v>296</v>
      </c>
      <c r="F15" s="92" t="s">
        <v>288</v>
      </c>
    </row>
    <row r="16" spans="1:6" x14ac:dyDescent="0.3">
      <c r="A16" t="s">
        <v>204</v>
      </c>
      <c r="B16" t="s">
        <v>242</v>
      </c>
      <c r="C16" t="s">
        <v>242</v>
      </c>
      <c r="D16" t="s">
        <v>242</v>
      </c>
      <c r="E16" t="s">
        <v>242</v>
      </c>
      <c r="F16" s="92" t="s">
        <v>242</v>
      </c>
    </row>
  </sheetData>
  <phoneticPr fontId="25" type="noConversion"/>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185E-AA76-4187-9FAD-E5A70E9034DC}">
  <sheetPr codeName="Tabelle12"/>
  <dimension ref="A1:F6"/>
  <sheetViews>
    <sheetView workbookViewId="0">
      <selection sqref="A1:F6"/>
    </sheetView>
  </sheetViews>
  <sheetFormatPr baseColWidth="10" defaultRowHeight="14.4" x14ac:dyDescent="0.3"/>
  <cols>
    <col min="1" max="1" width="20.33203125" bestFit="1" customWidth="1"/>
    <col min="2" max="2" width="11.5546875" bestFit="1" customWidth="1"/>
    <col min="4" max="4" width="7.88671875" bestFit="1" customWidth="1"/>
    <col min="5" max="5" width="9.88671875" bestFit="1" customWidth="1"/>
    <col min="6" max="6" width="6.6640625" bestFit="1" customWidth="1"/>
  </cols>
  <sheetData>
    <row r="1" spans="1:6" x14ac:dyDescent="0.3">
      <c r="A1" t="s">
        <v>65</v>
      </c>
      <c r="B1" t="s">
        <v>66</v>
      </c>
      <c r="C1" t="s">
        <v>113</v>
      </c>
      <c r="D1" t="s">
        <v>68</v>
      </c>
      <c r="E1" t="s">
        <v>67</v>
      </c>
      <c r="F1" t="s">
        <v>61</v>
      </c>
    </row>
    <row r="2" spans="1:6" x14ac:dyDescent="0.3">
      <c r="A2" t="s">
        <v>177</v>
      </c>
      <c r="B2" t="s">
        <v>183</v>
      </c>
      <c r="C2" t="s">
        <v>184</v>
      </c>
      <c r="D2">
        <v>65</v>
      </c>
      <c r="E2">
        <v>2747</v>
      </c>
    </row>
    <row r="3" spans="1:6" x14ac:dyDescent="0.3">
      <c r="A3" t="s">
        <v>94</v>
      </c>
      <c r="B3" t="s">
        <v>185</v>
      </c>
      <c r="C3" t="s">
        <v>179</v>
      </c>
      <c r="D3">
        <v>-15</v>
      </c>
      <c r="E3">
        <v>-650</v>
      </c>
    </row>
    <row r="4" spans="1:6" x14ac:dyDescent="0.3">
      <c r="A4" t="s">
        <v>69</v>
      </c>
      <c r="B4" t="s">
        <v>186</v>
      </c>
      <c r="C4" t="s">
        <v>180</v>
      </c>
      <c r="D4">
        <v>-10</v>
      </c>
      <c r="E4">
        <v>-433</v>
      </c>
    </row>
    <row r="5" spans="1:6" x14ac:dyDescent="0.3">
      <c r="A5" t="s">
        <v>175</v>
      </c>
      <c r="B5" s="88" t="s">
        <v>187</v>
      </c>
      <c r="C5" t="s">
        <v>181</v>
      </c>
      <c r="D5">
        <v>-13</v>
      </c>
      <c r="E5">
        <v>-565</v>
      </c>
    </row>
    <row r="6" spans="1:6" x14ac:dyDescent="0.3">
      <c r="A6" t="s">
        <v>99</v>
      </c>
      <c r="B6" t="s">
        <v>188</v>
      </c>
      <c r="C6" t="s">
        <v>182</v>
      </c>
      <c r="D6">
        <v>25</v>
      </c>
      <c r="E6">
        <v>1046</v>
      </c>
    </row>
  </sheetData>
  <phoneticPr fontId="25" type="noConversion"/>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FD252-F099-4458-903E-B1CF816E5233}">
  <sheetPr codeName="Tabelle14"/>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12</v>
      </c>
      <c r="B1" t="s">
        <v>13</v>
      </c>
    </row>
    <row r="2" spans="1:2" x14ac:dyDescent="0.3">
      <c r="A2">
        <v>8092023</v>
      </c>
      <c r="B2">
        <v>3.7999999999999999E-2</v>
      </c>
    </row>
    <row r="3" spans="1:2" x14ac:dyDescent="0.3">
      <c r="A3">
        <v>7092023</v>
      </c>
      <c r="B3">
        <v>3.7990000000000003E-2</v>
      </c>
    </row>
    <row r="4" spans="1:2" x14ac:dyDescent="0.3">
      <c r="A4">
        <v>6092023</v>
      </c>
      <c r="B4">
        <v>3.7949999999999998E-2</v>
      </c>
    </row>
    <row r="5" spans="1:2" x14ac:dyDescent="0.3">
      <c r="A5">
        <v>5092023</v>
      </c>
      <c r="B5">
        <v>3.8019999999999998E-2</v>
      </c>
    </row>
    <row r="6" spans="1:2" x14ac:dyDescent="0.3">
      <c r="A6">
        <v>4092023</v>
      </c>
      <c r="B6">
        <v>3.798E-2</v>
      </c>
    </row>
    <row r="7" spans="1:2" x14ac:dyDescent="0.3">
      <c r="A7">
        <v>1092023</v>
      </c>
      <c r="B7">
        <v>3.7699999999999997E-2</v>
      </c>
    </row>
    <row r="8" spans="1:2" x14ac:dyDescent="0.3">
      <c r="A8">
        <v>31082023</v>
      </c>
      <c r="B8">
        <v>3.7949999999999998E-2</v>
      </c>
    </row>
    <row r="9" spans="1:2" x14ac:dyDescent="0.3">
      <c r="A9">
        <v>30082023</v>
      </c>
      <c r="B9">
        <v>3.8030000000000001E-2</v>
      </c>
    </row>
    <row r="10" spans="1:2" x14ac:dyDescent="0.3">
      <c r="A10">
        <v>29082023</v>
      </c>
      <c r="B10">
        <v>3.7830000000000003E-2</v>
      </c>
    </row>
    <row r="11" spans="1:2" x14ac:dyDescent="0.3">
      <c r="A11">
        <v>28082023</v>
      </c>
      <c r="B11">
        <v>3.771E-2</v>
      </c>
    </row>
  </sheetData>
  <phoneticPr fontId="25" type="noConversion"/>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23910-D5F9-4587-8D4A-0DD04333D23C}">
  <sheetPr codeName="Tabelle7"/>
  <dimension ref="A1:F11"/>
  <sheetViews>
    <sheetView workbookViewId="0">
      <selection sqref="A1:F11"/>
    </sheetView>
  </sheetViews>
  <sheetFormatPr baseColWidth="10" defaultRowHeight="14.4" x14ac:dyDescent="0.3"/>
  <cols>
    <col min="1" max="1" width="9.33203125" bestFit="1" customWidth="1"/>
    <col min="2" max="2" width="9.6640625" bestFit="1" customWidth="1"/>
    <col min="3" max="3" width="7.88671875" bestFit="1" customWidth="1"/>
    <col min="4" max="4" width="8.33203125" bestFit="1" customWidth="1"/>
    <col min="5" max="5" width="9.6640625" bestFit="1" customWidth="1"/>
    <col min="6" max="6" width="7.88671875" bestFit="1" customWidth="1"/>
  </cols>
  <sheetData>
    <row r="1" spans="1:6" ht="43.2" x14ac:dyDescent="0.3">
      <c r="A1" t="s">
        <v>60</v>
      </c>
      <c r="B1" s="25" t="s">
        <v>116</v>
      </c>
      <c r="C1" s="25" t="s">
        <v>117</v>
      </c>
      <c r="D1" t="s">
        <v>118</v>
      </c>
      <c r="E1" t="s">
        <v>119</v>
      </c>
      <c r="F1" t="s">
        <v>120</v>
      </c>
    </row>
    <row r="2" spans="1:6" ht="86.4" x14ac:dyDescent="0.3">
      <c r="A2">
        <v>17052023</v>
      </c>
      <c r="B2" s="25" t="s">
        <v>238</v>
      </c>
      <c r="C2" s="25" t="s">
        <v>239</v>
      </c>
      <c r="D2">
        <v>4293.57</v>
      </c>
      <c r="E2">
        <v>4323.2299999999996</v>
      </c>
      <c r="F2">
        <v>1.8E-3</v>
      </c>
    </row>
    <row r="3" spans="1:6" ht="86.4" x14ac:dyDescent="0.3">
      <c r="A3">
        <v>16052023</v>
      </c>
      <c r="B3" s="25" t="s">
        <v>240</v>
      </c>
      <c r="C3" s="25" t="s">
        <v>241</v>
      </c>
      <c r="D3">
        <v>4298.3100000000004</v>
      </c>
      <c r="E3">
        <v>4315.51</v>
      </c>
      <c r="F3">
        <v>-2.0000000000000001E-4</v>
      </c>
    </row>
    <row r="4" spans="1:6" ht="86.4" x14ac:dyDescent="0.3">
      <c r="A4">
        <v>15052023</v>
      </c>
      <c r="B4" s="25" t="s">
        <v>236</v>
      </c>
      <c r="C4" s="25" t="s">
        <v>237</v>
      </c>
      <c r="D4">
        <v>4302.76</v>
      </c>
      <c r="E4">
        <v>4316.41</v>
      </c>
      <c r="F4">
        <v>-2.9999999999999997E-4</v>
      </c>
    </row>
    <row r="5" spans="1:6" ht="86.4" x14ac:dyDescent="0.3">
      <c r="A5">
        <v>12052023</v>
      </c>
      <c r="B5" s="25" t="s">
        <v>221</v>
      </c>
      <c r="C5" s="25" t="s">
        <v>222</v>
      </c>
      <c r="D5">
        <v>4304.07</v>
      </c>
      <c r="E5">
        <v>4317.88</v>
      </c>
      <c r="F5">
        <v>1.9E-3</v>
      </c>
    </row>
    <row r="6" spans="1:6" ht="86.4" x14ac:dyDescent="0.3">
      <c r="A6">
        <v>11052023</v>
      </c>
      <c r="B6" s="25" t="s">
        <v>223</v>
      </c>
      <c r="C6" s="25" t="s">
        <v>224</v>
      </c>
      <c r="D6">
        <v>4281.6899999999996</v>
      </c>
      <c r="E6">
        <v>4309.75</v>
      </c>
      <c r="F6">
        <v>6.9999999999999999E-4</v>
      </c>
    </row>
    <row r="7" spans="1:6" ht="86.4" x14ac:dyDescent="0.3">
      <c r="A7">
        <v>10052023</v>
      </c>
      <c r="B7" s="25" t="s">
        <v>225</v>
      </c>
      <c r="C7" s="25" t="s">
        <v>226</v>
      </c>
      <c r="D7">
        <v>4293.21</v>
      </c>
      <c r="E7">
        <v>4306.76</v>
      </c>
      <c r="F7">
        <v>-3.8E-3</v>
      </c>
    </row>
    <row r="8" spans="1:6" ht="86.4" x14ac:dyDescent="0.3">
      <c r="A8">
        <v>9052023</v>
      </c>
      <c r="B8" s="25" t="s">
        <v>227</v>
      </c>
      <c r="C8" s="25" t="s">
        <v>228</v>
      </c>
      <c r="D8">
        <v>4305.3100000000004</v>
      </c>
      <c r="E8">
        <v>4323.09</v>
      </c>
      <c r="F8">
        <v>-5.8999999999999999E-3</v>
      </c>
    </row>
    <row r="9" spans="1:6" ht="86.4" x14ac:dyDescent="0.3">
      <c r="A9">
        <v>8052023</v>
      </c>
      <c r="B9" s="25" t="s">
        <v>229</v>
      </c>
      <c r="C9" s="25" t="s">
        <v>230</v>
      </c>
      <c r="D9">
        <v>4334.13</v>
      </c>
      <c r="E9">
        <v>4348.6499999999996</v>
      </c>
      <c r="F9">
        <v>1.9E-3</v>
      </c>
    </row>
    <row r="10" spans="1:6" ht="86.4" x14ac:dyDescent="0.3">
      <c r="A10">
        <v>5052023</v>
      </c>
      <c r="B10" s="25" t="s">
        <v>231</v>
      </c>
      <c r="C10" s="25" t="s">
        <v>232</v>
      </c>
      <c r="D10">
        <v>4280.92</v>
      </c>
      <c r="E10">
        <v>4340.43</v>
      </c>
      <c r="F10">
        <v>1.2500000000000001E-2</v>
      </c>
    </row>
    <row r="11" spans="1:6" ht="86.4" x14ac:dyDescent="0.3">
      <c r="A11">
        <v>4052023</v>
      </c>
      <c r="B11" s="25" t="s">
        <v>233</v>
      </c>
      <c r="C11" s="25" t="s">
        <v>234</v>
      </c>
      <c r="D11">
        <v>4264.41</v>
      </c>
      <c r="E11">
        <v>4287.03</v>
      </c>
      <c r="F11">
        <v>-5.4000000000000003E-3</v>
      </c>
    </row>
  </sheetData>
  <phoneticPr fontId="25" type="noConversion"/>
  <pageMargins left="0.7" right="0.7" top="0.78740157499999996" bottom="0.78740157499999996"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7D7F-CD88-40FB-87D5-AEC211CF1937}">
  <sheetPr codeName="Tabelle2"/>
  <dimension ref="A1:G21"/>
  <sheetViews>
    <sheetView workbookViewId="0">
      <selection sqref="A1:G21"/>
    </sheetView>
  </sheetViews>
  <sheetFormatPr baseColWidth="10" defaultRowHeight="14.4" x14ac:dyDescent="0.3"/>
  <cols>
    <col min="1" max="1" width="11.109375" bestFit="1" customWidth="1"/>
    <col min="2" max="2" width="9.109375" bestFit="1" customWidth="1"/>
    <col min="3" max="3" width="12" bestFit="1" customWidth="1"/>
    <col min="4" max="4" width="7.6640625" bestFit="1" customWidth="1"/>
    <col min="5" max="5" width="6.6640625" bestFit="1" customWidth="1"/>
    <col min="6" max="6" width="13.44140625" bestFit="1" customWidth="1"/>
    <col min="7" max="7" width="11.44140625" bestFit="1" customWidth="1"/>
  </cols>
  <sheetData>
    <row r="1" spans="1:7" x14ac:dyDescent="0.3">
      <c r="A1" t="s">
        <v>12</v>
      </c>
      <c r="B1" t="s">
        <v>60</v>
      </c>
      <c r="C1" t="s">
        <v>0</v>
      </c>
      <c r="D1" t="s">
        <v>125</v>
      </c>
      <c r="E1" t="s">
        <v>118</v>
      </c>
      <c r="F1" t="s">
        <v>59</v>
      </c>
      <c r="G1" t="s">
        <v>126</v>
      </c>
    </row>
    <row r="2" spans="1:7" x14ac:dyDescent="0.3">
      <c r="A2" t="s">
        <v>121</v>
      </c>
      <c r="B2">
        <v>25052021</v>
      </c>
      <c r="C2">
        <v>19.16</v>
      </c>
      <c r="D2">
        <v>19.66</v>
      </c>
      <c r="E2">
        <v>18.64</v>
      </c>
      <c r="F2">
        <v>19.079999999999998</v>
      </c>
      <c r="G2">
        <v>0</v>
      </c>
    </row>
    <row r="3" spans="1:7" x14ac:dyDescent="0.3">
      <c r="A3" t="s">
        <v>121</v>
      </c>
      <c r="B3">
        <v>21052021</v>
      </c>
      <c r="C3">
        <v>21.51</v>
      </c>
      <c r="D3">
        <v>23.12</v>
      </c>
      <c r="E3">
        <v>20.3</v>
      </c>
      <c r="F3">
        <v>20.350000000000001</v>
      </c>
      <c r="G3">
        <v>0</v>
      </c>
    </row>
    <row r="4" spans="1:7" x14ac:dyDescent="0.3">
      <c r="A4" t="s">
        <v>121</v>
      </c>
      <c r="B4">
        <v>20052021</v>
      </c>
      <c r="C4">
        <v>22.8</v>
      </c>
      <c r="D4">
        <v>24.79</v>
      </c>
      <c r="E4">
        <v>22.05</v>
      </c>
      <c r="F4">
        <v>22.1</v>
      </c>
      <c r="G4">
        <v>0</v>
      </c>
    </row>
    <row r="5" spans="1:7" x14ac:dyDescent="0.3">
      <c r="A5" t="s">
        <v>121</v>
      </c>
      <c r="B5">
        <v>19052021</v>
      </c>
      <c r="C5">
        <v>23.78</v>
      </c>
      <c r="D5">
        <v>27.87</v>
      </c>
      <c r="E5">
        <v>23.09</v>
      </c>
      <c r="F5">
        <v>24.48</v>
      </c>
      <c r="G5">
        <v>0</v>
      </c>
    </row>
    <row r="6" spans="1:7" x14ac:dyDescent="0.3">
      <c r="A6" t="s">
        <v>121</v>
      </c>
      <c r="B6">
        <v>18052021</v>
      </c>
      <c r="C6">
        <v>20.22</v>
      </c>
      <c r="D6">
        <v>22.6</v>
      </c>
      <c r="E6">
        <v>19.809999999999999</v>
      </c>
      <c r="F6">
        <v>21.31</v>
      </c>
      <c r="G6">
        <v>0</v>
      </c>
    </row>
    <row r="7" spans="1:7" x14ac:dyDescent="0.3">
      <c r="A7" t="s">
        <v>121</v>
      </c>
      <c r="B7">
        <v>17052021</v>
      </c>
      <c r="C7">
        <v>19.66</v>
      </c>
      <c r="D7">
        <v>22.03</v>
      </c>
      <c r="E7">
        <v>19.66</v>
      </c>
      <c r="F7">
        <v>21.81</v>
      </c>
      <c r="G7">
        <v>0</v>
      </c>
    </row>
    <row r="8" spans="1:7" x14ac:dyDescent="0.3">
      <c r="A8" t="s">
        <v>121</v>
      </c>
      <c r="B8">
        <v>14052021</v>
      </c>
      <c r="C8">
        <v>21.48</v>
      </c>
      <c r="D8">
        <v>22.03</v>
      </c>
      <c r="E8">
        <v>19.5</v>
      </c>
      <c r="F8">
        <v>19.55</v>
      </c>
      <c r="G8">
        <v>0</v>
      </c>
    </row>
    <row r="9" spans="1:7" x14ac:dyDescent="0.3">
      <c r="A9" t="s">
        <v>121</v>
      </c>
      <c r="B9">
        <v>13052021</v>
      </c>
      <c r="C9">
        <v>26.07</v>
      </c>
      <c r="D9">
        <v>28.27</v>
      </c>
      <c r="E9">
        <v>22.27</v>
      </c>
      <c r="F9">
        <v>23.35</v>
      </c>
      <c r="G9">
        <v>0</v>
      </c>
    </row>
    <row r="10" spans="1:7" x14ac:dyDescent="0.3">
      <c r="A10" t="s">
        <v>121</v>
      </c>
      <c r="B10">
        <v>12052021</v>
      </c>
      <c r="C10">
        <v>23.09</v>
      </c>
      <c r="D10">
        <v>23.96</v>
      </c>
      <c r="E10">
        <v>21.95</v>
      </c>
      <c r="F10">
        <v>23.94</v>
      </c>
      <c r="G10">
        <v>0</v>
      </c>
    </row>
    <row r="11" spans="1:7" x14ac:dyDescent="0.3">
      <c r="A11" t="s">
        <v>121</v>
      </c>
      <c r="B11">
        <v>11052021</v>
      </c>
      <c r="C11">
        <v>21.72</v>
      </c>
      <c r="D11">
        <v>23.89</v>
      </c>
      <c r="E11">
        <v>21.15</v>
      </c>
      <c r="F11">
        <v>22.56</v>
      </c>
      <c r="G11">
        <v>0</v>
      </c>
    </row>
    <row r="12" spans="1:7" x14ac:dyDescent="0.3">
      <c r="A12" t="s">
        <v>121</v>
      </c>
      <c r="B12">
        <v>10052021</v>
      </c>
      <c r="C12">
        <v>18.7</v>
      </c>
      <c r="D12">
        <v>19</v>
      </c>
      <c r="E12">
        <v>18.29</v>
      </c>
      <c r="F12">
        <v>18.5</v>
      </c>
      <c r="G12">
        <v>0</v>
      </c>
    </row>
    <row r="13" spans="1:7" x14ac:dyDescent="0.3">
      <c r="A13" t="s">
        <v>121</v>
      </c>
      <c r="B13">
        <v>7052021</v>
      </c>
      <c r="C13">
        <v>19.77</v>
      </c>
      <c r="D13">
        <v>20.11</v>
      </c>
      <c r="E13">
        <v>18.37</v>
      </c>
      <c r="F13">
        <v>18.38</v>
      </c>
      <c r="G13">
        <v>0</v>
      </c>
    </row>
    <row r="14" spans="1:7" x14ac:dyDescent="0.3">
      <c r="A14" t="s">
        <v>121</v>
      </c>
      <c r="B14">
        <v>6052021</v>
      </c>
      <c r="C14">
        <v>19.170000000000002</v>
      </c>
      <c r="D14">
        <v>21.49</v>
      </c>
      <c r="E14">
        <v>19.14</v>
      </c>
      <c r="F14">
        <v>20.38</v>
      </c>
      <c r="G14">
        <v>0</v>
      </c>
    </row>
    <row r="15" spans="1:7" x14ac:dyDescent="0.3">
      <c r="A15" t="s">
        <v>121</v>
      </c>
      <c r="B15">
        <v>5052021</v>
      </c>
      <c r="C15">
        <v>20.6</v>
      </c>
      <c r="D15">
        <v>20.73</v>
      </c>
      <c r="E15">
        <v>19.82</v>
      </c>
      <c r="F15">
        <v>19.899999999999999</v>
      </c>
      <c r="G15">
        <v>0</v>
      </c>
    </row>
    <row r="16" spans="1:7" x14ac:dyDescent="0.3">
      <c r="A16" t="s">
        <v>121</v>
      </c>
      <c r="B16">
        <v>4052021</v>
      </c>
      <c r="C16">
        <v>19.079999999999998</v>
      </c>
      <c r="D16">
        <v>22.98</v>
      </c>
      <c r="E16">
        <v>18.850000000000001</v>
      </c>
      <c r="F16">
        <v>22.82</v>
      </c>
      <c r="G16">
        <v>0</v>
      </c>
    </row>
    <row r="17" spans="1:7" x14ac:dyDescent="0.3">
      <c r="A17" t="s">
        <v>121</v>
      </c>
      <c r="B17">
        <v>3052021</v>
      </c>
      <c r="C17">
        <v>20.48</v>
      </c>
      <c r="D17">
        <v>21.66</v>
      </c>
      <c r="E17">
        <v>19.55</v>
      </c>
      <c r="F17">
        <v>19.93</v>
      </c>
      <c r="G17">
        <v>0</v>
      </c>
    </row>
    <row r="18" spans="1:7" x14ac:dyDescent="0.3">
      <c r="A18" t="s">
        <v>121</v>
      </c>
      <c r="B18">
        <v>30042021</v>
      </c>
      <c r="C18">
        <v>18.45</v>
      </c>
      <c r="D18">
        <v>20.65</v>
      </c>
      <c r="E18">
        <v>18.34</v>
      </c>
      <c r="F18">
        <v>20.63</v>
      </c>
      <c r="G18">
        <v>0</v>
      </c>
    </row>
    <row r="19" spans="1:7" x14ac:dyDescent="0.3">
      <c r="A19" t="s">
        <v>121</v>
      </c>
      <c r="B19">
        <v>29042021</v>
      </c>
      <c r="C19">
        <v>18</v>
      </c>
      <c r="D19">
        <v>19.670000000000002</v>
      </c>
      <c r="E19">
        <v>17.399999999999999</v>
      </c>
      <c r="F19">
        <v>18.88</v>
      </c>
      <c r="G19">
        <v>0</v>
      </c>
    </row>
    <row r="20" spans="1:7" x14ac:dyDescent="0.3">
      <c r="A20" t="s">
        <v>121</v>
      </c>
      <c r="B20">
        <v>28042021</v>
      </c>
      <c r="C20">
        <v>18.57</v>
      </c>
      <c r="D20">
        <v>18.78</v>
      </c>
      <c r="E20">
        <v>17.920000000000002</v>
      </c>
      <c r="F20">
        <v>18.38</v>
      </c>
      <c r="G20">
        <v>0</v>
      </c>
    </row>
    <row r="21" spans="1:7" x14ac:dyDescent="0.3">
      <c r="A21" t="s">
        <v>121</v>
      </c>
      <c r="B21">
        <v>27042021</v>
      </c>
      <c r="C21">
        <v>18.41</v>
      </c>
      <c r="D21">
        <v>19.22</v>
      </c>
      <c r="E21">
        <v>17.899999999999999</v>
      </c>
      <c r="F21">
        <v>19.21</v>
      </c>
      <c r="G21">
        <v>0</v>
      </c>
    </row>
  </sheetData>
  <phoneticPr fontId="25" type="noConversion"/>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33AFA-5312-4872-B7AF-33E30B66C458}">
  <sheetPr codeName="Tabelle4"/>
  <dimension ref="A1:C5"/>
  <sheetViews>
    <sheetView workbookViewId="0">
      <selection sqref="A1:C5"/>
    </sheetView>
  </sheetViews>
  <sheetFormatPr baseColWidth="10" defaultRowHeight="14.4" x14ac:dyDescent="0.3"/>
  <cols>
    <col min="1" max="1" width="11.109375" bestFit="1" customWidth="1"/>
    <col min="2" max="2" width="11.6640625" bestFit="1" customWidth="1"/>
    <col min="3" max="3" width="11.109375" bestFit="1" customWidth="1"/>
  </cols>
  <sheetData>
    <row r="1" spans="1:3" x14ac:dyDescent="0.3">
      <c r="A1" t="s">
        <v>12</v>
      </c>
      <c r="B1" t="s">
        <v>13</v>
      </c>
      <c r="C1" t="s">
        <v>127</v>
      </c>
    </row>
    <row r="2" spans="1:3" x14ac:dyDescent="0.3">
      <c r="A2" t="s">
        <v>128</v>
      </c>
      <c r="B2" t="s">
        <v>129</v>
      </c>
      <c r="C2">
        <v>27.6629</v>
      </c>
    </row>
    <row r="3" spans="1:3" x14ac:dyDescent="0.3">
      <c r="A3" t="s">
        <v>128</v>
      </c>
      <c r="B3" t="s">
        <v>130</v>
      </c>
      <c r="C3">
        <v>31.37</v>
      </c>
    </row>
    <row r="4" spans="1:3" x14ac:dyDescent="0.3">
      <c r="A4" t="s">
        <v>128</v>
      </c>
      <c r="B4" t="s">
        <v>131</v>
      </c>
      <c r="C4">
        <v>29.08</v>
      </c>
    </row>
    <row r="5" spans="1:3" x14ac:dyDescent="0.3">
      <c r="A5" t="s">
        <v>128</v>
      </c>
      <c r="B5" t="s">
        <v>132</v>
      </c>
      <c r="C5">
        <v>32.590000000000003</v>
      </c>
    </row>
  </sheetData>
  <phoneticPr fontId="25" type="noConversion"/>
  <pageMargins left="0.7" right="0.7" top="0.78740157499999996" bottom="0.78740157499999996"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1E6AE-042E-493F-954D-BA02DCAB5696}">
  <sheetPr codeName="Tabelle8"/>
  <dimension ref="A1:D9"/>
  <sheetViews>
    <sheetView workbookViewId="0">
      <selection sqref="A1:D9"/>
    </sheetView>
  </sheetViews>
  <sheetFormatPr baseColWidth="10" defaultRowHeight="14.4" x14ac:dyDescent="0.3"/>
  <cols>
    <col min="1" max="1" width="22.109375" bestFit="1" customWidth="1"/>
    <col min="2" max="2" width="9" bestFit="1" customWidth="1"/>
    <col min="3" max="3" width="5.6640625" bestFit="1" customWidth="1"/>
    <col min="4" max="4" width="8.109375" bestFit="1" customWidth="1"/>
  </cols>
  <sheetData>
    <row r="1" spans="1:4" x14ac:dyDescent="0.3">
      <c r="A1" t="s">
        <v>190</v>
      </c>
      <c r="B1" t="s">
        <v>66</v>
      </c>
      <c r="C1" t="s">
        <v>120</v>
      </c>
      <c r="D1" t="s">
        <v>61</v>
      </c>
    </row>
    <row r="2" spans="1:4" x14ac:dyDescent="0.3">
      <c r="A2" t="s">
        <v>191</v>
      </c>
      <c r="B2">
        <v>4241.34</v>
      </c>
      <c r="C2">
        <v>0.38</v>
      </c>
      <c r="D2" s="90">
        <v>0.93472222222222223</v>
      </c>
    </row>
    <row r="3" spans="1:4" x14ac:dyDescent="0.3">
      <c r="A3" t="s">
        <v>192</v>
      </c>
      <c r="B3">
        <v>3143.69</v>
      </c>
      <c r="C3">
        <v>0.12</v>
      </c>
      <c r="D3" s="90">
        <v>0.73263888888888884</v>
      </c>
    </row>
    <row r="4" spans="1:4" x14ac:dyDescent="0.3">
      <c r="A4" t="s">
        <v>193</v>
      </c>
      <c r="B4">
        <v>10948.59</v>
      </c>
      <c r="C4">
        <v>-0.41</v>
      </c>
      <c r="D4" s="90">
        <v>0.72916666666666663</v>
      </c>
    </row>
    <row r="5" spans="1:4" x14ac:dyDescent="0.3">
      <c r="A5" t="s">
        <v>194</v>
      </c>
      <c r="B5">
        <v>34576.07</v>
      </c>
      <c r="C5">
        <v>0.21</v>
      </c>
      <c r="D5" s="90">
        <v>0.93680555555555556</v>
      </c>
    </row>
    <row r="6" spans="1:4" x14ac:dyDescent="0.3">
      <c r="A6" t="s">
        <v>195</v>
      </c>
      <c r="B6">
        <v>4461.05</v>
      </c>
      <c r="C6">
        <v>0.23</v>
      </c>
      <c r="D6" s="90">
        <v>0.93611111111111112</v>
      </c>
    </row>
    <row r="7" spans="1:4" x14ac:dyDescent="0.3">
      <c r="A7" t="s">
        <v>196</v>
      </c>
      <c r="B7">
        <v>15300.9</v>
      </c>
      <c r="C7">
        <v>0.3</v>
      </c>
      <c r="D7" s="90">
        <v>0.93680555555555556</v>
      </c>
    </row>
    <row r="8" spans="1:4" x14ac:dyDescent="0.3">
      <c r="A8" t="s">
        <v>197</v>
      </c>
      <c r="B8">
        <v>32751.89</v>
      </c>
      <c r="C8">
        <v>-0.41</v>
      </c>
      <c r="D8" s="90">
        <v>0.93680555555555556</v>
      </c>
    </row>
    <row r="9" spans="1:4" x14ac:dyDescent="0.3">
      <c r="A9" t="s">
        <v>198</v>
      </c>
      <c r="B9">
        <v>18202.07</v>
      </c>
      <c r="C9">
        <v>-1.34</v>
      </c>
      <c r="D9" s="90">
        <v>0.42222222222222222</v>
      </c>
    </row>
  </sheetData>
  <phoneticPr fontId="25" type="noConversion"/>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D3332-DC13-4F6C-B101-9D0844BC8B37}">
  <sheetPr codeName="Tabelle21"/>
  <dimension ref="A1:E2"/>
  <sheetViews>
    <sheetView workbookViewId="0">
      <selection sqref="A1:E2"/>
    </sheetView>
  </sheetViews>
  <sheetFormatPr baseColWidth="10" defaultRowHeight="14.4" x14ac:dyDescent="0.3"/>
  <cols>
    <col min="1" max="1" width="10.109375" bestFit="1" customWidth="1"/>
    <col min="2" max="2" width="21.6640625" bestFit="1" customWidth="1"/>
    <col min="3" max="4" width="11.5546875" bestFit="1" customWidth="1"/>
    <col min="5" max="5" width="8.109375" bestFit="1" customWidth="1"/>
  </cols>
  <sheetData>
    <row r="1" spans="1:5" x14ac:dyDescent="0.3">
      <c r="A1" t="s">
        <v>207</v>
      </c>
      <c r="B1" t="s">
        <v>208</v>
      </c>
      <c r="C1" t="s">
        <v>209</v>
      </c>
      <c r="D1" t="s">
        <v>210</v>
      </c>
      <c r="E1" t="s">
        <v>211</v>
      </c>
    </row>
    <row r="2" spans="1:5" x14ac:dyDescent="0.3">
      <c r="A2" t="s">
        <v>212</v>
      </c>
      <c r="B2">
        <v>-1.9099999999999999E-2</v>
      </c>
      <c r="C2">
        <v>18.350000000000001</v>
      </c>
      <c r="D2">
        <v>34473</v>
      </c>
      <c r="E2" s="90">
        <v>0.91659722222222217</v>
      </c>
    </row>
  </sheetData>
  <phoneticPr fontId="25"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5F8B-AEF4-4205-8BAA-9EFDEDC7E0ED}">
  <sheetPr codeName="Tabelle22"/>
  <dimension ref="A1:C24"/>
  <sheetViews>
    <sheetView workbookViewId="0">
      <selection activeCell="C3" sqref="C3"/>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60</v>
      </c>
      <c r="B1" t="s">
        <v>0</v>
      </c>
      <c r="C1" t="s">
        <v>119</v>
      </c>
    </row>
    <row r="2" spans="1:3" x14ac:dyDescent="0.3">
      <c r="A2">
        <v>16112022</v>
      </c>
      <c r="B2">
        <v>21.14</v>
      </c>
      <c r="C2">
        <v>21.4</v>
      </c>
    </row>
    <row r="3" spans="1:3" x14ac:dyDescent="0.3">
      <c r="A3">
        <v>15112022</v>
      </c>
      <c r="B3">
        <v>20.9</v>
      </c>
      <c r="C3">
        <v>20.86</v>
      </c>
    </row>
    <row r="4" spans="1:3" x14ac:dyDescent="0.3">
      <c r="A4">
        <v>14112022</v>
      </c>
      <c r="B4">
        <v>21.35</v>
      </c>
      <c r="C4">
        <v>20.94</v>
      </c>
    </row>
    <row r="5" spans="1:3" x14ac:dyDescent="0.3">
      <c r="A5">
        <v>11112022</v>
      </c>
      <c r="B5">
        <v>21.59</v>
      </c>
      <c r="C5">
        <v>20.78</v>
      </c>
    </row>
    <row r="6" spans="1:3" x14ac:dyDescent="0.3">
      <c r="A6">
        <v>10112022</v>
      </c>
      <c r="B6">
        <v>23.73</v>
      </c>
      <c r="C6">
        <v>21.32</v>
      </c>
    </row>
    <row r="7" spans="1:3" x14ac:dyDescent="0.3">
      <c r="A7">
        <v>9112022</v>
      </c>
      <c r="B7">
        <v>23.19</v>
      </c>
      <c r="C7">
        <v>23.24</v>
      </c>
    </row>
    <row r="8" spans="1:3" x14ac:dyDescent="0.3">
      <c r="A8">
        <v>8112022</v>
      </c>
      <c r="B8">
        <v>22.89</v>
      </c>
      <c r="C8">
        <v>22.61</v>
      </c>
    </row>
    <row r="9" spans="1:3" x14ac:dyDescent="0.3">
      <c r="A9">
        <v>7112022</v>
      </c>
      <c r="B9">
        <v>23.74</v>
      </c>
      <c r="C9">
        <v>22.66</v>
      </c>
    </row>
    <row r="10" spans="1:3" x14ac:dyDescent="0.3">
      <c r="A10">
        <v>4112022</v>
      </c>
      <c r="B10">
        <v>23.57</v>
      </c>
      <c r="C10">
        <v>22.91</v>
      </c>
    </row>
    <row r="11" spans="1:3" x14ac:dyDescent="0.3">
      <c r="A11">
        <v>3112022</v>
      </c>
      <c r="B11">
        <v>24.21</v>
      </c>
      <c r="C11">
        <v>23.77</v>
      </c>
    </row>
    <row r="12" spans="1:3" x14ac:dyDescent="0.3">
      <c r="A12">
        <v>2112022</v>
      </c>
      <c r="B12">
        <v>24.54</v>
      </c>
      <c r="C12">
        <v>24.7</v>
      </c>
    </row>
    <row r="13" spans="1:3" x14ac:dyDescent="0.3">
      <c r="A13">
        <v>1112022</v>
      </c>
      <c r="B13">
        <v>24.47</v>
      </c>
      <c r="C13">
        <v>24.47</v>
      </c>
    </row>
    <row r="14" spans="1:3" x14ac:dyDescent="0.3">
      <c r="A14">
        <v>31102022</v>
      </c>
      <c r="B14">
        <v>25.74</v>
      </c>
      <c r="C14">
        <v>24.83</v>
      </c>
    </row>
    <row r="15" spans="1:3" x14ac:dyDescent="0.3">
      <c r="A15">
        <v>28102022</v>
      </c>
      <c r="B15">
        <v>26.33</v>
      </c>
      <c r="C15">
        <v>24.89</v>
      </c>
    </row>
    <row r="16" spans="1:3" x14ac:dyDescent="0.3">
      <c r="A16">
        <v>27102022</v>
      </c>
      <c r="B16">
        <v>27.03</v>
      </c>
      <c r="C16">
        <v>25.87</v>
      </c>
    </row>
    <row r="17" spans="1:3" x14ac:dyDescent="0.3">
      <c r="A17">
        <v>26102022</v>
      </c>
      <c r="B17">
        <v>27.28</v>
      </c>
      <c r="C17">
        <v>26.95</v>
      </c>
    </row>
    <row r="18" spans="1:3" x14ac:dyDescent="0.3">
      <c r="A18">
        <v>25102022</v>
      </c>
      <c r="B18">
        <v>28.33</v>
      </c>
      <c r="C18">
        <v>27.62</v>
      </c>
    </row>
    <row r="19" spans="1:3" x14ac:dyDescent="0.3">
      <c r="A19">
        <v>24102022</v>
      </c>
      <c r="B19">
        <v>28.79</v>
      </c>
      <c r="C19">
        <v>28.68</v>
      </c>
    </row>
    <row r="20" spans="1:3" x14ac:dyDescent="0.3">
      <c r="A20">
        <v>21102022</v>
      </c>
      <c r="B20">
        <v>28.24</v>
      </c>
      <c r="C20">
        <v>27.83</v>
      </c>
    </row>
    <row r="21" spans="1:3" x14ac:dyDescent="0.3">
      <c r="A21">
        <v>20102022</v>
      </c>
      <c r="B21">
        <v>28.67</v>
      </c>
      <c r="C21">
        <v>27.75</v>
      </c>
    </row>
    <row r="22" spans="1:3" x14ac:dyDescent="0.3">
      <c r="A22">
        <v>19102022</v>
      </c>
      <c r="B22">
        <v>28.55</v>
      </c>
      <c r="C22">
        <v>28.3</v>
      </c>
    </row>
    <row r="23" spans="1:3" x14ac:dyDescent="0.3">
      <c r="A23">
        <v>18102022</v>
      </c>
      <c r="B23">
        <v>29.3</v>
      </c>
      <c r="C23">
        <v>28.92</v>
      </c>
    </row>
    <row r="24" spans="1:3" x14ac:dyDescent="0.3">
      <c r="A24">
        <v>17102022</v>
      </c>
      <c r="B24">
        <v>30.36</v>
      </c>
      <c r="C24">
        <v>29.27</v>
      </c>
    </row>
  </sheetData>
  <phoneticPr fontId="25"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EEA8-AF91-4BD4-B84E-41DBF570AF82}">
  <sheetPr codeName="Tabelle24"/>
  <dimension ref="A1:C8"/>
  <sheetViews>
    <sheetView workbookViewId="0">
      <selection sqref="A1:C8"/>
    </sheetView>
  </sheetViews>
  <sheetFormatPr baseColWidth="10" defaultRowHeight="14.4" x14ac:dyDescent="0.3"/>
  <cols>
    <col min="1" max="1" width="15.109375" bestFit="1" customWidth="1"/>
    <col min="2" max="2" width="17.77734375" bestFit="1" customWidth="1"/>
    <col min="3" max="3" width="10.77734375" bestFit="1" customWidth="1"/>
  </cols>
  <sheetData>
    <row r="1" spans="1:3" x14ac:dyDescent="0.3">
      <c r="A1" t="s">
        <v>12</v>
      </c>
      <c r="B1" t="s">
        <v>13</v>
      </c>
      <c r="C1" t="s">
        <v>127</v>
      </c>
    </row>
    <row r="2" spans="1:3" x14ac:dyDescent="0.3">
      <c r="A2" t="s">
        <v>66</v>
      </c>
      <c r="B2" t="s">
        <v>297</v>
      </c>
      <c r="C2" s="25">
        <f>1*(LEFT(VSTOXX_Finanzen[[#This Row],[Column2]],5))</f>
        <v>16.190000000000001</v>
      </c>
    </row>
    <row r="3" spans="1:3" x14ac:dyDescent="0.3">
      <c r="A3" t="s">
        <v>214</v>
      </c>
      <c r="B3" t="s">
        <v>298</v>
      </c>
      <c r="C3" s="25">
        <f>1*(LEFT(VSTOXX_Finanzen[[#This Row],[Column2]],5))</f>
        <v>45177</v>
      </c>
    </row>
    <row r="4" spans="1:3" ht="28.8" x14ac:dyDescent="0.3">
      <c r="A4" s="25" t="s">
        <v>215</v>
      </c>
      <c r="B4" s="25" t="s">
        <v>299</v>
      </c>
      <c r="C4" s="25">
        <f>1*(LEFT(VSTOXX_Finanzen[[#This Row],[Column2]],5))</f>
        <v>16.5</v>
      </c>
    </row>
    <row r="5" spans="1:3" ht="28.8" x14ac:dyDescent="0.3">
      <c r="A5" s="25" t="s">
        <v>216</v>
      </c>
      <c r="B5" s="25" t="s">
        <v>300</v>
      </c>
      <c r="C5" s="25">
        <f>1*(LEFT(VSTOXX_Finanzen[[#This Row],[Column2]],5))</f>
        <v>16.059999999999999</v>
      </c>
    </row>
    <row r="6" spans="1:3" ht="28.8" x14ac:dyDescent="0.3">
      <c r="A6" s="25" t="s">
        <v>217</v>
      </c>
      <c r="B6" s="25" t="s">
        <v>243</v>
      </c>
      <c r="C6" s="25">
        <f>1*(LEFT(VSTOXX_Finanzen[[#This Row],[Column2]],5))</f>
        <v>12.89</v>
      </c>
    </row>
    <row r="7" spans="1:3" x14ac:dyDescent="0.3">
      <c r="A7" t="s">
        <v>218</v>
      </c>
      <c r="B7" t="s">
        <v>244</v>
      </c>
      <c r="C7" s="25">
        <f>1*(LEFT(VSTOXX_Finanzen[[#This Row],[Column2]],5))</f>
        <v>12.89</v>
      </c>
    </row>
    <row r="8" spans="1:3" x14ac:dyDescent="0.3">
      <c r="A8" t="s">
        <v>219</v>
      </c>
      <c r="B8" t="s">
        <v>235</v>
      </c>
      <c r="C8" s="25">
        <f>1*(LEFT(VSTOXX_Finanzen[[#This Row],[Column2]],5))</f>
        <v>33.78</v>
      </c>
    </row>
  </sheetData>
  <phoneticPr fontId="25"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83C518-2949-4416-B9E4-05A8F166BF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27</vt:i4>
      </vt:variant>
      <vt:variant>
        <vt:lpstr>Benannte Bereiche</vt:lpstr>
      </vt:variant>
      <vt:variant>
        <vt:i4>8</vt:i4>
      </vt:variant>
    </vt:vector>
  </HeadingPairs>
  <TitlesOfParts>
    <vt:vector size="35" baseType="lpstr">
      <vt:lpstr>Version</vt:lpstr>
      <vt:lpstr>Ueberhaenge</vt:lpstr>
      <vt:lpstr>STOXX_Call_Front</vt:lpstr>
      <vt:lpstr>STOXX_Put_Front</vt:lpstr>
      <vt:lpstr>STOXX_CallFront-1</vt:lpstr>
      <vt:lpstr>STOXX_PutFront-1</vt:lpstr>
      <vt:lpstr>STOXX_Call+01</vt:lpstr>
      <vt:lpstr>STOXX_Put+01</vt:lpstr>
      <vt:lpstr>AngeboteM</vt:lpstr>
      <vt:lpstr>AngeboteA</vt:lpstr>
      <vt:lpstr>STOXX_Infos</vt:lpstr>
      <vt:lpstr>STOXX_SummeryVerfall</vt:lpstr>
      <vt:lpstr>STOXX_Summery</vt:lpstr>
      <vt:lpstr>Glossar</vt:lpstr>
      <vt:lpstr>Disclaimer</vt:lpstr>
      <vt:lpstr>STOXX_HedgeBedarf</vt:lpstr>
      <vt:lpstr>STOXX_HedgeBedarf+01</vt:lpstr>
      <vt:lpstr>Rates</vt:lpstr>
      <vt:lpstr>Stoxx50</vt:lpstr>
      <vt:lpstr>Euribor3M</vt:lpstr>
      <vt:lpstr>Stoxx50Hist</vt:lpstr>
      <vt:lpstr>VSTOXX_Hist</vt:lpstr>
      <vt:lpstr>VSTOXX</vt:lpstr>
      <vt:lpstr>STOXX_CITI</vt:lpstr>
      <vt:lpstr>VSTOXX Eu</vt:lpstr>
      <vt:lpstr>VSTOXX Hist</vt:lpstr>
      <vt:lpstr>VSTOXX_Finanzen</vt:lpstr>
      <vt:lpstr>STOXX_Summery!Druckbereich</vt:lpstr>
      <vt:lpstr>STOXX_Summery!P</vt:lpstr>
      <vt:lpstr>STOXX_SummeryVerfall!P</vt:lpstr>
      <vt:lpstr>Disclaimer!Print_Area</vt:lpstr>
      <vt:lpstr>Glossar!Print_Area</vt:lpstr>
      <vt:lpstr>STOXX_Summery!Print_Area</vt:lpstr>
      <vt:lpstr>STOXX_SummeryVerfall!Print_Area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2023-09-10T10:23:38Z</cp:lastPrinted>
  <dcterms:created xsi:type="dcterms:W3CDTF">2018-08-10T12:34:01Z</dcterms:created>
  <dcterms:modified xsi:type="dcterms:W3CDTF">2023-09-10T11:57:15Z</dcterms:modified>
</cp:coreProperties>
</file>