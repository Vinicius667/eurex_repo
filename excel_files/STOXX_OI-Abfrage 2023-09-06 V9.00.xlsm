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C:\Users\Vinicius\Documents\Eurex\excel_files\"/>
    </mc:Choice>
  </mc:AlternateContent>
  <xr:revisionPtr revIDLastSave="0" documentId="13_ncr:1_{E2A196E6-9F76-43C2-A04B-61A2AC1DE87C}" xr6:coauthVersionLast="47" xr6:coauthVersionMax="47" xr10:uidLastSave="{00000000-0000-0000-0000-000000000000}"/>
  <bookViews>
    <workbookView xWindow="-120" yWindow="-120" windowWidth="20730" windowHeight="11160" tabRatio="751" activeTab="1" xr2:uid="{3CDFE83A-9C88-4766-961F-2D6C5E1FA6D2}"/>
  </bookViews>
  <sheets>
    <sheet name="Version" sheetId="44" r:id="rId1"/>
    <sheet name="Ueberhaenge" sheetId="1" r:id="rId2"/>
    <sheet name="STOXX_HedgeBedarf" sheetId="18" r:id="rId3"/>
    <sheet name="STOXX_Call_Front" sheetId="100" r:id="rId4"/>
    <sheet name="STOXX_Put_Front" sheetId="101" r:id="rId5"/>
    <sheet name="STOXX_CallFront-1" sheetId="102" r:id="rId6"/>
    <sheet name="STOXX_PutFront-1" sheetId="103" r:id="rId7"/>
    <sheet name="STOXX_Call+01" sheetId="104" r:id="rId8"/>
    <sheet name="STOXX_Put+01" sheetId="105" r:id="rId9"/>
    <sheet name="AngeboteM" sheetId="69" r:id="rId10"/>
    <sheet name="AngeboteA" sheetId="70" r:id="rId11"/>
    <sheet name="STOXX_Infos" sheetId="19" r:id="rId12"/>
    <sheet name="STOXX_SummeryVerfall" sheetId="67" r:id="rId13"/>
    <sheet name="STOXX_Summery" sheetId="38" r:id="rId14"/>
    <sheet name="Glossar" sheetId="75" r:id="rId15"/>
    <sheet name="Disclaimer" sheetId="40" r:id="rId16"/>
    <sheet name="STOXX_HedgeBedarf+01" sheetId="41" r:id="rId17"/>
    <sheet name="Rates" sheetId="17" r:id="rId18"/>
    <sheet name="Stoxx50" sheetId="61" r:id="rId19"/>
    <sheet name="Euribor3M" sheetId="63" r:id="rId20"/>
    <sheet name="Stoxx50Hist" sheetId="64" r:id="rId21"/>
    <sheet name="VSTOXX_Hist" sheetId="65" r:id="rId22"/>
    <sheet name="VSTOXX" sheetId="66" r:id="rId23"/>
    <sheet name="STOXX_CITI" sheetId="71" r:id="rId24"/>
    <sheet name="VSTOXX Eu" sheetId="72" r:id="rId25"/>
    <sheet name="VSTOXX Hist" sheetId="73" r:id="rId26"/>
    <sheet name="VSTOXX_Finanzen" sheetId="74" r:id="rId27"/>
  </sheets>
  <definedNames>
    <definedName name="_xlnm.Print_Area" localSheetId="13">STOXX_Summery!$A$1:$K$47</definedName>
    <definedName name="ExterneDaten_1" localSheetId="19" hidden="1">Euribor3M!$A$1:$B$11</definedName>
    <definedName name="ExterneDaten_1" localSheetId="23" hidden="1">STOXX_CITI!$A$1:$D$9</definedName>
    <definedName name="ExterneDaten_1" localSheetId="20" hidden="1">Stoxx50Hist!$A$1:$F$11</definedName>
    <definedName name="ExterneDaten_1" localSheetId="24" hidden="1">'VSTOXX Eu'!$A$1:$E$2</definedName>
    <definedName name="ExterneDaten_1" localSheetId="25" hidden="1">'VSTOXX Hist'!$A$1:$C$24</definedName>
    <definedName name="ExterneDaten_1" localSheetId="26" hidden="1">VSTOXX_Finanzen!$A$1:$B$8</definedName>
    <definedName name="ExterneDaten_3" localSheetId="17" hidden="1">Rates!$A$13:$F$16</definedName>
    <definedName name="P" localSheetId="13">STOXX_Summery!$A$1:$K$57</definedName>
    <definedName name="P" localSheetId="12">STOXX_SummeryVerfall!$A$1:$K$57</definedName>
    <definedName name="Print_Area" localSheetId="15">Disclaimer!$A$2:$K$27</definedName>
    <definedName name="Print_Area" localSheetId="14">Glossar!$A$4:$B$16</definedName>
    <definedName name="Print_Area" localSheetId="13">STOXX_Summery!$A$1:$K$47</definedName>
    <definedName name="Print_Area" localSheetId="12">STOXX_SummeryVerfall!$A$2:$K$47</definedName>
    <definedName name="Print_Area" localSheetId="1">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74" l="1"/>
  <c r="C3" i="74"/>
  <c r="C4" i="74"/>
  <c r="C5" i="74"/>
  <c r="C6" i="74"/>
  <c r="C7" i="74"/>
  <c r="C8" i="74"/>
  <c r="O8" i="1" l="1"/>
  <c r="N4" i="1" s="1"/>
  <c r="H3" i="38"/>
  <c r="X2" i="1"/>
  <c r="Y8" i="1"/>
  <c r="X4" i="1" s="1"/>
  <c r="G4" i="1"/>
  <c r="B10" i="67"/>
  <c r="A50" i="67" l="1"/>
  <c r="C9" i="67"/>
  <c r="D9" i="67" s="1"/>
  <c r="Q9" i="67" s="1"/>
  <c r="A50" i="38"/>
  <c r="P9" i="67" l="1"/>
  <c r="AE3" i="1"/>
  <c r="AE2" i="1"/>
  <c r="R6" i="1"/>
  <c r="AE4" i="1" l="1"/>
  <c r="Z4" i="1" s="1"/>
  <c r="X9" i="1"/>
  <c r="X8" i="1" s="1"/>
  <c r="X7" i="1" s="1"/>
  <c r="N3" i="1"/>
  <c r="Y9" i="1"/>
  <c r="G3" i="1"/>
  <c r="I8" i="1" l="1"/>
  <c r="H8" i="1"/>
  <c r="G8" i="1"/>
  <c r="F8" i="1"/>
  <c r="B32" i="19"/>
  <c r="B31" i="19"/>
  <c r="D8" i="1" s="1"/>
  <c r="O8" i="67" l="1"/>
  <c r="B7" i="67"/>
  <c r="G46" i="67"/>
  <c r="E8" i="1"/>
  <c r="B33" i="19"/>
  <c r="G45" i="67" l="1"/>
  <c r="X5" i="1" l="1"/>
  <c r="Z5" i="1" l="1"/>
  <c r="G2" i="1" l="1"/>
  <c r="C3" i="67" s="1"/>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R5" i="1"/>
  <c r="R4" i="1" l="1"/>
  <c r="G1" i="1"/>
  <c r="C9" i="38"/>
  <c r="D9" i="38" s="1"/>
  <c r="O8" i="38"/>
  <c r="B7" i="38"/>
  <c r="G1" i="38" l="1"/>
  <c r="G1" i="67"/>
  <c r="C3" i="38"/>
  <c r="P9" i="38"/>
  <c r="Q9" i="38"/>
  <c r="A28" i="19" l="1"/>
  <c r="A24"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5B80BF-C023-43D8-97C1-35A83AD1E706}" keepAlive="1" name="Abfrage - Euribor3M" description="Verbindung mit der Abfrage 'Euribor3M' in der Arbeitsmappe." type="5" refreshedVersion="7" background="1" saveData="1">
    <dbPr connection="Provider=Microsoft.Mashup.OleDb.1;Data Source=$Workbook$;Location=Euribor3M;Extended Properties=&quot;&quot;" command="SELECT * FROM [Euribor3M]"/>
  </connection>
  <connection id="2" xr16:uid="{C2B06F10-FB3C-4CE9-A0C4-0ED6991DEEA4}" keepAlive="1" name="Abfrage - Historische Kurse VSTOXX" description="Verbindung mit der Abfrage 'Historische Kurse VSTOXX' in der Arbeitsmappe." type="5" refreshedVersion="8" background="1" saveData="1">
    <dbPr connection="Provider=Microsoft.Mashup.OleDb.1;Data Source=$Workbook$;Location=&quot;Historische Kurse VSTOXX&quot;;Extended Properties=&quot;&quot;" command="SELECT * FROM [Historische Kurse VSTOXX]"/>
  </connection>
  <connection id="3" xr16:uid="{E08BC714-C41A-4E2C-BABA-2616CA428715}" keepAlive="1" name="Abfrage - Libor" description="Verbindung mit der Abfrage 'Libor' in der Arbeitsmappe." type="5" refreshedVersion="7" background="1" saveData="1">
    <dbPr connection="Provider=Microsoft.Mashup.OleDb.1;Data Source=$Workbook$;Location=Libor;Extended Properties=&quot;&quot;" command="SELECT * FROM [Libor]"/>
  </connection>
  <connection id="4" xr16:uid="{DFF14FEE-55C2-4F6E-9F7F-F2A63837101F}" keepAlive="1" name="Abfrage - Stuttgart" description="Verbindung mit der Abfrage 'Stuttgart' in der Arbeitsmappe." type="5" refreshedVersion="7" background="1" saveData="1">
    <dbPr connection="Provider=Microsoft.Mashup.OleDb.1;Data Source=$Workbook$;Location=Stuttgart;Extended Properties=&quot;&quot;" command="SELECT * FROM [Stuttgart]"/>
  </connection>
  <connection id="5" xr16:uid="{6B6A468E-F151-4CA2-9A18-353F0ADBB15D}" keepAlive="1" name="Abfrage - VSTOXX EUREX" description="Verbindung mit der Abfrage 'VSTOXX EUREX' in der Arbeitsmappe." type="5" refreshedVersion="8" background="1" saveData="1">
    <dbPr connection="Provider=Microsoft.Mashup.OleDb.1;Data Source=$Workbook$;Location=&quot;VSTOXX EUREX&quot;;Extended Properties=&quot;&quot;" command="SELECT * FROM [VSTOXX EUREX]"/>
  </connection>
  <connection id="6" xr16:uid="{AD67065E-6E95-4FBA-A1B5-BE88EF1AEB21}" keepAlive="1" name="Abfrage - VSTOXX_Finanzen" description="Verbindung mit der Abfrage 'VSTOXX_Finanzen' in der Arbeitsmappe." type="5" refreshedVersion="7" background="1" saveData="1">
    <dbPr connection="Provider=Microsoft.Mashup.OleDb.1;Data Source=$Workbook$;Location=VSTOXX_Finanzen;Extended Properties=&quot;&quot;" command="SELECT * FROM [VSTOXX_Finanzen]"/>
  </connection>
</connections>
</file>

<file path=xl/sharedStrings.xml><?xml version="1.0" encoding="utf-8"?>
<sst xmlns="http://schemas.openxmlformats.org/spreadsheetml/2006/main" count="490" uniqueCount="301">
  <si>
    <t>Eröffnung</t>
  </si>
  <si>
    <t>Basis</t>
  </si>
  <si>
    <t>Überhang</t>
  </si>
  <si>
    <t>Front</t>
  </si>
  <si>
    <t>ZentralKurs</t>
  </si>
  <si>
    <t>Spannweite</t>
  </si>
  <si>
    <t>Schritt</t>
  </si>
  <si>
    <t>P</t>
  </si>
  <si>
    <t>+01</t>
  </si>
  <si>
    <t>+02</t>
  </si>
  <si>
    <t>6M</t>
  </si>
  <si>
    <t>9M</t>
  </si>
  <si>
    <t>Column1</t>
  </si>
  <si>
    <t>Column2</t>
  </si>
  <si>
    <t>Link zur Statistik:</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</si>
  <si>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</si>
  <si>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</si>
  <si>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</si>
  <si>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</si>
  <si>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</si>
  <si>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</si>
  <si>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</si>
  <si>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</si>
  <si>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</si>
  <si>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</si>
  <si>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</si>
  <si>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</si>
  <si>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</si>
  <si>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</si>
  <si>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</si>
  <si>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</si>
  <si>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</si>
  <si>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</si>
  <si>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t>Änderung des Hedgebedarfs für den Frontmonat (Kontrakte/P)</t>
  </si>
  <si>
    <t>Tage bis Verfall nächster Kontrakt</t>
  </si>
  <si>
    <t>Verfall nächster Kontrakt</t>
  </si>
  <si>
    <t>summe H&amp;H+1</t>
  </si>
  <si>
    <t>12M</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</si>
  <si>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</si>
  <si>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</si>
  <si>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</si>
  <si>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</si>
  <si>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</si>
  <si>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</si>
  <si>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</si>
  <si>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</si>
  <si>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</si>
  <si>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</si>
  <si>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</si>
  <si>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</si>
  <si>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</si>
  <si>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</si>
  <si>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</si>
  <si>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</si>
  <si>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</si>
  <si>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</si>
  <si>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</si>
  <si>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</si>
  <si>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</si>
  <si>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</si>
  <si>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</si>
  <si>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</si>
  <si>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Settlement</t>
  </si>
  <si>
    <t>EUREX</t>
  </si>
  <si>
    <t>Godmode</t>
  </si>
  <si>
    <t>Name</t>
  </si>
  <si>
    <t>Kurs</t>
  </si>
  <si>
    <t>+/- abs.</t>
  </si>
  <si>
    <t>+/- %</t>
  </si>
  <si>
    <t>Forex Capital Markets</t>
  </si>
  <si>
    <t>4.0</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</si>
  <si>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</si>
  <si>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</si>
  <si>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</si>
  <si>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</si>
  <si>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</si>
  <si>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</si>
  <si>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</si>
  <si>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</si>
  <si>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</si>
  <si>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</si>
  <si>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</si>
  <si>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</si>
  <si>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</si>
  <si>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</si>
  <si>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</si>
  <si>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</si>
  <si>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</si>
  <si>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</si>
  <si>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</si>
  <si>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https://www.eurexchange.com/exchange-de/marktdaten/statistik/online-marktstatistiken/</t>
  </si>
  <si>
    <t>alternativ mit bereinigtem OI: https://www.eurexchange.com/exchange-de/produkte/idx/dax/DAX-Optionen-141164</t>
  </si>
  <si>
    <t>neu</t>
  </si>
  <si>
    <t>Table 0</t>
  </si>
  <si>
    <t>JFD Bank</t>
  </si>
  <si>
    <t>let_x000D_
    Quelle = Web.Page(Web.Contents("https://www.eurexchange.com/exchange-de/marktdaten/statistik/online-marktstatistiken/4302!onlineStats?productGroupId=13394&amp;productId=70044&amp;viewType=&amp;cp=Put&amp;month=5&amp;year=2019&amp;busDate=20190426")),_x000D_
    Data0 = Quelle{0}[Data],_x000D_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Int64.Type}})_x000D_
in_x000D_
    #"Geänderter Typ"</t>
  </si>
  <si>
    <t>https://www.eurexchange.com/exchange-de/marktdaten/statistik/online-marktstatistiken/4302!onlineStats?productGroupId=13370&amp;productId=69660&amp;viewType=3&amp;cp=Put&amp;month=6&amp;year=2019&amp;busDate=20190517</t>
  </si>
  <si>
    <t>StoxxPut Front</t>
  </si>
  <si>
    <t>StoxxCall Front</t>
  </si>
  <si>
    <t>STOXX</t>
  </si>
  <si>
    <t>STOXX (e)</t>
  </si>
  <si>
    <r>
      <t xml:space="preserve">STOXX 50 OpenInterest und HedgeBedarf
</t>
    </r>
    <r>
      <rPr>
        <i/>
        <sz val="14"/>
        <color theme="0"/>
        <rFont val="Calibri"/>
        <family val="2"/>
        <scheme val="minor"/>
      </rPr>
      <t>basierend auf Daten von der EUREX
(http://www.eurexchange.com/exchange-de/disclaimer)</t>
    </r>
  </si>
  <si>
    <t>6.0</t>
  </si>
  <si>
    <t>STOXX OI-Abfrage</t>
  </si>
  <si>
    <r>
      <t xml:space="preserve">Future-Hedgebedarf für Überhänge der Optionen
</t>
    </r>
    <r>
      <rPr>
        <b/>
        <i/>
        <sz val="14"/>
        <color theme="0"/>
        <rFont val="Calibri"/>
        <family val="2"/>
        <scheme val="minor"/>
      </rPr>
      <t>(Überhang)*delta</t>
    </r>
  </si>
  <si>
    <t>Kontraktwert</t>
  </si>
  <si>
    <t>FESX/OESX</t>
  </si>
  <si>
    <t>STOXX Hedge und Überhänge; KontraktWert = FESX/OESX in Überhänge (C&amp;) hinzugefügt</t>
  </si>
  <si>
    <t>StoxxPut +1</t>
  </si>
  <si>
    <t>StoxxCall +1</t>
  </si>
  <si>
    <t>StoxxPut/CallFrontLast wieder umbenannt in Put/CallFrontLast damit das automatische Datumsupdate funktioniert</t>
  </si>
  <si>
    <t>6.01</t>
  </si>
  <si>
    <t>Kontraktwert in Hedgeberechnung durch Variable ersetzt</t>
  </si>
  <si>
    <t>Vortag</t>
  </si>
  <si>
    <t>6.02</t>
  </si>
  <si>
    <t>PDF Hedgegrafik herausgenommen</t>
  </si>
  <si>
    <t>Erster 
                    Schluss</t>
  </si>
  <si>
    <t>Hoch 
                    Tief</t>
  </si>
  <si>
    <t>Tief</t>
  </si>
  <si>
    <t>Schluss</t>
  </si>
  <si>
    <t>%</t>
  </si>
  <si>
    <t/>
  </si>
  <si>
    <t>6.03</t>
  </si>
  <si>
    <t>Max. Hedge</t>
  </si>
  <si>
    <t xml:space="preserve">Min. Hedge </t>
  </si>
  <si>
    <t>Hoch</t>
  </si>
  <si>
    <t>Volumen</t>
  </si>
  <si>
    <t>Column3</t>
  </si>
  <si>
    <t>Aktuell</t>
  </si>
  <si>
    <t>Eröffnung:</t>
  </si>
  <si>
    <t>Tages-Hoch:</t>
  </si>
  <si>
    <t>Tages-Tief:</t>
  </si>
  <si>
    <t>Schlusskurs:</t>
  </si>
  <si>
    <t>Adjusted</t>
  </si>
  <si>
    <t>OI-Spalte:</t>
  </si>
  <si>
    <t>Unadjusted</t>
  </si>
  <si>
    <t>OI-Daten-Spalte</t>
  </si>
  <si>
    <t>6.1</t>
  </si>
  <si>
    <t>OI-Spalte adjusted/unadjusted (I oder J) zur Auswahl (Infos: O30) hinzugefügt</t>
  </si>
  <si>
    <t>Spannweite auf 28 Werte reduziert, Löschen der Tabelle auf Summery eingeschränkt, 
anualisierte Volatilität VSTOXX verwendet (sigma = VDAX    '* ((Tage / VDAX_Laufzeit) ^ 0.5) ),
VSTOXX alternativen und STOXX Schlusskurs-Alternativen aufgenommen
Pfeilposition 5% der Spannweite</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</si>
  <si>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</si>
  <si>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Die September-Angebote 14.9. – 24.09.2021</t>
  </si>
  <si>
    <t>Options-Analysen:</t>
  </si>
  <si>
    <r>
      <t>OI-Tabelle FDAX Professionell</t>
    </r>
    <r>
      <rPr>
        <sz val="11"/>
        <color theme="1"/>
        <rFont val="Calibri"/>
        <family val="2"/>
        <scheme val="minor"/>
      </rPr>
      <t xml:space="preserve"> </t>
    </r>
  </si>
  <si>
    <t>Only Verfallswoche - 5 Analysen</t>
  </si>
  <si>
    <t>OI-Tabelle STOXX</t>
  </si>
  <si>
    <t>Versand per Mail, Kündigungsfrist 1 Woche zum Monatsende</t>
  </si>
  <si>
    <t>Weitere Angebote</t>
  </si>
  <si>
    <t>Programmierungen</t>
  </si>
  <si>
    <t>Analysen und Statistiken</t>
  </si>
  <si>
    <t>Alle Preise enthalten 19% Mehrwertsteuer</t>
  </si>
  <si>
    <t xml:space="preserve">Nur im September: </t>
  </si>
  <si>
    <t xml:space="preserve">die ersten 3 Monate: 13,00€/M </t>
  </si>
  <si>
    <t>danach 18,00€/M</t>
  </si>
  <si>
    <t>(Mo- Fr der Verfallswoche):  8,00€/M</t>
  </si>
  <si>
    <t xml:space="preserve">Nur im September und nur für </t>
  </si>
  <si>
    <t xml:space="preserve">Minotaurus-Kunden: </t>
  </si>
  <si>
    <t xml:space="preserve">die ersten 3 Monate: 10,00€/M </t>
  </si>
  <si>
    <t>danach 15,00€/M</t>
  </si>
  <si>
    <t xml:space="preserve">Algo-Entwicklungen </t>
  </si>
  <si>
    <t>Backtesting</t>
  </si>
  <si>
    <t>Nach Aufwand</t>
  </si>
  <si>
    <t>Ing.-Büro Dieball   Oderstr.8    01109 Dresden   0351 84 722 726   info@dieball.de</t>
  </si>
  <si>
    <t>regulär 24,00€/M  Minotaurus-Kunden 19,00€/M</t>
  </si>
  <si>
    <t xml:space="preserve">regulär 24,00€/M  </t>
  </si>
  <si>
    <t>danach 19,00€/M</t>
  </si>
  <si>
    <t xml:space="preserve">regulär 21,00€/M  </t>
  </si>
  <si>
    <t>danach 17,00€/M</t>
  </si>
  <si>
    <t>Angebote</t>
  </si>
  <si>
    <t>Minotaurus</t>
  </si>
  <si>
    <t>Allgemein</t>
  </si>
  <si>
    <t>aktiv/ passiv</t>
  </si>
  <si>
    <t>passiv</t>
  </si>
  <si>
    <t>StoxxPutFrontLast</t>
  </si>
  <si>
    <t>StoxxCallFrontLast</t>
  </si>
  <si>
    <t>ARIVA Indikation</t>
  </si>
  <si>
    <t>klein/ groß</t>
  </si>
  <si>
    <t>TTMzero Indikation</t>
  </si>
  <si>
    <t>morgen</t>
  </si>
  <si>
    <t>4,257.50 Pkt</t>
  </si>
  <si>
    <t>4,259.36 Pkt</t>
  </si>
  <si>
    <t>4,260.87 Pkt</t>
  </si>
  <si>
    <t>4,257.82 Pkt</t>
  </si>
  <si>
    <t>4,282.33 Pkt</t>
  </si>
  <si>
    <t>4,254.86 Pkt</t>
  </si>
  <si>
    <t>4,251.00 Pkt</t>
  </si>
  <si>
    <t>4,255.03 Pkt</t>
  </si>
  <si>
    <t>4,255.22 Pkt</t>
  </si>
  <si>
    <t>4,268.28 Pkt</t>
  </si>
  <si>
    <t>Pfad</t>
  </si>
  <si>
    <t>Indizes EU / USA / INT</t>
  </si>
  <si>
    <t>CITI Euro Stoxx 50</t>
  </si>
  <si>
    <t>ATX</t>
  </si>
  <si>
    <t>SMI</t>
  </si>
  <si>
    <t>CITI Dow Jones</t>
  </si>
  <si>
    <t>CITI S&amp;P 500</t>
  </si>
  <si>
    <t>CITI US TECH 100</t>
  </si>
  <si>
    <t>Citi Nikkei 225</t>
  </si>
  <si>
    <t>Hang Seng</t>
  </si>
  <si>
    <t>Stuutgart</t>
  </si>
  <si>
    <t>8.15</t>
  </si>
  <si>
    <t>USD</t>
  </si>
  <si>
    <t>LIBOR USD - overnight</t>
  </si>
  <si>
    <t>LIBOR USD - 6 Monate</t>
  </si>
  <si>
    <t>LIBOR USD - 12 Monate</t>
  </si>
  <si>
    <t>done</t>
  </si>
  <si>
    <t>klein</t>
  </si>
  <si>
    <t>Product</t>
  </si>
  <si>
    <t>Diff. to prev. day last</t>
  </si>
  <si>
    <t>Last price</t>
  </si>
  <si>
    <t>Contracts</t>
  </si>
  <si>
    <t>Time</t>
  </si>
  <si>
    <t>FVS</t>
  </si>
  <si>
    <t>VSTOXX F</t>
  </si>
  <si>
    <t>Kurszeit</t>
  </si>
  <si>
    <t>Eröffnung /_x000D_
Vortag</t>
  </si>
  <si>
    <t>Tagestief /_x000D_
Tageshoch</t>
  </si>
  <si>
    <t>Jahrestief /_x000D_
Jahreshoch</t>
  </si>
  <si>
    <t>52 Wochen Tief</t>
  </si>
  <si>
    <t>52 Wochen Hoch</t>
  </si>
  <si>
    <t>C:\Detlef\Tradematiker\Research\Optionen\OI-Abfrage\send</t>
  </si>
  <si>
    <t>4.304,07_x000D_
                        4.317,88</t>
  </si>
  <si>
    <t>4.344,32_x000D_
                        4.304,07</t>
  </si>
  <si>
    <t>4.303,98_x000D_
                        4.309,75</t>
  </si>
  <si>
    <t>4.341,59_x000D_
                        4.281,69</t>
  </si>
  <si>
    <t>4.322,65_x000D_
                        4.306,76</t>
  </si>
  <si>
    <t>4.332,29_x000D_
                        4.293,21</t>
  </si>
  <si>
    <t>4.344,42_x000D_
                        4.323,09</t>
  </si>
  <si>
    <t>4.344,42_x000D_
                        4.305,31</t>
  </si>
  <si>
    <t>4.335,22_x000D_
                        4.348,65</t>
  </si>
  <si>
    <t>4.355,41_x000D_
                        4.334,13</t>
  </si>
  <si>
    <t>4.280,92_x000D_
                        4.340,43</t>
  </si>
  <si>
    <t>4.340,48_x000D_
                        4.280,92</t>
  </si>
  <si>
    <t>4.280,66_x000D_
                        4.287,03</t>
  </si>
  <si>
    <t>4.302,04_x000D_
                        4.264,41</t>
  </si>
  <si>
    <t>33,78 (30.09.2022)</t>
  </si>
  <si>
    <t>4.315,85_x000D_
                        4.316,41</t>
  </si>
  <si>
    <t>4.338,14_x000D_
                        4.302,76</t>
  </si>
  <si>
    <t>4.313,25_x000D_
                        4.323,23</t>
  </si>
  <si>
    <t>4.332,08_x000D_
                        4.293,57</t>
  </si>
  <si>
    <t>4.313,12_x000D_
                        4.315,51</t>
  </si>
  <si>
    <t>4.328,78_x000D_
                        4.298,31</t>
  </si>
  <si>
    <t>-</t>
  </si>
  <si>
    <t>12,89 /_x000D_
33,50</t>
  </si>
  <si>
    <t>12,89 (21.06.2023)</t>
  </si>
  <si>
    <t>09</t>
  </si>
  <si>
    <t>groß</t>
  </si>
  <si>
    <t>let
    Quelle = Web.Page(Web.Contents("https://www.eurexchange.com/exchange-de/marktdaten/statistik/online-marktstatistiken/4302!onlineStats?productGroupId=13370&amp;productId=69660&amp;viewType=&amp;cp=Put&amp;month=08&amp;year=2023&amp;busDate=20230811")),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</si>
  <si>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Web.Page(Web.Contents("https://www.eurexchange.com/exchange-de/marktdaten/statistik/online-marktstatistiken/4302!onlineStats?productGroupId=13370&amp;productId=69660&amp;viewType=&amp;cp=Call&amp;month=08&amp;year=2023&amp;busDate=20230811")),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</si>
  <si>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</si>
  <si>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Web.Page(Web.Contents("https://www.eurexchange.com/exchange-de/marktdaten/statistik/online-marktstatistiken/4302!onlineStats?productGroupId=13370&amp;productId=69660&amp;viewType=3&amp;cp=Call&amp;month=09&amp;year=2023&amp;busDate=20230811")),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</si>
  <si>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Web.Page(Web.Contents("https://www.eurexchange.com/exchange-de/marktdaten/statistik/online-marktstatistiken/4302!onlineStats?productGroupId=13370&amp;productId=69660&amp;viewType=&amp;cp=Put&amp;month=08&amp;year=2023&amp;busDate=20230810")),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</si>
  <si>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let
    Quelle = Web.Page(Web.Contents("https://www.eurexchange.com/exchange-de/marktdaten/statistik/online-marktstatistiken/4302!onlineStats?productGroupId=13370&amp;productId=69660&amp;viewType=&amp;cp=Call&amp;month=08&amp;year=2023&amp;busDate=20230810")),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{"Open interest (adj.)", Int64.Type}})
in
    #"Geänderter Typ"</t>
  </si>
  <si>
    <t>9.00</t>
  </si>
  <si>
    <t>Python auslesen der Eurexdaten via api, das Python script kopiert die Daten in diese Excel Tabelle</t>
  </si>
  <si>
    <t>strike</t>
  </si>
  <si>
    <t>Glossar</t>
  </si>
  <si>
    <t>Verfallsdatum ist für die DAX und STOXX Optionen jeweils der 3. Freitag jedes Monats</t>
  </si>
  <si>
    <t>Tage bis zum Verfallsdatum incl. Wochenende und Feiertage</t>
  </si>
  <si>
    <t xml:space="preserve">kleiner Verfall: </t>
  </si>
  <si>
    <t>Verfall der Optionen</t>
  </si>
  <si>
    <t>großer Verfall:</t>
  </si>
  <si>
    <t>Verfall der Optionen und Futuresgleichzeitig (mehrere Interessenlagen kommen zusammen!) =&gt; auf neuen Future-Kontrakt updaten</t>
  </si>
  <si>
    <t>Änderung des Optionspreises, wenn sich der Basispreis um 1 ändert.
Das Delta wird auch benutzt um die Ausübungswahrscheinlichkeit abzuschätzen:
Delta = 0,5 =&gt; 50% Wahrscheinlichkeit, dass die Option am Verfallstag mit Gewinn ausgeübt werden kann</t>
  </si>
  <si>
    <t>Future Delta Hedge</t>
  </si>
  <si>
    <t>Hedge an den Basispreisen im Future um Delta neutral zu sein</t>
  </si>
  <si>
    <t>Gamma</t>
  </si>
  <si>
    <t>Änderung des Deltas, wenn sich der Basispreis um 1 ändert, Beschleunigung der Preisänderung.</t>
  </si>
  <si>
    <t>Gamma long</t>
  </si>
  <si>
    <t>Gamma positiv
Der Theta-Gamma Optionshändler kann bei jeder Marktbewegung gewinnen =&gt; der Markt wird „klebrig“</t>
  </si>
  <si>
    <t>Gamma short</t>
  </si>
  <si>
    <t>Gamma negativ
Bei jeder Marktbewegung muss der Theta-Gamma Optionshändler hedgen – in Bewegungsrichtung
=&gt; der Markt wird hektisch</t>
  </si>
  <si>
    <t>Abschätzung des Hedgebedarfs</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</si>
  <si>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</si>
  <si>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Call</t>
  </si>
  <si>
    <t>dSettle</t>
  </si>
  <si>
    <t>last</t>
  </si>
  <si>
    <t>low</t>
  </si>
  <si>
    <t>high</t>
  </si>
  <si>
    <t>open</t>
  </si>
  <si>
    <t>openInterest</t>
  </si>
  <si>
    <t>volume</t>
  </si>
  <si>
    <t>versionNumber</t>
  </si>
  <si>
    <t>callOrPut</t>
  </si>
  <si>
    <t>Put</t>
  </si>
  <si>
    <t>Hedge fertig</t>
  </si>
  <si>
    <t>10</t>
  </si>
  <si>
    <t>04-09-2023</t>
  </si>
  <si>
    <t>01-09-2023</t>
  </si>
  <si>
    <t>31-08-2023</t>
  </si>
  <si>
    <t>30-08-2023</t>
  </si>
  <si>
    <t>29-08-2023</t>
  </si>
  <si>
    <t>5,88150 %</t>
  </si>
  <si>
    <t>5,88316 %</t>
  </si>
  <si>
    <t>5,90353 %</t>
  </si>
  <si>
    <t>5,92924 %</t>
  </si>
  <si>
    <t>16,35 PKT</t>
  </si>
  <si>
    <t>05.09.2023 17:30:00</t>
  </si>
  <si>
    <t>17,14 /_x000D_
16,66</t>
  </si>
  <si>
    <t>16,23 /_x000D_
17,24</t>
  </si>
  <si>
    <t>C:\Detlef\Tradematiker\Research\Optionen\OI-Abfrage\send\STOXX OI-Abfrage 2023-9-6 V9.00.pdf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</si>
</sst>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409]d\-mmm\-yy;@"/>
    <numFmt numFmtId="167" formatCode="[$-F400]h:mm:ss\ AM/PM"/>
  </numFmts>
  <fonts count="41"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sz val="14"/>
      <color theme="1"/>
      <name val="Calibri"/>
      <family val="2"/>
      <scheme val="minor"/>
    </font>
    <font>
      <b/>
      <sz val="14"/>
      <color theme="1"/>
      <name val="Calibri"/>
      <family val="2"/>
      <scheme val="minor"/>
    </font>
    <font>
      <b/>
      <i/>
      <sz val="14"/>
      <color theme="1"/>
      <name val="Calibri"/>
      <family val="2"/>
      <scheme val="minor"/>
    </font>
    <font>
      <b/>
      <i/>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0"/>
      <name val="Calibri"/>
      <family val="2"/>
      <scheme val="minor"/>
    </font>
    <font>
      <b/>
      <sz val="14"/>
      <name val="Calibri"/>
      <family val="2"/>
      <scheme val="minor"/>
    </font>
    <font>
      <b/>
      <i/>
      <sz val="22"/>
      <color theme="0"/>
      <name val="Calibri"/>
      <family val="2"/>
      <scheme val="minor"/>
    </font>
    <font>
      <i/>
      <sz val="14"/>
      <color theme="0"/>
      <name val="Calibri"/>
      <family val="2"/>
      <scheme val="minor"/>
    </font>
    <font>
      <b/>
      <i/>
      <sz val="22"/>
      <color theme="0"/>
      <name val="Arial"/>
      <family val="2"/>
    </font>
    <font>
      <b/>
      <i/>
      <sz val="24"/>
      <color theme="0"/>
      <name val="Calibri"/>
      <family val="2"/>
      <scheme val="minor"/>
    </font>
    <font>
      <b/>
      <i/>
      <sz val="14"/>
      <color theme="0"/>
      <name val="Calibri"/>
      <family val="2"/>
      <scheme val="minor"/>
    </font>
    <font>
      <b/>
      <sz val="14"/>
      <color theme="0"/>
      <name val="Calibri"/>
      <family val="2"/>
      <scheme val="minor"/>
    </font>
    <font>
      <b/>
      <sz val="24"/>
      <color theme="0"/>
      <name val="Calibri"/>
      <family val="2"/>
      <scheme val="minor"/>
    </font>
    <font>
      <sz val="14"/>
      <color theme="0"/>
      <name val="Calibri"/>
      <family val="2"/>
      <scheme val="minor"/>
    </font>
    <font>
      <sz val="8"/>
      <name val="Calibri"/>
      <family val="2"/>
      <scheme val="minor"/>
    </font>
    <font>
      <sz val="11"/>
      <name val="Calibri"/>
      <family val="2"/>
      <scheme val="minor"/>
    </font>
    <font>
      <sz val="10"/>
      <color rgb="FF000000"/>
      <name val="Arial"/>
      <family val="2"/>
    </font>
    <font>
      <sz val="14"/>
      <color rgb="FF000000"/>
      <name val="Calibri"/>
      <family val="2"/>
    </font>
    <font>
      <sz val="11"/>
      <color rgb="FF000000"/>
      <name val="Calibri"/>
      <family val="2"/>
    </font>
    <font>
      <i/>
      <sz val="22"/>
      <color rgb="FF000000"/>
      <name val="Calibri"/>
      <family val="2"/>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b/>
      <sz val="22"/>
      <color theme="4" tint="-0.499984740745262"/>
      <name val="Calibri"/>
      <family val="2"/>
      <scheme val="minor"/>
    </font>
    <font>
      <sz val="11"/>
      <color theme="1" tint="0.34998626667073579"/>
      <name val="Calibri"/>
      <family val="2"/>
      <scheme val="minor"/>
    </font>
    <font>
      <sz val="11"/>
      <color theme="0" tint="-0.34998626667073579"/>
      <name val="Calibri"/>
      <family val="2"/>
      <scheme val="minor"/>
    </font>
    <font>
      <b/>
      <i/>
      <sz val="12"/>
      <color theme="1"/>
      <name val="Calibri"/>
      <family val="2"/>
      <scheme val="minor"/>
    </font>
    <font>
      <b/>
      <vertAlign val="subscript"/>
      <sz val="16"/>
      <color rgb="FF000000"/>
      <name val="Calibri"/>
      <family val="2"/>
      <scheme val="minor"/>
    </font>
    <font>
      <vertAlign val="subscript"/>
      <sz val="16"/>
      <color rgb="FF000000"/>
      <name val="Calibri"/>
      <family val="2"/>
      <scheme val="minor"/>
    </font>
  </fonts>
  <fills count="24">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rgb="FFFFFFFF"/>
        <bgColor rgb="FF000000"/>
      </patternFill>
    </fill>
    <fill>
      <patternFill patternType="solid">
        <fgColor theme="5"/>
        <bgColor indexed="64"/>
      </patternFill>
    </fill>
    <fill>
      <patternFill patternType="solid">
        <fgColor theme="0" tint="-0.14999847407452621"/>
        <bgColor indexed="64"/>
      </patternFill>
    </fill>
    <fill>
      <patternFill patternType="solid">
        <fgColor theme="5" tint="0.79998168889431442"/>
        <bgColor indexed="64"/>
      </patternFill>
    </fill>
  </fills>
  <borders count="2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2">
    <xf numFmtId="0" fontId="0" fillId="0" borderId="0"/>
    <xf numFmtId="0" fontId="13" fillId="0" borderId="0" applyNumberFormat="0" applyFill="0" applyBorder="0" applyAlignment="0" applyProtection="0"/>
  </cellStyleXfs>
  <cellXfs count="138">
    <xf numFmtId="0" fontId="0" fillId="0" borderId="0" xfId="0"/>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14" fontId="3" fillId="2" borderId="1" xfId="0" applyNumberFormat="1" applyFont="1" applyFill="1" applyBorder="1"/>
    <xf numFmtId="0" fontId="3" fillId="2" borderId="1" xfId="0" applyFont="1" applyFill="1" applyBorder="1"/>
    <xf numFmtId="0" fontId="8" fillId="0" borderId="0" xfId="0" applyFont="1"/>
    <xf numFmtId="0" fontId="0" fillId="2" borderId="0" xfId="0" applyFill="1" applyAlignment="1">
      <alignment horizontal="left"/>
    </xf>
    <xf numFmtId="0" fontId="0" fillId="0" borderId="0" xfId="0" applyAlignment="1">
      <alignment wrapText="1"/>
    </xf>
    <xf numFmtId="0" fontId="8" fillId="2" borderId="13" xfId="0" applyFont="1" applyFill="1" applyBorder="1" applyAlignment="1">
      <alignment horizontal="center"/>
    </xf>
    <xf numFmtId="1" fontId="8" fillId="2" borderId="5" xfId="0" applyNumberFormat="1" applyFont="1" applyFill="1" applyBorder="1"/>
    <xf numFmtId="1" fontId="8" fillId="2" borderId="6" xfId="0" applyNumberFormat="1" applyFont="1" applyFill="1" applyBorder="1"/>
    <xf numFmtId="1" fontId="8" fillId="2" borderId="8" xfId="0" applyNumberFormat="1" applyFont="1" applyFill="1" applyBorder="1"/>
    <xf numFmtId="1" fontId="8" fillId="2" borderId="0" xfId="0" applyNumberFormat="1" applyFont="1" applyFill="1"/>
    <xf numFmtId="1" fontId="8" fillId="2" borderId="9" xfId="0" applyNumberFormat="1" applyFont="1" applyFill="1" applyBorder="1"/>
    <xf numFmtId="0" fontId="8" fillId="2" borderId="14" xfId="0" applyFont="1" applyFill="1" applyBorder="1" applyAlignment="1">
      <alignment horizontal="center"/>
    </xf>
    <xf numFmtId="0" fontId="8" fillId="10" borderId="0" xfId="0" applyFont="1" applyFill="1" applyAlignment="1">
      <alignment horizontal="left"/>
    </xf>
    <xf numFmtId="0" fontId="8" fillId="9" borderId="0" xfId="0" applyFont="1" applyFill="1" applyAlignment="1">
      <alignment horizontal="left"/>
    </xf>
    <xf numFmtId="0" fontId="9" fillId="2" borderId="13" xfId="0" applyFont="1" applyFill="1" applyBorder="1"/>
    <xf numFmtId="0" fontId="9" fillId="2" borderId="14" xfId="0" applyFont="1" applyFill="1" applyBorder="1"/>
    <xf numFmtId="0" fontId="6" fillId="0" borderId="0" xfId="0" applyFont="1" applyAlignment="1">
      <alignment wrapText="1"/>
    </xf>
    <xf numFmtId="0" fontId="6" fillId="11" borderId="0" xfId="0" applyFont="1" applyFill="1" applyAlignment="1">
      <alignment wrapText="1"/>
    </xf>
    <xf numFmtId="0" fontId="0" fillId="12" borderId="0" xfId="0" applyFill="1"/>
    <xf numFmtId="14" fontId="2" fillId="0" borderId="0" xfId="0" applyNumberFormat="1" applyFont="1"/>
    <xf numFmtId="14" fontId="0" fillId="0" borderId="0" xfId="0" applyNumberFormat="1"/>
    <xf numFmtId="4" fontId="2" fillId="12" borderId="1" xfId="0" applyNumberFormat="1" applyFont="1" applyFill="1" applyBorder="1" applyAlignment="1">
      <alignment wrapText="1"/>
    </xf>
    <xf numFmtId="49" fontId="2" fillId="0" borderId="0" xfId="0" quotePrefix="1" applyNumberFormat="1" applyFont="1"/>
    <xf numFmtId="0" fontId="2" fillId="11" borderId="0" xfId="0" applyFont="1" applyFill="1"/>
    <xf numFmtId="166" fontId="2" fillId="0" borderId="0" xfId="0" applyNumberFormat="1" applyFont="1"/>
    <xf numFmtId="0" fontId="13" fillId="0" borderId="0" xfId="1"/>
    <xf numFmtId="0" fontId="14" fillId="15" borderId="0" xfId="0" applyFont="1" applyFill="1"/>
    <xf numFmtId="49" fontId="0" fillId="16"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7" borderId="0" xfId="0" applyFont="1" applyFill="1"/>
    <xf numFmtId="0" fontId="0" fillId="18" borderId="0" xfId="0" applyFill="1"/>
    <xf numFmtId="0" fontId="2" fillId="12" borderId="0" xfId="0" applyFont="1" applyFill="1"/>
    <xf numFmtId="0" fontId="12" fillId="0" borderId="0" xfId="0" applyFont="1" applyAlignment="1">
      <alignment horizontal="left" vertical="center" readingOrder="1"/>
    </xf>
    <xf numFmtId="0" fontId="15" fillId="19" borderId="21" xfId="0" applyFont="1" applyFill="1" applyBorder="1"/>
    <xf numFmtId="0" fontId="22" fillId="19" borderId="17" xfId="0" applyFont="1" applyFill="1" applyBorder="1"/>
    <xf numFmtId="14" fontId="22" fillId="19" borderId="1" xfId="0" applyNumberFormat="1" applyFont="1" applyFill="1" applyBorder="1"/>
    <xf numFmtId="0" fontId="3" fillId="19" borderId="11" xfId="0" applyFont="1" applyFill="1" applyBorder="1"/>
    <xf numFmtId="0" fontId="0" fillId="19" borderId="0" xfId="0" applyFill="1"/>
    <xf numFmtId="0" fontId="3" fillId="19" borderId="0" xfId="0" applyFont="1" applyFill="1"/>
    <xf numFmtId="0" fontId="15" fillId="19" borderId="0" xfId="0" applyFont="1" applyFill="1" applyAlignment="1">
      <alignment horizontal="center"/>
    </xf>
    <xf numFmtId="0" fontId="15" fillId="19" borderId="0" xfId="0" applyFont="1" applyFill="1"/>
    <xf numFmtId="0" fontId="24" fillId="19" borderId="0" xfId="0" applyFont="1" applyFill="1"/>
    <xf numFmtId="0" fontId="22" fillId="19" borderId="0" xfId="0" applyFont="1" applyFill="1"/>
    <xf numFmtId="0" fontId="16" fillId="6" borderId="0" xfId="0" applyFont="1" applyFill="1" applyAlignment="1">
      <alignment horizontal="center"/>
    </xf>
    <xf numFmtId="165" fontId="2" fillId="0" borderId="0" xfId="0" applyNumberFormat="1" applyFont="1"/>
    <xf numFmtId="0" fontId="26" fillId="12" borderId="0" xfId="0" applyFont="1" applyFill="1"/>
    <xf numFmtId="4" fontId="27" fillId="0" borderId="0" xfId="0" applyNumberFormat="1" applyFont="1"/>
    <xf numFmtId="0" fontId="8" fillId="2" borderId="0" xfId="0" applyFont="1" applyFill="1" applyAlignment="1">
      <alignment horizontal="center"/>
    </xf>
    <xf numFmtId="0" fontId="29" fillId="20" borderId="0" xfId="0" applyFont="1" applyFill="1" applyAlignment="1">
      <alignment horizontal="left"/>
    </xf>
    <xf numFmtId="0" fontId="8" fillId="2" borderId="6" xfId="0" applyFont="1" applyFill="1" applyBorder="1" applyAlignment="1">
      <alignment horizontal="center"/>
    </xf>
    <xf numFmtId="0" fontId="28" fillId="20" borderId="0" xfId="0" applyFont="1" applyFill="1" applyAlignment="1">
      <alignment horizontal="center" vertical="top" wrapText="1"/>
    </xf>
    <xf numFmtId="10" fontId="2" fillId="17" borderId="0" xfId="0" applyNumberFormat="1" applyFont="1" applyFill="1"/>
    <xf numFmtId="0" fontId="0" fillId="0" borderId="0" xfId="0" applyAlignment="1">
      <alignment vertical="top"/>
    </xf>
    <xf numFmtId="49" fontId="0" fillId="0" borderId="0" xfId="0" applyNumberFormat="1" applyAlignment="1">
      <alignment horizontal="center" vertical="top"/>
    </xf>
    <xf numFmtId="14" fontId="0" fillId="0" borderId="0" xfId="0" applyNumberFormat="1" applyAlignment="1">
      <alignment vertical="top"/>
    </xf>
    <xf numFmtId="0" fontId="0" fillId="0" borderId="0" xfId="0" applyAlignment="1">
      <alignment vertical="top" wrapText="1"/>
    </xf>
    <xf numFmtId="49" fontId="0" fillId="11" borderId="0" xfId="0" applyNumberFormat="1" applyFill="1" applyAlignment="1">
      <alignment horizontal="center" vertical="top"/>
    </xf>
    <xf numFmtId="0" fontId="0" fillId="21" borderId="0" xfId="0" applyFill="1"/>
    <xf numFmtId="0" fontId="14" fillId="0" borderId="0" xfId="0" applyFont="1"/>
    <xf numFmtId="0" fontId="31" fillId="0" borderId="0" xfId="0" applyFont="1" applyAlignment="1">
      <alignment vertical="center"/>
    </xf>
    <xf numFmtId="0" fontId="9" fillId="0" borderId="0" xfId="0" applyFont="1"/>
    <xf numFmtId="0" fontId="34" fillId="0" borderId="0" xfId="0" applyFont="1" applyAlignment="1">
      <alignment vertical="center"/>
    </xf>
    <xf numFmtId="0" fontId="35" fillId="0" borderId="0" xfId="0" applyFont="1"/>
    <xf numFmtId="0" fontId="32" fillId="0" borderId="0" xfId="0" applyFont="1"/>
    <xf numFmtId="0" fontId="33" fillId="0" borderId="0" xfId="0" applyFont="1"/>
    <xf numFmtId="0" fontId="0" fillId="0" borderId="0" xfId="0" applyAlignment="1">
      <alignment horizontal="left" vertical="center"/>
    </xf>
    <xf numFmtId="0" fontId="27" fillId="0" borderId="0" xfId="0" applyFont="1"/>
    <xf numFmtId="14" fontId="37" fillId="22" borderId="0" xfId="0" applyNumberFormat="1" applyFont="1" applyFill="1"/>
    <xf numFmtId="167" fontId="0" fillId="0" borderId="0" xfId="0" applyNumberFormat="1"/>
    <xf numFmtId="10" fontId="2" fillId="23" borderId="0" xfId="0" applyNumberFormat="1" applyFont="1" applyFill="1"/>
    <xf numFmtId="49" fontId="0" fillId="13" borderId="0" xfId="0" applyNumberFormat="1" applyFill="1" applyAlignment="1">
      <alignment horizontal="center"/>
    </xf>
    <xf numFmtId="0" fontId="38" fillId="0" borderId="0" xfId="0" applyFont="1" applyAlignment="1">
      <alignment horizontal="left" vertical="top" wrapText="1"/>
    </xf>
    <xf numFmtId="0" fontId="14" fillId="0" borderId="0" xfId="0" applyFont="1" applyAlignment="1">
      <alignment horizontal="left" vertical="top" wrapText="1"/>
    </xf>
    <xf numFmtId="0" fontId="39" fillId="0" borderId="0" xfId="0" applyFont="1" applyAlignment="1">
      <alignment horizontal="left" vertical="top" readingOrder="1"/>
    </xf>
    <xf numFmtId="0" fontId="40" fillId="0" borderId="0" xfId="0" applyFont="1" applyAlignment="1">
      <alignment horizontal="left" vertical="center" readingOrder="1"/>
    </xf>
    <xf numFmtId="0" fontId="40" fillId="0" borderId="0" xfId="0" applyFont="1" applyAlignment="1">
      <alignment vertical="center" readingOrder="1"/>
    </xf>
    <xf numFmtId="0" fontId="40" fillId="0" borderId="0" xfId="0" applyFont="1" applyAlignment="1">
      <alignment vertical="center" wrapText="1" readingOrder="1"/>
    </xf>
    <xf numFmtId="0" fontId="0" fillId="0" borderId="0" xfId="0" applyAlignment="1">
      <alignment horizontal="left" vertical="top" wrapText="1"/>
    </xf>
    <xf numFmtId="0" fontId="14" fillId="0" borderId="22" xfId="0" applyFont="1" applyBorder="1" applyAlignment="1">
      <alignment horizontal="center" vertical="top"/>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36" fillId="0" borderId="0" xfId="0" applyFont="1" applyAlignment="1">
      <alignment horizontal="center"/>
    </xf>
    <xf numFmtId="0" fontId="0" fillId="0" borderId="0" xfId="0" applyAlignment="1">
      <alignment horizontal="left" wrapText="1"/>
    </xf>
    <xf numFmtId="0" fontId="14" fillId="14" borderId="0" xfId="0" applyFont="1" applyFill="1" applyAlignment="1">
      <alignment horizontal="center"/>
    </xf>
    <xf numFmtId="0" fontId="13" fillId="0" borderId="0" xfId="1" applyAlignment="1">
      <alignment horizontal="left" wrapText="1"/>
    </xf>
    <xf numFmtId="0" fontId="14" fillId="15" borderId="0" xfId="0" applyFont="1" applyFill="1" applyAlignment="1">
      <alignment horizontal="center"/>
    </xf>
    <xf numFmtId="0" fontId="14" fillId="15" borderId="0" xfId="0" applyFont="1" applyFill="1" applyAlignment="1">
      <alignment horizontal="center" vertical="center"/>
    </xf>
    <xf numFmtId="0" fontId="17" fillId="19" borderId="19" xfId="0" applyFont="1" applyFill="1" applyBorder="1" applyAlignment="1">
      <alignment horizontal="center" vertical="top" wrapText="1"/>
    </xf>
    <xf numFmtId="0" fontId="17" fillId="19" borderId="20" xfId="0" applyFont="1" applyFill="1" applyBorder="1" applyAlignment="1">
      <alignment horizontal="center" vertical="top" wrapText="1"/>
    </xf>
    <xf numFmtId="14" fontId="19" fillId="19" borderId="20" xfId="0" applyNumberFormat="1" applyFont="1" applyFill="1" applyBorder="1" applyAlignment="1">
      <alignment horizontal="center" vertical="top"/>
    </xf>
    <xf numFmtId="0" fontId="20" fillId="19" borderId="8" xfId="0" applyFont="1" applyFill="1" applyBorder="1" applyAlignment="1">
      <alignment horizontal="center" vertical="center" wrapText="1"/>
    </xf>
    <xf numFmtId="0" fontId="20" fillId="19" borderId="0" xfId="0" applyFont="1" applyFill="1" applyAlignment="1">
      <alignment horizontal="center" vertical="center" wrapText="1"/>
    </xf>
    <xf numFmtId="0" fontId="6" fillId="8" borderId="0" xfId="0" applyFont="1" applyFill="1" applyAlignment="1">
      <alignment horizontal="center" wrapText="1"/>
    </xf>
    <xf numFmtId="0" fontId="22" fillId="19" borderId="18" xfId="0" applyFont="1" applyFill="1" applyBorder="1" applyAlignment="1">
      <alignment horizontal="center"/>
    </xf>
    <xf numFmtId="0" fontId="22" fillId="19" borderId="13" xfId="0" applyFont="1" applyFill="1" applyBorder="1" applyAlignment="1">
      <alignment horizontal="center"/>
    </xf>
    <xf numFmtId="0" fontId="22" fillId="19" borderId="14" xfId="0" applyFont="1" applyFill="1" applyBorder="1" applyAlignment="1">
      <alignment horizontal="center"/>
    </xf>
    <xf numFmtId="0" fontId="23" fillId="19" borderId="5" xfId="0" applyFont="1" applyFill="1" applyBorder="1" applyAlignment="1">
      <alignment horizontal="center" vertical="center"/>
    </xf>
    <xf numFmtId="0" fontId="23" fillId="19" borderId="6" xfId="0" applyFont="1" applyFill="1" applyBorder="1" applyAlignment="1">
      <alignment horizontal="center" vertical="center"/>
    </xf>
    <xf numFmtId="0" fontId="23" fillId="19" borderId="7" xfId="0" applyFont="1" applyFill="1" applyBorder="1" applyAlignment="1">
      <alignment horizontal="center" vertical="center"/>
    </xf>
    <xf numFmtId="0" fontId="23" fillId="19" borderId="10" xfId="0" applyFont="1" applyFill="1" applyBorder="1" applyAlignment="1">
      <alignment horizontal="center" vertical="center"/>
    </xf>
    <xf numFmtId="0" fontId="23" fillId="19" borderId="11" xfId="0" applyFont="1" applyFill="1" applyBorder="1" applyAlignment="1">
      <alignment horizontal="center" vertical="center"/>
    </xf>
    <xf numFmtId="0" fontId="23" fillId="19" borderId="12" xfId="0" applyFont="1" applyFill="1" applyBorder="1" applyAlignment="1">
      <alignment horizontal="center" vertical="center"/>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0" fillId="2" borderId="0" xfId="0" applyFill="1" applyAlignment="1">
      <alignment horizontal="center" wrapText="1"/>
    </xf>
    <xf numFmtId="0" fontId="0" fillId="2" borderId="0" xfId="0" applyFill="1" applyAlignment="1">
      <alignment horizontal="center"/>
    </xf>
    <xf numFmtId="0" fontId="28" fillId="20" borderId="15" xfId="0" applyFont="1" applyFill="1" applyBorder="1" applyAlignment="1">
      <alignment horizontal="center" vertical="top" wrapText="1"/>
    </xf>
    <xf numFmtId="0" fontId="28" fillId="20" borderId="16" xfId="0" applyFont="1" applyFill="1" applyBorder="1" applyAlignment="1">
      <alignment horizontal="center" vertical="top" wrapText="1"/>
    </xf>
    <xf numFmtId="0" fontId="28" fillId="20" borderId="17" xfId="0" applyFont="1" applyFill="1" applyBorder="1" applyAlignment="1">
      <alignment horizontal="center" vertical="top" wrapText="1"/>
    </xf>
    <xf numFmtId="0" fontId="0" fillId="2" borderId="0" xfId="0" applyFill="1" applyAlignment="1">
      <alignment horizontal="center" vertical="center" wrapText="1"/>
    </xf>
    <xf numFmtId="0" fontId="11" fillId="0" borderId="0" xfId="0" applyFont="1" applyAlignment="1">
      <alignment horizontal="center" wrapText="1"/>
    </xf>
    <xf numFmtId="0" fontId="2" fillId="2" borderId="0" xfId="0" applyFont="1" applyFill="1" applyAlignment="1">
      <alignment horizontal="center" vertical="center" wrapText="1"/>
    </xf>
    <xf numFmtId="0" fontId="30" fillId="20" borderId="0" xfId="0" applyFont="1" applyFill="1" applyAlignment="1">
      <alignment horizontal="center" vertical="top" wrapText="1"/>
    </xf>
  </cellXfs>
  <cellStyles count="2">
    <cellStyle name="Hiperlink" xfId="1" builtinId="8"/>
    <cellStyle name="Normal" xfId="0" builtinId="0"/>
  </cellStyles>
  <dxfs count="63">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s>
  <tableStyles count="0" defaultTableStyle="TableStyleMedium2" defaultPivotStyle="PivotStyleLight16"/>
  <colors>
    <mruColors>
      <color rgb="FFC5D3ED"/>
      <color rgb="FF9BC2E6"/>
      <color rgb="FF5CB6D2"/>
      <color rgb="FF8ADE9A"/>
      <color rgb="FF8BA7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image" Target="../media/image11.JPG"/></Relationships>
</file>

<file path=xl/charts/_rels/chart3.xml.rels><?xml version="1.0" encoding="UTF-8" standalone="yes"?>
<Relationships xmlns="http://schemas.openxmlformats.org/package/2006/relationships"><Relationship Id="rId1" Type="http://schemas.openxmlformats.org/officeDocument/2006/relationships/image" Target="../media/image11.JPG"/></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cat>
          <c:val>
            <c:numRef>
              <c:f>STOXX_HedgeBedarf!$AR$5:$AR$205</c:f>
              <c:numCache>
                <c:formatCode>0.0</c:formatCode>
                <c:ptCount val="201"/>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Hedgebedarf+01</c:v>
          </c:tx>
          <c:spPr>
            <a:ln w="19050" cap="rnd">
              <a:solidFill>
                <a:schemeClr val="accent1"/>
              </a:solidFill>
              <a:round/>
            </a:ln>
            <a:effectLst/>
          </c:spPr>
          <c:marker>
            <c:symbol val="none"/>
          </c:marker>
          <c:xVal>
            <c:numRef>
              <c:f>'STOXX_HedgeBedarf+01'!$C$5:$C$205</c:f>
              <c:numCache>
                <c:formatCode>0.0</c:formatCode>
                <c:ptCount val="201"/>
                <c:pt idx="0">
                  <c:v>-249.53975901326413</c:v>
                </c:pt>
                <c:pt idx="1">
                  <c:v>-278.63469438863928</c:v>
                </c:pt>
                <c:pt idx="2">
                  <c:v>-308.8969609494182</c:v>
                </c:pt>
                <c:pt idx="3">
                  <c:v>-340.03519688375445</c:v>
                </c:pt>
                <c:pt idx="4">
                  <c:v>-371.71588254780085</c:v>
                </c:pt>
                <c:pt idx="5">
                  <c:v>-403.56714087677796</c:v>
                </c:pt>
                <c:pt idx="6">
                  <c:v>-435.18338077250365</c:v>
                </c:pt>
                <c:pt idx="7">
                  <c:v>-466.13070138156201</c:v>
                </c:pt>
                <c:pt idx="8">
                  <c:v>-495.95301103151428</c:v>
                </c:pt>
                <c:pt idx="9">
                  <c:v>-524.17885469886107</c:v>
                </c:pt>
                <c:pt idx="10">
                  <c:v>-550.32897711656585</c:v>
                </c:pt>
                <c:pt idx="11">
                  <c:v>-573.92466354516989</c:v>
                </c:pt>
                <c:pt idx="12">
                  <c:v>-594.49688703894299</c:v>
                </c:pt>
                <c:pt idx="13">
                  <c:v>-611.59624356864958</c:v>
                </c:pt>
                <c:pt idx="14">
                  <c:v>-624.80357369675232</c:v>
                </c:pt>
                <c:pt idx="15">
                  <c:v>-633.74105694876516</c:v>
                </c:pt>
                <c:pt idx="16">
                  <c:v>-638.08343420829931</c:v>
                </c:pt>
                <c:pt idx="17">
                  <c:v>-637.5688813852978</c:v>
                </c:pt>
                <c:pt idx="18">
                  <c:v>-632.00894472247035</c:v>
                </c:pt>
                <c:pt idx="19">
                  <c:v>-621.29687558864964</c:v>
                </c:pt>
                <c:pt idx="20">
                  <c:v>-605.41368915056682</c:v>
                </c:pt>
                <c:pt idx="21">
                  <c:v>-584.4313298990478</c:v>
                </c:pt>
                <c:pt idx="22">
                  <c:v>-558.51246217098424</c:v>
                </c:pt>
                <c:pt idx="23">
                  <c:v>-527.90660989021148</c:v>
                </c:pt>
                <c:pt idx="24">
                  <c:v>-492.94263049235474</c:v>
                </c:pt>
                <c:pt idx="25">
                  <c:v>-454.01779775596793</c:v>
                </c:pt>
                <c:pt idx="26">
                  <c:v>-411.58405479058342</c:v>
                </c:pt>
                <c:pt idx="27">
                  <c:v>-366.13224699607213</c:v>
                </c:pt>
                <c:pt idx="28">
                  <c:v>-318.17532309034573</c:v>
                </c:pt>
                <c:pt idx="29">
                  <c:v>-268.23157540665488</c:v>
                </c:pt>
                <c:pt idx="30">
                  <c:v>-216.80896538405267</c:v>
                </c:pt>
                <c:pt idx="31">
                  <c:v>-164.39144776760594</c:v>
                </c:pt>
                <c:pt idx="32">
                  <c:v>-111.42798384212141</c:v>
                </c:pt>
                <c:pt idx="33">
                  <c:v>-58.324649677605564</c:v>
                </c:pt>
                <c:pt idx="34">
                  <c:v>-5.439938645361579</c:v>
                </c:pt>
                <c:pt idx="35">
                  <c:v>46.916929658309371</c:v>
                </c:pt>
                <c:pt idx="36">
                  <c:v>98.485111151411303</c:v>
                </c:pt>
                <c:pt idx="37">
                  <c:v>149.04920992706536</c:v>
                </c:pt>
                <c:pt idx="38">
                  <c:v>198.43492640111504</c:v>
                </c:pt>
                <c:pt idx="39">
                  <c:v>246.50383576588163</c:v>
                </c:pt>
                <c:pt idx="40">
                  <c:v>293.14772949521887</c:v>
                </c:pt>
                <c:pt idx="41">
                  <c:v>338.28279276367709</c:v>
                </c:pt>
                <c:pt idx="42">
                  <c:v>381.84373345141501</c:v>
                </c:pt>
                <c:pt idx="43">
                  <c:v>423.77786205454805</c:v>
                </c:pt>
                <c:pt idx="44">
                  <c:v>464.03907388496242</c:v>
                </c:pt>
                <c:pt idx="45">
                  <c:v>502.5817160732696</c:v>
                </c:pt>
                <c:pt idx="46">
                  <c:v>539.35442282692759</c:v>
                </c:pt>
                <c:pt idx="47">
                  <c:v>574.29414530757788</c:v>
                </c:pt>
                <c:pt idx="48">
                  <c:v>607.32074665897062</c:v>
                </c:pt>
                <c:pt idx="49">
                  <c:v>638.33263367965765</c:v>
                </c:pt>
                <c:pt idx="50">
                  <c:v>667.20391697249363</c:v>
                </c:pt>
                <c:pt idx="51">
                  <c:v>693.78351076059357</c:v>
                </c:pt>
                <c:pt idx="52">
                  <c:v>717.89640542898337</c:v>
                </c:pt>
                <c:pt idx="53">
                  <c:v>739.34709911551101</c:v>
                </c:pt>
                <c:pt idx="54">
                  <c:v>757.92490895016749</c:v>
                </c:pt>
                <c:pt idx="55">
                  <c:v>773.41065778277527</c:v>
                </c:pt>
                <c:pt idx="56">
                  <c:v>785.58410454737077</c:v>
                </c:pt>
                <c:pt idx="57">
                  <c:v>794.23149320666175</c:v>
                </c:pt>
                <c:pt idx="58">
                  <c:v>799.15274345938496</c:v>
                </c:pt>
                <c:pt idx="59">
                  <c:v>800.16806722040133</c:v>
                </c:pt>
                <c:pt idx="60">
                  <c:v>797.12410681702465</c:v>
                </c:pt>
                <c:pt idx="61">
                  <c:v>789.89997168299124</c:v>
                </c:pt>
                <c:pt idx="62">
                  <c:v>778.41371569675653</c:v>
                </c:pt>
                <c:pt idx="63">
                  <c:v>762.62978184270321</c:v>
                </c:pt>
                <c:pt idx="64">
                  <c:v>742.56771695809687</c:v>
                </c:pt>
                <c:pt idx="65">
                  <c:v>718.31204840798864</c:v>
                </c:pt>
                <c:pt idx="66">
                  <c:v>690.02268747314986</c:v>
                </c:pt>
                <c:pt idx="67">
                  <c:v>657.94468973501125</c:v>
                </c:pt>
                <c:pt idx="68">
                  <c:v>622.41578564497956</c:v>
                </c:pt>
                <c:pt idx="69">
                  <c:v>583.86990859306093</c:v>
                </c:pt>
                <c:pt idx="70">
                  <c:v>542.83506939881431</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0-E407-4308-BD3C-1ADFF8D3F681}"/>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565.78743139033509</c:v>
                </c:pt>
              </c:numCache>
            </c:numRef>
          </c:xVal>
          <c:yVal>
            <c:numRef>
              <c:f>Ueberhaenge!$X$4</c:f>
              <c:numCache>
                <c:formatCode>#,##0.00</c:formatCode>
                <c:ptCount val="1"/>
                <c:pt idx="0">
                  <c:v>4264.3100000000004</c:v>
                </c:pt>
              </c:numCache>
            </c:numRef>
          </c:yVal>
          <c:smooth val="0"/>
          <c:extLst>
            <c:ext xmlns:c16="http://schemas.microsoft.com/office/drawing/2014/chart" uri="{C3380CC4-5D6E-409C-BE32-E72D297353CC}">
              <c16:uniqueId val="{00000001-E407-4308-BD3C-1ADFF8D3F681}"/>
            </c:ext>
          </c:extLst>
        </c:ser>
        <c:ser>
          <c:idx val="3"/>
          <c:order val="3"/>
          <c:tx>
            <c:v>Summe 2 Monate</c:v>
          </c:tx>
          <c:marker>
            <c:symbol val="none"/>
          </c:marker>
          <c:xVal>
            <c:numRef>
              <c:f>Ueberhaenge!$U$10:$U$210</c:f>
              <c:numCache>
                <c:formatCode>General</c:formatCode>
                <c:ptCount val="201"/>
                <c:pt idx="0">
                  <c:v>-1016.0396466606587</c:v>
                </c:pt>
                <c:pt idx="1">
                  <c:v>-1084.5438467907586</c:v>
                </c:pt>
                <c:pt idx="2">
                  <c:v>-1151.9605187966424</c:v>
                </c:pt>
                <c:pt idx="3">
                  <c:v>-1217.51993925242</c:v>
                </c:pt>
                <c:pt idx="4">
                  <c:v>-1280.4290824895181</c:v>
                </c:pt>
                <c:pt idx="5">
                  <c:v>-1339.8838801956817</c:v>
                </c:pt>
                <c:pt idx="6">
                  <c:v>-1395.081724004744</c:v>
                </c:pt>
                <c:pt idx="7">
                  <c:v>-1445.2339047628466</c:v>
                </c:pt>
                <c:pt idx="8">
                  <c:v>-1489.5777481297318</c:v>
                </c:pt>
                <c:pt idx="9">
                  <c:v>-1527.3882830539196</c:v>
                </c:pt>
                <c:pt idx="10">
                  <c:v>-1557.9893546062688</c:v>
                </c:pt>
                <c:pt idx="11">
                  <c:v>-1580.7641524453243</c:v>
                </c:pt>
                <c:pt idx="12">
                  <c:v>-1595.1651592899177</c:v>
                </c:pt>
                <c:pt idx="13">
                  <c:v>-1600.7235223907098</c:v>
                </c:pt>
                <c:pt idx="14">
                  <c:v>-1597.0578127188835</c:v>
                </c:pt>
                <c:pt idx="15">
                  <c:v>-1583.8820654027093</c:v>
                </c:pt>
                <c:pt idx="16">
                  <c:v>-1561.0129012632547</c:v>
                </c:pt>
                <c:pt idx="17">
                  <c:v>-1528.3754290333432</c:v>
                </c:pt>
                <c:pt idx="18">
                  <c:v>-1486.0075404202896</c:v>
                </c:pt>
                <c:pt idx="19">
                  <c:v>-1434.0621558030507</c:v>
                </c:pt>
                <c:pt idx="20">
                  <c:v>-1372.8069748386129</c:v>
                </c:pt>
                <c:pt idx="21">
                  <c:v>-1302.6213458050147</c:v>
                </c:pt>
                <c:pt idx="22">
                  <c:v>-1223.9899941049553</c:v>
                </c:pt>
                <c:pt idx="23">
                  <c:v>-1137.4935380814982</c:v>
                </c:pt>
                <c:pt idx="24">
                  <c:v>-1043.7959530892722</c:v>
                </c:pt>
                <c:pt idx="25">
                  <c:v>-943.62939771948186</c:v>
                </c:pt>
                <c:pt idx="26">
                  <c:v>-837.77705833468656</c:v>
                </c:pt>
                <c:pt idx="27">
                  <c:v>-727.05486695262823</c:v>
                </c:pt>
                <c:pt idx="28">
                  <c:v>-612.29307340661262</c:v>
                </c:pt>
                <c:pt idx="29">
                  <c:v>-494.3186839210365</c:v>
                </c:pt>
                <c:pt idx="30">
                  <c:v>-373.93970510388499</c:v>
                </c:pt>
                <c:pt idx="31">
                  <c:v>-251.93195970335341</c:v>
                </c:pt>
                <c:pt idx="32">
                  <c:v>-129.02898794513538</c:v>
                </c:pt>
                <c:pt idx="33">
                  <c:v>-5.9152481715198917</c:v>
                </c:pt>
                <c:pt idx="34">
                  <c:v>116.77747664207588</c:v>
                </c:pt>
                <c:pt idx="35">
                  <c:v>238.47083160971704</c:v>
                </c:pt>
                <c:pt idx="36">
                  <c:v>358.63836577208735</c:v>
                </c:pt>
                <c:pt idx="37">
                  <c:v>476.8023948880562</c:v>
                </c:pt>
                <c:pt idx="38">
                  <c:v>592.52990687922716</c:v>
                </c:pt>
                <c:pt idx="39">
                  <c:v>705.4280588172935</c:v>
                </c:pt>
                <c:pt idx="40">
                  <c:v>815.1396358904999</c:v>
                </c:pt>
                <c:pt idx="41">
                  <c:v>921.33863272578253</c:v>
                </c:pt>
                <c:pt idx="42">
                  <c:v>1023.7259214952389</c:v>
                </c:pt>
                <c:pt idx="43">
                  <c:v>1122.0248319450618</c:v>
                </c:pt>
                <c:pt idx="44">
                  <c:v>1215.9764165360787</c:v>
                </c:pt>
                <c:pt idx="45">
                  <c:v>1305.3342213749447</c:v>
                </c:pt>
                <c:pt idx="46">
                  <c:v>1389.8585208491922</c:v>
                </c:pt>
                <c:pt idx="47">
                  <c:v>1469.3101706372165</c:v>
                </c:pt>
                <c:pt idx="48">
                  <c:v>1543.4444451106979</c:v>
                </c:pt>
                <c:pt idx="49">
                  <c:v>1612.0054008599307</c:v>
                </c:pt>
                <c:pt idx="50">
                  <c:v>1674.7214038586212</c:v>
                </c:pt>
                <c:pt idx="51">
                  <c:v>1731.3024458555715</c:v>
                </c:pt>
                <c:pt idx="52">
                  <c:v>1781.4397520564419</c:v>
                </c:pt>
                <c:pt idx="53">
                  <c:v>1824.8079692598835</c:v>
                </c:pt>
                <c:pt idx="54">
                  <c:v>1861.0699656254276</c:v>
                </c:pt>
                <c:pt idx="55">
                  <c:v>1889.8840266866068</c:v>
                </c:pt>
                <c:pt idx="56">
                  <c:v>1910.913052064763</c:v>
                </c:pt>
                <c:pt idx="57">
                  <c:v>1923.8352824954234</c:v>
                </c:pt>
                <c:pt idx="58">
                  <c:v>1928.3561284016821</c:v>
                </c:pt>
                <c:pt idx="59">
                  <c:v>1924.2208072647516</c:v>
                </c:pt>
                <c:pt idx="60">
                  <c:v>1911.2276750018282</c:v>
                </c:pt>
                <c:pt idx="61">
                  <c:v>1889.2422849764666</c:v>
                </c:pt>
                <c:pt idx="62">
                  <c:v>1858.2122543794999</c:v>
                </c:pt>
                <c:pt idx="63">
                  <c:v>1818.1829077531897</c:v>
                </c:pt>
                <c:pt idx="64">
                  <c:v>1769.3133842771731</c:v>
                </c:pt>
                <c:pt idx="65">
                  <c:v>1711.8924688946677</c:v>
                </c:pt>
                <c:pt idx="66">
                  <c:v>1646.3529135379881</c:v>
                </c:pt>
                <c:pt idx="67">
                  <c:v>1573.2825636435764</c:v>
                </c:pt>
                <c:pt idx="68">
                  <c:v>1493.4303186393074</c:v>
                </c:pt>
                <c:pt idx="69">
                  <c:v>1407.7049394692679</c:v>
                </c:pt>
                <c:pt idx="70">
                  <c:v>1317.1650361746904</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4-E407-4308-BD3C-1ADFF8D3F681}"/>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STOXX_HedgeBedarf!$A$5:$A$205</c15:sqref>
                        </c15:formulaRef>
                      </c:ext>
                    </c:extLst>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xVal>
                <c:yVal>
                  <c:numRef>
                    <c:extLst>
                      <c:ext uri="{02D57815-91ED-43cb-92C2-25804820EDAC}">
                        <c15:formulaRef>
                          <c15:sqref>STOXX_HedgeBedarf!$B$5:$B$205</c15:sqref>
                        </c15:formulaRef>
                      </c:ext>
                    </c:extLst>
                    <c:numCache>
                      <c:formatCode>0.0</c:formatCode>
                      <c:ptCount val="201"/>
                    </c:numCache>
                  </c:numRef>
                </c:yVal>
                <c:smooth val="0"/>
                <c:extLst>
                  <c:ext xmlns:c16="http://schemas.microsoft.com/office/drawing/2014/chart" uri="{C3380CC4-5D6E-409C-BE32-E72D297353CC}">
                    <c16:uniqueId val="{00000002-E407-4308-BD3C-1ADFF8D3F681}"/>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858415040"/>
        <c:crosses val="autoZero"/>
        <c:crossBetween val="midCat"/>
      </c:valAx>
      <c:valAx>
        <c:axId val="1858415040"/>
        <c:scaling>
          <c:orientation val="minMax"/>
          <c:max val="4650"/>
          <c:min val="39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out"/>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pt-BR"/>
          </a:p>
        </c:txPr>
        <c:crossAx val="1294953968"/>
        <c:crossesAt val="0"/>
        <c:crossBetween val="midCat"/>
        <c:majorUnit val="50"/>
        <c:minorUnit val="1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STOXX_HedgeBedarf!$C$5:$C$205</c:f>
              <c:numCache>
                <c:formatCode>0.0</c:formatCode>
                <c:ptCount val="201"/>
                <c:pt idx="0">
                  <c:v>-766.49988764739464</c:v>
                </c:pt>
                <c:pt idx="1">
                  <c:v>-805.90915240211928</c:v>
                </c:pt>
                <c:pt idx="2">
                  <c:v>-843.06355784722427</c:v>
                </c:pt>
                <c:pt idx="3">
                  <c:v>-877.48474236866571</c:v>
                </c:pt>
                <c:pt idx="4">
                  <c:v>-908.71319994171733</c:v>
                </c:pt>
                <c:pt idx="5">
                  <c:v>-936.31673931890384</c:v>
                </c:pt>
                <c:pt idx="6">
                  <c:v>-959.89834323224034</c:v>
                </c:pt>
                <c:pt idx="7">
                  <c:v>-979.10320338128463</c:v>
                </c:pt>
                <c:pt idx="8">
                  <c:v>-993.62473709821745</c:v>
                </c:pt>
                <c:pt idx="9">
                  <c:v>-1003.2094283550587</c:v>
                </c:pt>
                <c:pt idx="10">
                  <c:v>-1007.6603774897029</c:v>
                </c:pt>
                <c:pt idx="11">
                  <c:v>-1006.8394889001545</c:v>
                </c:pt>
                <c:pt idx="12">
                  <c:v>-1000.6682722509747</c:v>
                </c:pt>
                <c:pt idx="13">
                  <c:v>-989.12727882206025</c:v>
                </c:pt>
                <c:pt idx="14">
                  <c:v>-972.25423902213117</c:v>
                </c:pt>
                <c:pt idx="15">
                  <c:v>-950.1410084539441</c:v>
                </c:pt>
                <c:pt idx="16">
                  <c:v>-922.92946705495535</c:v>
                </c:pt>
                <c:pt idx="17">
                  <c:v>-890.80654764804535</c:v>
                </c:pt>
                <c:pt idx="18">
                  <c:v>-853.99859569781927</c:v>
                </c:pt>
                <c:pt idx="19">
                  <c:v>-812.76528021440095</c:v>
                </c:pt>
                <c:pt idx="20">
                  <c:v>-767.39328568804592</c:v>
                </c:pt>
                <c:pt idx="21">
                  <c:v>-718.1900159059669</c:v>
                </c:pt>
                <c:pt idx="22">
                  <c:v>-665.47753193397114</c:v>
                </c:pt>
                <c:pt idx="23">
                  <c:v>-609.5869281912868</c:v>
                </c:pt>
                <c:pt idx="24">
                  <c:v>-550.85332259691745</c:v>
                </c:pt>
                <c:pt idx="25">
                  <c:v>-489.61159996351398</c:v>
                </c:pt>
                <c:pt idx="26">
                  <c:v>-426.19300354410314</c:v>
                </c:pt>
                <c:pt idx="27">
                  <c:v>-360.9226199565561</c:v>
                </c:pt>
                <c:pt idx="28">
                  <c:v>-294.11775031626695</c:v>
                </c:pt>
                <c:pt idx="29">
                  <c:v>-226.08710851438161</c:v>
                </c:pt>
                <c:pt idx="30">
                  <c:v>-157.13073971983229</c:v>
                </c:pt>
                <c:pt idx="31">
                  <c:v>-87.540511935747475</c:v>
                </c:pt>
                <c:pt idx="32">
                  <c:v>-17.601004103013977</c:v>
                </c:pt>
                <c:pt idx="33">
                  <c:v>52.409401506085672</c:v>
                </c:pt>
                <c:pt idx="34">
                  <c:v>122.21741528743746</c:v>
                </c:pt>
                <c:pt idx="35">
                  <c:v>191.55390195140768</c:v>
                </c:pt>
                <c:pt idx="36">
                  <c:v>260.15325462067608</c:v>
                </c:pt>
                <c:pt idx="37">
                  <c:v>327.75318496099084</c:v>
                </c:pt>
                <c:pt idx="38">
                  <c:v>394.09498047811212</c:v>
                </c:pt>
                <c:pt idx="39">
                  <c:v>458.9242230514119</c:v>
                </c:pt>
                <c:pt idx="40">
                  <c:v>521.99190639528103</c:v>
                </c:pt>
                <c:pt idx="41">
                  <c:v>583.05583996210544</c:v>
                </c:pt>
                <c:pt idx="42">
                  <c:v>641.88218804382393</c:v>
                </c:pt>
                <c:pt idx="43">
                  <c:v>698.24696989051381</c:v>
                </c:pt>
                <c:pt idx="44">
                  <c:v>751.9373426511163</c:v>
                </c:pt>
                <c:pt idx="45">
                  <c:v>802.752505301675</c:v>
                </c:pt>
                <c:pt idx="46">
                  <c:v>850.50409802226466</c:v>
                </c:pt>
                <c:pt idx="47">
                  <c:v>895.01602532963864</c:v>
                </c:pt>
                <c:pt idx="48">
                  <c:v>936.12369845172714</c:v>
                </c:pt>
                <c:pt idx="49">
                  <c:v>973.67276718027301</c:v>
                </c:pt>
                <c:pt idx="50">
                  <c:v>1007.5174868861277</c:v>
                </c:pt>
                <c:pt idx="51">
                  <c:v>1037.5189350949779</c:v>
                </c:pt>
                <c:pt idx="52">
                  <c:v>1063.5433466274585</c:v>
                </c:pt>
                <c:pt idx="53">
                  <c:v>1085.4608701443724</c:v>
                </c:pt>
                <c:pt idx="54">
                  <c:v>1103.1450566752601</c:v>
                </c:pt>
                <c:pt idx="55">
                  <c:v>1116.4733689038317</c:v>
                </c:pt>
                <c:pt idx="56">
                  <c:v>1125.3289475173922</c:v>
                </c:pt>
                <c:pt idx="57">
                  <c:v>1129.6037892887616</c:v>
                </c:pt>
                <c:pt idx="58">
                  <c:v>1129.2033849422971</c:v>
                </c:pt>
                <c:pt idx="59">
                  <c:v>1124.0527400443502</c:v>
                </c:pt>
                <c:pt idx="60">
                  <c:v>1114.1035681848034</c:v>
                </c:pt>
                <c:pt idx="61">
                  <c:v>1099.3423132934754</c:v>
                </c:pt>
                <c:pt idx="62">
                  <c:v>1079.7985386827434</c:v>
                </c:pt>
                <c:pt idx="63">
                  <c:v>1055.5531259104864</c:v>
                </c:pt>
                <c:pt idx="64">
                  <c:v>1026.7456673190761</c:v>
                </c:pt>
                <c:pt idx="65">
                  <c:v>993.58042048667892</c:v>
                </c:pt>
                <c:pt idx="66">
                  <c:v>956.33022606483814</c:v>
                </c:pt>
                <c:pt idx="67">
                  <c:v>915.33787390856526</c:v>
                </c:pt>
                <c:pt idx="68">
                  <c:v>871.01453299432785</c:v>
                </c:pt>
                <c:pt idx="69">
                  <c:v>823.83503087620693</c:v>
                </c:pt>
                <c:pt idx="70">
                  <c:v>774.32996677587607</c:v>
                </c:pt>
              </c:numCache>
            </c:numRef>
          </c:xVal>
          <c:yVal>
            <c:numRef>
              <c:f>STOXX_HedgeBedarf!$A$5:$A$205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565.78743139033509</c:v>
                </c:pt>
              </c:numCache>
            </c:numRef>
          </c:xVal>
          <c:yVal>
            <c:numRef>
              <c:f>Ueberhaenge!$X$4</c:f>
              <c:numCache>
                <c:formatCode>#,##0.00</c:formatCode>
                <c:ptCount val="1"/>
                <c:pt idx="0">
                  <c:v>4264.3100000000004</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STOXX_HedgeBedarf!$A$5:$A$205</c15:sqref>
                        </c15:formulaRef>
                      </c:ext>
                    </c:extLst>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xVal>
                <c:yVal>
                  <c:numRef>
                    <c:extLst>
                      <c:ext uri="{02D57815-91ED-43cb-92C2-25804820EDAC}">
                        <c15:formulaRef>
                          <c15:sqref>STOXX_HedgeBedarf!$B$5:$B$205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858415040"/>
        <c:crosses val="autoZero"/>
        <c:crossBetween val="midCat"/>
      </c:valAx>
      <c:valAx>
        <c:axId val="1858415040"/>
        <c:scaling>
          <c:orientation val="minMax"/>
          <c:max val="4650"/>
          <c:min val="39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out"/>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pt-BR"/>
          </a:p>
        </c:txPr>
        <c:crossAx val="1294953968"/>
        <c:crossesAt val="0"/>
        <c:crossBetween val="midCat"/>
        <c:majorUnit val="50"/>
        <c:minorUnit val="1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7" r="0.7" t="0.78740157499999996"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'STOXX_HedgeBedarf+01'!$A$5:$A$205</c:f>
              <c:numCache>
                <c:formatCode>0.0</c:formatCode>
                <c:ptCount val="201"/>
                <c:pt idx="0">
                  <c:v>4650</c:v>
                </c:pt>
                <c:pt idx="1">
                  <c:v>4640</c:v>
                </c:pt>
                <c:pt idx="2">
                  <c:v>4630</c:v>
                </c:pt>
                <c:pt idx="3">
                  <c:v>4620</c:v>
                </c:pt>
                <c:pt idx="4">
                  <c:v>4610</c:v>
                </c:pt>
                <c:pt idx="5">
                  <c:v>4600</c:v>
                </c:pt>
                <c:pt idx="6">
                  <c:v>4590</c:v>
                </c:pt>
                <c:pt idx="7">
                  <c:v>4580</c:v>
                </c:pt>
                <c:pt idx="8">
                  <c:v>4570</c:v>
                </c:pt>
                <c:pt idx="9">
                  <c:v>4560</c:v>
                </c:pt>
                <c:pt idx="10">
                  <c:v>4550</c:v>
                </c:pt>
                <c:pt idx="11">
                  <c:v>4540</c:v>
                </c:pt>
                <c:pt idx="12">
                  <c:v>4530</c:v>
                </c:pt>
                <c:pt idx="13">
                  <c:v>4520</c:v>
                </c:pt>
                <c:pt idx="14">
                  <c:v>4510</c:v>
                </c:pt>
                <c:pt idx="15">
                  <c:v>4500</c:v>
                </c:pt>
                <c:pt idx="16">
                  <c:v>4490</c:v>
                </c:pt>
                <c:pt idx="17">
                  <c:v>4480</c:v>
                </c:pt>
                <c:pt idx="18">
                  <c:v>4470</c:v>
                </c:pt>
                <c:pt idx="19">
                  <c:v>4460</c:v>
                </c:pt>
                <c:pt idx="20">
                  <c:v>4450</c:v>
                </c:pt>
                <c:pt idx="21">
                  <c:v>4440</c:v>
                </c:pt>
                <c:pt idx="22">
                  <c:v>4430</c:v>
                </c:pt>
                <c:pt idx="23">
                  <c:v>4420</c:v>
                </c:pt>
                <c:pt idx="24">
                  <c:v>4410</c:v>
                </c:pt>
                <c:pt idx="25">
                  <c:v>4400</c:v>
                </c:pt>
                <c:pt idx="26">
                  <c:v>4390</c:v>
                </c:pt>
                <c:pt idx="27">
                  <c:v>4380</c:v>
                </c:pt>
                <c:pt idx="28">
                  <c:v>4370</c:v>
                </c:pt>
                <c:pt idx="29">
                  <c:v>4360</c:v>
                </c:pt>
                <c:pt idx="30">
                  <c:v>4350</c:v>
                </c:pt>
                <c:pt idx="31">
                  <c:v>4340</c:v>
                </c:pt>
                <c:pt idx="32">
                  <c:v>4330</c:v>
                </c:pt>
                <c:pt idx="33">
                  <c:v>4320</c:v>
                </c:pt>
                <c:pt idx="34">
                  <c:v>4310</c:v>
                </c:pt>
                <c:pt idx="35">
                  <c:v>4300</c:v>
                </c:pt>
                <c:pt idx="36">
                  <c:v>4290</c:v>
                </c:pt>
                <c:pt idx="37">
                  <c:v>4280</c:v>
                </c:pt>
                <c:pt idx="38">
                  <c:v>4270</c:v>
                </c:pt>
                <c:pt idx="39">
                  <c:v>4260</c:v>
                </c:pt>
                <c:pt idx="40">
                  <c:v>4250</c:v>
                </c:pt>
                <c:pt idx="41">
                  <c:v>4240</c:v>
                </c:pt>
                <c:pt idx="42">
                  <c:v>4230</c:v>
                </c:pt>
                <c:pt idx="43">
                  <c:v>4220</c:v>
                </c:pt>
                <c:pt idx="44">
                  <c:v>4210</c:v>
                </c:pt>
                <c:pt idx="45">
                  <c:v>4200</c:v>
                </c:pt>
                <c:pt idx="46">
                  <c:v>4190</c:v>
                </c:pt>
                <c:pt idx="47">
                  <c:v>4180</c:v>
                </c:pt>
                <c:pt idx="48">
                  <c:v>4170</c:v>
                </c:pt>
                <c:pt idx="49">
                  <c:v>4160</c:v>
                </c:pt>
                <c:pt idx="50">
                  <c:v>4150</c:v>
                </c:pt>
                <c:pt idx="51">
                  <c:v>4140</c:v>
                </c:pt>
                <c:pt idx="52">
                  <c:v>4130</c:v>
                </c:pt>
                <c:pt idx="53">
                  <c:v>4120</c:v>
                </c:pt>
                <c:pt idx="54">
                  <c:v>4110</c:v>
                </c:pt>
                <c:pt idx="55">
                  <c:v>4100</c:v>
                </c:pt>
                <c:pt idx="56">
                  <c:v>4090</c:v>
                </c:pt>
                <c:pt idx="57">
                  <c:v>4080</c:v>
                </c:pt>
                <c:pt idx="58">
                  <c:v>4070</c:v>
                </c:pt>
                <c:pt idx="59">
                  <c:v>4060</c:v>
                </c:pt>
                <c:pt idx="60">
                  <c:v>4050</c:v>
                </c:pt>
                <c:pt idx="61">
                  <c:v>4040</c:v>
                </c:pt>
                <c:pt idx="62">
                  <c:v>4030</c:v>
                </c:pt>
                <c:pt idx="63">
                  <c:v>4020</c:v>
                </c:pt>
                <c:pt idx="64">
                  <c:v>4010</c:v>
                </c:pt>
                <c:pt idx="65">
                  <c:v>4000</c:v>
                </c:pt>
                <c:pt idx="66">
                  <c:v>3990</c:v>
                </c:pt>
                <c:pt idx="67">
                  <c:v>3980</c:v>
                </c:pt>
                <c:pt idx="68">
                  <c:v>3970</c:v>
                </c:pt>
                <c:pt idx="69">
                  <c:v>3960</c:v>
                </c:pt>
                <c:pt idx="70">
                  <c:v>3950</c:v>
                </c:pt>
              </c:numCache>
            </c:numRef>
          </c:cat>
          <c:val>
            <c:numRef>
              <c:f>'STOXX_HedgeBedarf+01'!$AR$5:$AR$205</c:f>
              <c:numCache>
                <c:formatCode>0.0</c:formatCode>
                <c:ptCount val="201"/>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742950</xdr:colOff>
          <xdr:row>2</xdr:row>
          <xdr:rowOff>152400</xdr:rowOff>
        </xdr:from>
        <xdr:to>
          <xdr:col>12</xdr:col>
          <xdr:colOff>0</xdr:colOff>
          <xdr:row>4</xdr:row>
          <xdr:rowOff>123825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742950</xdr:colOff>
          <xdr:row>0</xdr:row>
          <xdr:rowOff>123825</xdr:rowOff>
        </xdr:from>
        <xdr:to>
          <xdr:col>13</xdr:col>
          <xdr:colOff>219075</xdr:colOff>
          <xdr:row>1</xdr:row>
          <xdr:rowOff>161925</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742950</xdr:colOff>
          <xdr:row>0</xdr:row>
          <xdr:rowOff>628650</xdr:rowOff>
        </xdr:from>
        <xdr:to>
          <xdr:col>12</xdr:col>
          <xdr:colOff>19050</xdr:colOff>
          <xdr:row>2</xdr:row>
          <xdr:rowOff>66675</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0</xdr:row>
          <xdr:rowOff>123825</xdr:rowOff>
        </xdr:from>
        <xdr:to>
          <xdr:col>14</xdr:col>
          <xdr:colOff>19050</xdr:colOff>
          <xdr:row>0</xdr:row>
          <xdr:rowOff>676275</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752475</xdr:colOff>
          <xdr:row>0</xdr:row>
          <xdr:rowOff>66675</xdr:rowOff>
        </xdr:from>
        <xdr:to>
          <xdr:col>27</xdr:col>
          <xdr:colOff>476250</xdr:colOff>
          <xdr:row>0</xdr:row>
          <xdr:rowOff>619125</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752475</xdr:colOff>
          <xdr:row>0</xdr:row>
          <xdr:rowOff>523875</xdr:rowOff>
        </xdr:from>
        <xdr:to>
          <xdr:col>27</xdr:col>
          <xdr:colOff>476250</xdr:colOff>
          <xdr:row>2</xdr:row>
          <xdr:rowOff>104775</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1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9</xdr:col>
          <xdr:colOff>742950</xdr:colOff>
          <xdr:row>5</xdr:row>
          <xdr:rowOff>47625</xdr:rowOff>
        </xdr:from>
        <xdr:to>
          <xdr:col>11</xdr:col>
          <xdr:colOff>742950</xdr:colOff>
          <xdr:row>6</xdr:row>
          <xdr:rowOff>219075</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0</xdr:row>
          <xdr:rowOff>123825</xdr:rowOff>
        </xdr:from>
        <xdr:to>
          <xdr:col>17</xdr:col>
          <xdr:colOff>19050</xdr:colOff>
          <xdr:row>0</xdr:row>
          <xdr:rowOff>666750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0</xdr:row>
          <xdr:rowOff>123825</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3" name="Gerader Verbinder 2">
          <a:extLst>
            <a:ext uri="{FF2B5EF4-FFF2-40B4-BE49-F238E27FC236}">
              <a16:creationId xmlns:a16="http://schemas.microsoft.com/office/drawing/2014/main" id="{00000000-0008-0000-0800-000003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9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4" name="Gerader Verbinder 3">
          <a:extLst>
            <a:ext uri="{FF2B5EF4-FFF2-40B4-BE49-F238E27FC236}">
              <a16:creationId xmlns:a16="http://schemas.microsoft.com/office/drawing/2014/main" id="{00000000-0008-0000-0900-000004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3175</xdr:colOff>
      <xdr:row>6</xdr:row>
      <xdr:rowOff>381001</xdr:rowOff>
    </xdr:from>
    <xdr:to>
      <xdr:col>9</xdr:col>
      <xdr:colOff>47625</xdr:colOff>
      <xdr:row>39</xdr:row>
      <xdr:rowOff>31751</xdr:rowOff>
    </xdr:to>
    <xdr:graphicFrame macro="">
      <xdr:nvGraphicFramePr>
        <xdr:cNvPr id="2" name="Diagramm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3" name="Gerade Verbindung mit Pfeil 2">
          <a:extLst>
            <a:ext uri="{FF2B5EF4-FFF2-40B4-BE49-F238E27FC236}">
              <a16:creationId xmlns:a16="http://schemas.microsoft.com/office/drawing/2014/main" id="{00000000-0008-0000-0B00-000003000000}"/>
            </a:ext>
          </a:extLst>
        </xdr:cNvPr>
        <xdr:cNvCxnSpPr/>
      </xdr:nvCxnSpPr>
      <xdr:spPr>
        <a:xfrm flipH="1">
          <a:off x="18988768" y="10271124"/>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4" name="Gerade Verbindung mit Pfeil 3">
          <a:extLst>
            <a:ext uri="{FF2B5EF4-FFF2-40B4-BE49-F238E27FC236}">
              <a16:creationId xmlns:a16="http://schemas.microsoft.com/office/drawing/2014/main" id="{00000000-0008-0000-0B00-000004000000}"/>
            </a:ext>
          </a:extLst>
        </xdr:cNvPr>
        <xdr:cNvCxnSpPr/>
      </xdr:nvCxnSpPr>
      <xdr:spPr>
        <a:xfrm flipH="1">
          <a:off x="18767729" y="9611632"/>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15876</xdr:colOff>
      <xdr:row>6</xdr:row>
      <xdr:rowOff>15875</xdr:rowOff>
    </xdr:from>
    <xdr:ext cx="4841874" cy="841376"/>
    <xdr:sp macro="" textlink="">
      <xdr:nvSpPr>
        <xdr:cNvPr id="5" name="Textfeld 4">
          <a:extLst>
            <a:ext uri="{FF2B5EF4-FFF2-40B4-BE49-F238E27FC236}">
              <a16:creationId xmlns:a16="http://schemas.microsoft.com/office/drawing/2014/main" id="{00000000-0008-0000-0B00-000005000000}"/>
            </a:ext>
          </a:extLst>
        </xdr:cNvPr>
        <xdr:cNvSpPr txBox="1"/>
      </xdr:nvSpPr>
      <xdr:spPr>
        <a:xfrm>
          <a:off x="3768726" y="2606675"/>
          <a:ext cx="4841874" cy="841376"/>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bg1"/>
              </a:solidFill>
              <a:effectLst/>
              <a:latin typeface="+mn-lt"/>
              <a:ea typeface="+mn-ea"/>
              <a:cs typeface="+mn-cs"/>
            </a:rPr>
            <a:t>Änderung des Hedgebedarfs für den Frontmonat (Kontrakte/P, Abschätzung)</a:t>
          </a:r>
          <a:br>
            <a:rPr lang="en-US" sz="1600" b="1" i="0" baseline="0">
              <a:solidFill>
                <a:schemeClr val="bg1"/>
              </a:solidFill>
              <a:effectLst/>
              <a:latin typeface="+mn-lt"/>
              <a:ea typeface="+mn-ea"/>
              <a:cs typeface="+mn-cs"/>
            </a:rPr>
          </a:br>
          <a:r>
            <a:rPr lang="en-US" sz="1600" b="1" i="0" baseline="0">
              <a:solidFill>
                <a:schemeClr val="bg1"/>
              </a:solidFill>
              <a:effectLst/>
              <a:latin typeface="+mn-lt"/>
              <a:ea typeface="+mn-ea"/>
              <a:cs typeface="+mn-cs"/>
            </a:rPr>
            <a:t>Faktor:50% (des theoretischen Wertes)</a:t>
          </a:r>
          <a:endParaRPr lang="de-DE" sz="1600" b="1">
            <a:solidFill>
              <a:schemeClr val="bg1"/>
            </a:solidFill>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B00-000006000000}"/>
            </a:ext>
          </a:extLst>
        </xdr:cNvPr>
        <xdr:cNvCxnSpPr/>
      </xdr:nvCxnSpPr>
      <xdr:spPr>
        <a:xfrm flipV="1">
          <a:off x="17319625" y="53657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48</xdr:row>
      <xdr:rowOff>0</xdr:rowOff>
    </xdr:to>
    <xdr:sp macro="" textlink="">
      <xdr:nvSpPr>
        <xdr:cNvPr id="7" name="Rechteck 6">
          <a:extLst>
            <a:ext uri="{FF2B5EF4-FFF2-40B4-BE49-F238E27FC236}">
              <a16:creationId xmlns:a16="http://schemas.microsoft.com/office/drawing/2014/main" id="{00000000-0008-0000-0B00-000007000000}"/>
            </a:ext>
          </a:extLst>
        </xdr:cNvPr>
        <xdr:cNvSpPr/>
      </xdr:nvSpPr>
      <xdr:spPr>
        <a:xfrm>
          <a:off x="23241000" y="2273300"/>
          <a:ext cx="4222750" cy="127095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457200</xdr:colOff>
      <xdr:row>45</xdr:row>
      <xdr:rowOff>114300</xdr:rowOff>
    </xdr:from>
    <xdr:to>
      <xdr:col>5</xdr:col>
      <xdr:colOff>650875</xdr:colOff>
      <xdr:row>45</xdr:row>
      <xdr:rowOff>184150</xdr:rowOff>
    </xdr:to>
    <xdr:sp macro="" textlink="">
      <xdr:nvSpPr>
        <xdr:cNvPr id="8" name="Rechteck 7">
          <a:extLst>
            <a:ext uri="{FF2B5EF4-FFF2-40B4-BE49-F238E27FC236}">
              <a16:creationId xmlns:a16="http://schemas.microsoft.com/office/drawing/2014/main" id="{00000000-0008-0000-0B00-000008000000}"/>
            </a:ext>
          </a:extLst>
        </xdr:cNvPr>
        <xdr:cNvSpPr/>
      </xdr:nvSpPr>
      <xdr:spPr>
        <a:xfrm>
          <a:off x="4972050" y="143827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469900</xdr:colOff>
      <xdr:row>44</xdr:row>
      <xdr:rowOff>123825</xdr:rowOff>
    </xdr:from>
    <xdr:to>
      <xdr:col>5</xdr:col>
      <xdr:colOff>663575</xdr:colOff>
      <xdr:row>44</xdr:row>
      <xdr:rowOff>193675</xdr:rowOff>
    </xdr:to>
    <xdr:sp macro="" textlink="">
      <xdr:nvSpPr>
        <xdr:cNvPr id="9" name="Rechteck 8">
          <a:extLst>
            <a:ext uri="{FF2B5EF4-FFF2-40B4-BE49-F238E27FC236}">
              <a16:creationId xmlns:a16="http://schemas.microsoft.com/office/drawing/2014/main" id="{00000000-0008-0000-0B00-000009000000}"/>
            </a:ext>
          </a:extLst>
        </xdr:cNvPr>
        <xdr:cNvSpPr/>
      </xdr:nvSpPr>
      <xdr:spPr>
        <a:xfrm>
          <a:off x="4984750" y="14154150"/>
          <a:ext cx="193675" cy="69850"/>
        </a:xfrm>
        <a:prstGeom prst="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3175</xdr:colOff>
      <xdr:row>6</xdr:row>
      <xdr:rowOff>381001</xdr:rowOff>
    </xdr:from>
    <xdr:to>
      <xdr:col>9</xdr:col>
      <xdr:colOff>47625</xdr:colOff>
      <xdr:row>39</xdr:row>
      <xdr:rowOff>31751</xdr:rowOff>
    </xdr:to>
    <xdr:graphicFrame macro="">
      <xdr:nvGraphicFramePr>
        <xdr:cNvPr id="2" name="Diagramm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C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C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C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48</xdr:row>
      <xdr:rowOff>0</xdr:rowOff>
    </xdr:to>
    <xdr:sp macro="" textlink="">
      <xdr:nvSpPr>
        <xdr:cNvPr id="3" name="Rechteck 2">
          <a:extLst>
            <a:ext uri="{FF2B5EF4-FFF2-40B4-BE49-F238E27FC236}">
              <a16:creationId xmlns:a16="http://schemas.microsoft.com/office/drawing/2014/main" id="{00000000-0008-0000-0C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oneCellAnchor>
    <xdr:from>
      <xdr:col>4</xdr:col>
      <xdr:colOff>15876</xdr:colOff>
      <xdr:row>6</xdr:row>
      <xdr:rowOff>15875</xdr:rowOff>
    </xdr:from>
    <xdr:ext cx="4841874" cy="841376"/>
    <xdr:sp macro="" textlink="">
      <xdr:nvSpPr>
        <xdr:cNvPr id="7" name="Textfeld 6">
          <a:extLst>
            <a:ext uri="{FF2B5EF4-FFF2-40B4-BE49-F238E27FC236}">
              <a16:creationId xmlns:a16="http://schemas.microsoft.com/office/drawing/2014/main" id="{00000000-0008-0000-0C00-000007000000}"/>
            </a:ext>
          </a:extLst>
        </xdr:cNvPr>
        <xdr:cNvSpPr txBox="1"/>
      </xdr:nvSpPr>
      <xdr:spPr>
        <a:xfrm>
          <a:off x="3762376" y="2159000"/>
          <a:ext cx="4841874" cy="841376"/>
        </a:xfrm>
        <a:prstGeom prst="rect">
          <a:avLst/>
        </a:prstGeom>
        <a:solidFill>
          <a:schemeClr val="accent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bg1"/>
              </a:solidFill>
              <a:effectLst/>
              <a:latin typeface="+mn-lt"/>
              <a:ea typeface="+mn-ea"/>
              <a:cs typeface="+mn-cs"/>
            </a:rPr>
            <a:t>Änderung des Hedgebedarfs für den Frontmonat (Kontrakte/P, Abschätzung)</a:t>
          </a:r>
          <a:br>
            <a:rPr lang="en-US" sz="1600" b="1" i="0" baseline="0">
              <a:solidFill>
                <a:schemeClr val="bg1"/>
              </a:solidFill>
              <a:effectLst/>
              <a:latin typeface="+mn-lt"/>
              <a:ea typeface="+mn-ea"/>
              <a:cs typeface="+mn-cs"/>
            </a:rPr>
          </a:br>
          <a:r>
            <a:rPr lang="en-US" sz="1600" b="1" i="0" baseline="0">
              <a:solidFill>
                <a:schemeClr val="bg1"/>
              </a:solidFill>
              <a:effectLst/>
              <a:latin typeface="+mn-lt"/>
              <a:ea typeface="+mn-ea"/>
              <a:cs typeface="+mn-cs"/>
            </a:rPr>
            <a:t>Faktor:50% (des theoretischen Wertes)</a:t>
          </a:r>
          <a:endParaRPr lang="de-DE" sz="1600" b="1">
            <a:solidFill>
              <a:schemeClr val="bg1"/>
            </a:solidFill>
            <a:effectLst/>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3" connectionId="3" xr16:uid="{3B996B97-E06D-41CC-B7FD-206A2F15D1AE}" autoFormatId="16" applyNumberFormats="0" applyBorderFormats="0" applyFontFormats="0" applyPatternFormats="0" applyAlignmentFormats="0" applyWidthHeightFormats="0">
  <queryTableRefresh nextId="762">
    <queryTableFields count="6">
      <queryTableField id="523" name="USD" tableColumnId="1"/>
      <queryTableField id="757" name="04-09-2023" tableColumnId="2"/>
      <queryTableField id="758" name="01-09-2023" tableColumnId="3"/>
      <queryTableField id="759" name="31-08-2023" tableColumnId="4"/>
      <queryTableField id="760" name="30-08-2023" tableColumnId="5"/>
      <queryTableField id="761" name="29-08-2023"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 xr16:uid="{53855074-DCB6-4CD2-81D7-F51113CF451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4" xr16:uid="{3B03E782-8878-4D07-B969-9A8941D817AF}" autoFormatId="16" applyNumberFormats="0" applyBorderFormats="0" applyFontFormats="0" applyPatternFormats="0" applyAlignmentFormats="0" applyWidthHeightFormats="0">
  <queryTableRefresh nextId="5">
    <queryTableFields count="4">
      <queryTableField id="1" name="Indizes EU / USA / INT" tableColumnId="5"/>
      <queryTableField id="2" name="Kurs" tableColumnId="2"/>
      <queryTableField id="3" name="%" tableColumnId="3"/>
      <queryTableField id="4" name="Zeit"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0AEA0782-F919-4C0E-ACF1-A3D48152B9B3}" autoFormatId="16" applyNumberFormats="0" applyBorderFormats="0" applyFontFormats="0" applyPatternFormats="0" applyAlignmentFormats="0" applyWidthHeightFormats="0">
  <queryTableRefresh nextId="6">
    <queryTableFields count="5">
      <queryTableField id="1" name="Product" tableColumnId="6"/>
      <queryTableField id="2" name="Diff. to prev. day last" tableColumnId="2"/>
      <queryTableField id="3" name="Last price" tableColumnId="3"/>
      <queryTableField id="4" name="Contracts" tableColumnId="4"/>
      <queryTableField id="5" name="Time"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2" xr16:uid="{81C52E81-01D5-4BCE-8194-5CF43C5F1987}"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6" xr16:uid="{6CFEBD47-7593-480A-B23E-CCC6265CA497}" autoFormatId="16" applyNumberFormats="0" applyBorderFormats="0" applyFontFormats="0" applyPatternFormats="0" applyAlignmentFormats="0" applyWidthHeightFormats="0">
  <queryTableRefresh nextId="4" unboundColumnsRight="1">
    <queryTableFields count="3">
      <queryTableField id="1" name="Column1" tableColumnId="3"/>
      <queryTableField id="2" name="Column2" tableColumnId="2"/>
      <queryTableField id="3"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983621-AC03-41CE-853C-1893824BA46C}" name="Libor" displayName="Libor" ref="A13:F16" tableType="queryTable" totalsRowShown="0">
  <autoFilter ref="A13:F16" xr:uid="{DE0D870F-632C-4D0D-90C3-5295F2591B9E}"/>
  <tableColumns count="6">
    <tableColumn id="1" xr3:uid="{02D5A623-4E73-46D7-81FE-0C6FC667715C}" uniqueName="1" name="USD" queryTableFieldId="523" dataDxfId="44"/>
    <tableColumn id="2" xr3:uid="{8939F5AE-4A0C-438B-8F1F-90C76BD2FD32}" uniqueName="2" name="04-09-2023" queryTableFieldId="757" dataDxfId="43"/>
    <tableColumn id="3" xr3:uid="{2EA88D69-79E9-49AA-9C39-1B461348CA89}" uniqueName="3" name="01-09-2023" queryTableFieldId="758" dataDxfId="42"/>
    <tableColumn id="4" xr3:uid="{B781B4DD-3205-4FD5-9DCA-C246CAE1C5B9}" uniqueName="4" name="31-08-2023" queryTableFieldId="759" dataDxfId="41"/>
    <tableColumn id="5" xr3:uid="{20D6B990-9D42-4FF9-9DF1-36BCA346714E}" uniqueName="5" name="30-08-2023" queryTableFieldId="760" dataDxfId="40"/>
    <tableColumn id="6" xr3:uid="{31651604-0E6A-4FA8-B3F5-DF8E98144AA3}" uniqueName="6" name="29-08-2023" queryTableFieldId="761" dataDxfId="3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0BFE0C-63D3-448D-B265-0D6C0E173DE4}" name="Stoxx_50" displayName="Stoxx_50" ref="A1:F6" totalsRowShown="0">
  <autoFilter ref="A1:F6" xr:uid="{3F296FF5-133E-4B0D-AF46-3C8E344F3391}"/>
  <tableColumns count="6">
    <tableColumn id="7" xr3:uid="{E63EA544-83C5-40AA-853C-15CDD9C5B172}" name="Name" dataDxfId="38"/>
    <tableColumn id="2" xr3:uid="{4836B549-2264-4702-85CB-9CD14219D157}" name="Kurs" dataDxfId="37"/>
    <tableColumn id="3" xr3:uid="{A6B72ED6-3E02-4C39-A28C-C02160AC051D}" name="Vortag" dataDxfId="36"/>
    <tableColumn id="4" xr3:uid="{B259CF6A-A4E8-48E4-AD1D-7E60A0B2D621}" name="+/- %" dataDxfId="35"/>
    <tableColumn id="5" xr3:uid="{99FD36CA-0861-483C-979E-0C568C89F395}" name="+/- abs." dataDxfId="34"/>
    <tableColumn id="6" xr3:uid="{6843929D-3A62-4A7B-807D-38411E4029B8}" name="Zeit"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48CBE32-02CE-4B14-88AF-525DF5C6A86B}" name="Euribor3M" displayName="Euribor3M" ref="A1:B11" tableType="queryTable" totalsRowShown="0">
  <autoFilter ref="A1:B11" xr:uid="{1B45263B-9136-466D-B606-B5673B558942}"/>
  <tableColumns count="2">
    <tableColumn id="3" xr3:uid="{4480C294-A250-4644-A250-4CCB84A484FA}" uniqueName="3" name="Column1" queryTableFieldId="1" dataDxfId="32"/>
    <tableColumn id="2" xr3:uid="{195A9FF9-9CB9-4944-A007-0BC6AF504FA5}" uniqueName="2" name="Column2" queryTableFieldId="2" dataDxf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7F08406-0517-4B26-A8DD-B8C911029751}" name="Euro_Stoxx_50_tägliche_Kurse" displayName="Euro_Stoxx_50_tägliche_Kurse" ref="A1:F11" totalsRowShown="0">
  <autoFilter ref="A1:F11" xr:uid="{294964D2-0A27-469E-9F5A-543FA616C677}"/>
  <tableColumns count="6">
    <tableColumn id="7" xr3:uid="{1AFCE216-63C1-46C5-AD1E-06E579E4A2FA}" name="Datum" dataDxfId="30"/>
    <tableColumn id="2" xr3:uid="{CD079CA8-D659-4924-A4DF-299B316EAF30}" name="Erster _x000a_                    Schluss" dataDxfId="29"/>
    <tableColumn id="3" xr3:uid="{DE9E822F-084C-4C4C-9D0A-D3C34BD980A3}" name="Hoch _x000a_                    Tief" dataDxfId="28"/>
    <tableColumn id="4" xr3:uid="{F71D31BD-0208-4F54-A5E2-47D12B1916A4}" name="Tief" dataDxfId="27"/>
    <tableColumn id="5" xr3:uid="{5EC24D7A-587A-4906-B26D-0F982C0F5781}" name="Schluss" dataDxfId="26"/>
    <tableColumn id="6" xr3:uid="{CE18D162-1687-4004-9DA6-54FDAB5147AB}" name="%" dataDxfId="2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6941D5-89E4-488E-BA32-F8D05C6A01D0}" name="Historische_Kurse" displayName="Historische_Kurse" ref="A1:G21" totalsRowShown="0">
  <autoFilter ref="A1:G21" xr:uid="{19434EE6-9D13-4884-BBEB-2D00C6ED976D}"/>
  <tableColumns count="7">
    <tableColumn id="9" xr3:uid="{B771E8DA-E8A4-48A3-8C55-A286AD9D4569}" name="Column1" dataDxfId="24"/>
    <tableColumn id="2" xr3:uid="{4407E966-BCE3-43E4-91FA-2840D9A306BF}" name="Datum" dataDxfId="23"/>
    <tableColumn id="3" xr3:uid="{0E902EF8-3548-400D-930B-1C46E9244785}" name="Eröffnung" dataDxfId="22"/>
    <tableColumn id="4" xr3:uid="{21E541E3-E868-409F-8F0C-C204C1463CE9}" name="Hoch" dataDxfId="21"/>
    <tableColumn id="5" xr3:uid="{F08A1315-8DCE-4A73-8F7C-1B3CFD61C706}" name="Tief" dataDxfId="20"/>
    <tableColumn id="6" xr3:uid="{A4A2DCDD-747B-4944-98DD-B7547F5CF950}" name="Schlusskurs" dataDxfId="19"/>
    <tableColumn id="7" xr3:uid="{AE0D68A8-27D0-4AE0-92CC-650ED08F3DF2}" name="Volumen" dataDxfId="1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4107E6D-EDE1-48EE-A6C1-CD83F8898578}" name="VSTOXX" displayName="VSTOXX" ref="A1:C5" totalsRowShown="0">
  <autoFilter ref="A1:C5" xr:uid="{31207650-D9EC-4760-8F98-23DBD7310279}"/>
  <tableColumns count="3">
    <tableColumn id="4" xr3:uid="{B4098B7F-1F37-46B6-9766-63C78012ABDF}" name="Column1" dataDxfId="17"/>
    <tableColumn id="2" xr3:uid="{CC877C1C-85A7-43DF-A602-7C812A1297C4}" name="Column2" dataDxfId="16"/>
    <tableColumn id="3" xr3:uid="{FB84A096-A148-4823-AA99-61D96C8C9048}" name="Column3" dataDxf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5B9C457-9497-478F-90BD-05FD6C42A0F1}" name="Stuttgart" displayName="Stuttgart" ref="A1:D9" tableType="queryTable" totalsRowShown="0">
  <autoFilter ref="A1:D9" xr:uid="{35B9C457-9497-478F-90BD-05FD6C42A0F1}"/>
  <tableColumns count="4">
    <tableColumn id="5" xr3:uid="{FE655A4C-ABB3-4E64-AAE3-7785577AF8D6}" uniqueName="5" name="Indizes EU / USA / INT" queryTableFieldId="1" dataDxfId="14"/>
    <tableColumn id="2" xr3:uid="{5F796065-2DFE-4864-B4F4-DAA2E697ACA7}" uniqueName="2" name="Kurs" queryTableFieldId="2" dataDxfId="13"/>
    <tableColumn id="3" xr3:uid="{73973967-88D9-47AE-B504-BE826DC9036A}" uniqueName="3" name="%" queryTableFieldId="3" dataDxfId="12"/>
    <tableColumn id="4" xr3:uid="{2B81C345-4191-47AA-B012-6858EE615407}" uniqueName="4" name="Zeit" queryTableFieldId="4" dataDxfId="1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5FC45F5-5219-4A15-B3EF-70E023FFFB73}" name="VSTOXX_EUREX" displayName="VSTOXX_EUREX" ref="A1:E2" tableType="queryTable" totalsRowShown="0">
  <autoFilter ref="A1:E2" xr:uid="{35FC45F5-5219-4A15-B3EF-70E023FFFB73}"/>
  <tableColumns count="5">
    <tableColumn id="6" xr3:uid="{4A81FF87-088C-4911-BB2F-0427749805D2}" uniqueName="6" name="Product" queryTableFieldId="1" dataDxfId="10"/>
    <tableColumn id="2" xr3:uid="{9C3DF750-83B7-43F3-8247-C59CD80C02FF}" uniqueName="2" name="Diff. to prev. day last" queryTableFieldId="2" dataDxfId="9"/>
    <tableColumn id="3" xr3:uid="{228EAF8D-A111-48B7-A564-EF75E4721787}" uniqueName="3" name="Last price" queryTableFieldId="3" dataDxfId="8"/>
    <tableColumn id="4" xr3:uid="{AEDC5A81-74A7-4482-90AD-47A7B4E87D0D}" uniqueName="4" name="Contracts" queryTableFieldId="4" dataDxfId="7"/>
    <tableColumn id="5" xr3:uid="{E6C60813-5E6B-4275-8D15-46017A498FCD}" uniqueName="5" name="Time" queryTableFieldId="5" dataDxf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DACB8BC-9228-4BAC-9B20-A912E73C3F19}" name="Historische_Kurse_VSTOXX" displayName="Historische_Kurse_VSTOXX" ref="A1:C24" tableType="queryTable" totalsRowShown="0">
  <autoFilter ref="A1:C24" xr:uid="{FDACB8BC-9228-4BAC-9B20-A912E73C3F19}"/>
  <tableColumns count="3">
    <tableColumn id="4" xr3:uid="{E0BD8840-8CB5-45F3-9FC6-C9D750591C43}" uniqueName="4" name="Datum" queryTableFieldId="1" dataDxfId="5"/>
    <tableColumn id="2" xr3:uid="{6B2DBCE0-5075-410F-8E89-DCA39DCCA4A6}" uniqueName="2" name="Eröffnung" queryTableFieldId="2" dataDxfId="4"/>
    <tableColumn id="3" xr3:uid="{43507E11-60F9-4D4C-A47C-6FDA02951413}" uniqueName="3" name="Schluss" queryTableFieldId="3" dataDxf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E035955-7D2A-43C1-9AFE-E34DA0C34CFD}" name="VSTOXX_Finanzen" displayName="VSTOXX_Finanzen" ref="A1:C8" tableType="queryTable" totalsRowShown="0">
  <autoFilter ref="A1:C8" xr:uid="{FE035955-7D2A-43C1-9AFE-E34DA0C34CFD}"/>
  <tableColumns count="3">
    <tableColumn id="3" xr3:uid="{CD5B1022-6A98-4F90-B203-08790CA2DAE9}" uniqueName="3" name="Column1" queryTableFieldId="1" dataDxfId="2"/>
    <tableColumn id="2" xr3:uid="{FE768098-C1A6-490F-AE6E-AEDF6C9ACDAE}" uniqueName="2" name="Column2" queryTableFieldId="2" dataDxfId="1"/>
    <tableColumn id="4" xr3:uid="{5B4A9399-9E70-4187-A354-9CED572E9BC6}" uniqueName="4" name="Column3" queryTableFieldId="3" dataDxfId="0">
      <calculatedColumnFormula>1*(LEFT(VSTOXX_Finanzen[[#This Row],[Column2]],5))</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hyperlink" Target="https://www.eurexchange.com/exchange-de/marktdaten/statistik/online-marktstatistiken/4302!onlineStats?productGroupId=13370&amp;productId=69660&amp;viewType=3&amp;cp=Put&amp;month=6&amp;year=2019&amp;busDate=20190517"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boerse-frankfurt.de/index/VDAX-NEW-12M" TargetMode="External"/><Relationship Id="rId4"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F19"/>
  <sheetViews>
    <sheetView workbookViewId="0">
      <selection activeCell="C5" sqref="C5"/>
    </sheetView>
  </sheetViews>
  <sheetFormatPr defaultColWidth="11.42578125" defaultRowHeight="15" x14ac:dyDescent="0.25"/>
  <cols>
    <col min="1" max="2" width="11.42578125" style="74"/>
    <col min="3" max="3" width="11.42578125" style="75"/>
    <col min="4" max="4" width="11.42578125" style="74"/>
    <col min="5" max="5" width="104.42578125" style="74" customWidth="1"/>
    <col min="6" max="16384" width="11.42578125" style="74"/>
  </cols>
  <sheetData>
    <row r="2" spans="1:6" x14ac:dyDescent="0.25">
      <c r="B2" s="74" t="s">
        <v>44</v>
      </c>
      <c r="C2" s="75" t="s">
        <v>45</v>
      </c>
      <c r="D2" s="74" t="s">
        <v>46</v>
      </c>
      <c r="E2" s="74" t="s">
        <v>26</v>
      </c>
    </row>
    <row r="3" spans="1:6" customFormat="1" x14ac:dyDescent="0.25">
      <c r="A3" t="s">
        <v>53</v>
      </c>
      <c r="B3" s="41">
        <v>45151</v>
      </c>
      <c r="C3" s="92" t="s">
        <v>253</v>
      </c>
      <c r="D3" t="s">
        <v>47</v>
      </c>
      <c r="E3" t="s">
        <v>254</v>
      </c>
      <c r="F3" s="41"/>
    </row>
    <row r="4" spans="1:6" x14ac:dyDescent="0.25">
      <c r="B4" s="76">
        <v>44604</v>
      </c>
      <c r="C4" s="75" t="s">
        <v>200</v>
      </c>
      <c r="D4" s="74" t="s">
        <v>47</v>
      </c>
    </row>
    <row r="5" spans="1:6" x14ac:dyDescent="0.25">
      <c r="B5" s="76">
        <v>44342</v>
      </c>
      <c r="C5" s="75" t="s">
        <v>137</v>
      </c>
      <c r="D5" s="74" t="s">
        <v>47</v>
      </c>
      <c r="E5" s="77" t="s">
        <v>138</v>
      </c>
    </row>
    <row r="6" spans="1:6" ht="60" x14ac:dyDescent="0.25">
      <c r="B6" s="76">
        <v>44342</v>
      </c>
      <c r="C6" s="75" t="s">
        <v>122</v>
      </c>
      <c r="D6" s="74" t="s">
        <v>47</v>
      </c>
      <c r="E6" s="77" t="s">
        <v>139</v>
      </c>
    </row>
    <row r="7" spans="1:6" x14ac:dyDescent="0.25">
      <c r="B7" s="76">
        <v>44208</v>
      </c>
      <c r="C7" s="75" t="s">
        <v>114</v>
      </c>
      <c r="D7" s="74" t="s">
        <v>47</v>
      </c>
      <c r="E7" s="74" t="s">
        <v>115</v>
      </c>
    </row>
    <row r="8" spans="1:6" x14ac:dyDescent="0.25">
      <c r="B8" s="76">
        <v>43605</v>
      </c>
      <c r="C8" s="75" t="s">
        <v>111</v>
      </c>
      <c r="D8" s="74" t="s">
        <v>47</v>
      </c>
      <c r="E8" s="74" t="s">
        <v>112</v>
      </c>
    </row>
    <row r="9" spans="1:6" x14ac:dyDescent="0.25">
      <c r="B9" s="76">
        <v>43605</v>
      </c>
      <c r="C9" s="75" t="s">
        <v>102</v>
      </c>
      <c r="D9" s="74" t="s">
        <v>47</v>
      </c>
      <c r="E9" s="74" t="s">
        <v>110</v>
      </c>
    </row>
    <row r="10" spans="1:6" x14ac:dyDescent="0.25">
      <c r="B10" s="76">
        <v>43603</v>
      </c>
      <c r="C10" s="75" t="s">
        <v>102</v>
      </c>
      <c r="D10" s="74" t="s">
        <v>47</v>
      </c>
      <c r="E10" s="74" t="s">
        <v>107</v>
      </c>
    </row>
    <row r="11" spans="1:6" x14ac:dyDescent="0.25">
      <c r="B11" s="76">
        <v>43508</v>
      </c>
      <c r="C11" s="78" t="s">
        <v>83</v>
      </c>
      <c r="D11" s="74" t="s">
        <v>47</v>
      </c>
      <c r="E11" s="74" t="s">
        <v>84</v>
      </c>
    </row>
    <row r="12" spans="1:6" x14ac:dyDescent="0.25">
      <c r="B12" s="76">
        <v>43499</v>
      </c>
      <c r="C12" s="75" t="s">
        <v>80</v>
      </c>
      <c r="D12" s="74" t="s">
        <v>47</v>
      </c>
      <c r="E12" s="74" t="s">
        <v>82</v>
      </c>
    </row>
    <row r="13" spans="1:6" x14ac:dyDescent="0.25">
      <c r="B13" s="76">
        <v>43483</v>
      </c>
      <c r="C13" s="75" t="s">
        <v>77</v>
      </c>
      <c r="D13" s="74" t="s">
        <v>47</v>
      </c>
      <c r="E13" s="74" t="s">
        <v>76</v>
      </c>
    </row>
    <row r="14" spans="1:6" x14ac:dyDescent="0.25">
      <c r="B14" s="76">
        <v>43479</v>
      </c>
      <c r="C14" s="75" t="s">
        <v>72</v>
      </c>
      <c r="D14" s="74" t="s">
        <v>47</v>
      </c>
      <c r="E14" s="74" t="s">
        <v>78</v>
      </c>
    </row>
    <row r="15" spans="1:6" x14ac:dyDescent="0.25">
      <c r="B15" s="76">
        <v>43477</v>
      </c>
      <c r="C15" s="75" t="s">
        <v>70</v>
      </c>
      <c r="D15" s="74" t="s">
        <v>47</v>
      </c>
      <c r="E15" s="74" t="s">
        <v>79</v>
      </c>
    </row>
    <row r="16" spans="1:6" x14ac:dyDescent="0.25">
      <c r="B16" s="76">
        <v>43476</v>
      </c>
      <c r="C16" s="75" t="s">
        <v>56</v>
      </c>
      <c r="D16" s="74" t="s">
        <v>47</v>
      </c>
      <c r="E16" s="74" t="s">
        <v>57</v>
      </c>
    </row>
    <row r="17" spans="2:5" x14ac:dyDescent="0.25">
      <c r="B17" s="76">
        <v>43474</v>
      </c>
      <c r="C17" s="78" t="s">
        <v>51</v>
      </c>
      <c r="D17" s="74" t="s">
        <v>47</v>
      </c>
      <c r="E17" s="74" t="s">
        <v>52</v>
      </c>
    </row>
    <row r="18" spans="2:5" x14ac:dyDescent="0.25">
      <c r="B18" s="76">
        <v>43446</v>
      </c>
      <c r="C18" s="75" t="s">
        <v>50</v>
      </c>
      <c r="D18" s="74" t="s">
        <v>47</v>
      </c>
      <c r="E18" s="74" t="s">
        <v>49</v>
      </c>
    </row>
    <row r="19" spans="2:5" x14ac:dyDescent="0.25">
      <c r="B19" s="76">
        <v>43443</v>
      </c>
      <c r="C19" s="75" t="s">
        <v>43</v>
      </c>
      <c r="D19" s="74" t="s">
        <v>47</v>
      </c>
      <c r="E19" s="74" t="s">
        <v>48</v>
      </c>
    </row>
  </sheetData>
  <sortState xmlns:xlrd2="http://schemas.microsoft.com/office/spreadsheetml/2017/richdata2" ref="B5:E7">
    <sortCondition descending="1" ref="C5:C7"/>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dimension ref="A1:AE210"/>
  <sheetViews>
    <sheetView tabSelected="1" zoomScale="60" zoomScaleNormal="60" workbookViewId="0">
      <pane ySplit="9" topLeftCell="A10" activePane="bottomLeft" state="frozen"/>
      <selection pane="bottomLeft" activeCell="C3" sqref="C3"/>
    </sheetView>
  </sheetViews>
  <sheetFormatPr defaultColWidth="11.42578125" defaultRowHeight="15" x14ac:dyDescent="0.25"/>
  <cols>
    <col min="1" max="1" width="14.7109375" customWidth="1"/>
    <col min="2" max="2" width="12.7109375" customWidth="1"/>
    <col min="3" max="3" width="12.5703125" customWidth="1"/>
    <col min="7" max="7" width="11.7109375" customWidth="1"/>
    <col min="13" max="13" width="21.5703125" customWidth="1"/>
    <col min="14" max="14" width="12.7109375" customWidth="1"/>
    <col min="15" max="15" width="12" customWidth="1"/>
    <col min="18" max="18" width="14.28515625" customWidth="1"/>
    <col min="21" max="21" width="16.7109375" customWidth="1"/>
    <col min="23" max="23" width="15" customWidth="1"/>
    <col min="24" max="24" width="14.28515625" customWidth="1"/>
    <col min="25" max="25" width="13.85546875" customWidth="1"/>
    <col min="30" max="30" width="15.28515625" customWidth="1"/>
  </cols>
  <sheetData>
    <row r="1" spans="1:31" ht="60.75" customHeight="1" thickBot="1" x14ac:dyDescent="0.3">
      <c r="A1" s="101" t="s">
        <v>21</v>
      </c>
      <c r="B1" s="101"/>
      <c r="C1" s="101"/>
      <c r="D1" s="101"/>
      <c r="E1" s="101"/>
      <c r="F1" s="101"/>
      <c r="G1" s="102">
        <f>G5</f>
        <v>45175</v>
      </c>
      <c r="H1" s="103"/>
      <c r="R1" s="104" t="s">
        <v>285</v>
      </c>
      <c r="S1" s="104"/>
    </row>
    <row r="2" spans="1:31" s="9" customFormat="1" ht="16.5" thickBot="1" x14ac:dyDescent="0.3">
      <c r="B2" s="9" t="s">
        <v>15</v>
      </c>
      <c r="C2" s="10">
        <v>20230905</v>
      </c>
      <c r="D2" s="9" t="s">
        <v>16</v>
      </c>
      <c r="G2" s="15">
        <f>G3-G5</f>
        <v>9</v>
      </c>
      <c r="H2" s="9" t="s">
        <v>17</v>
      </c>
      <c r="M2" s="44"/>
      <c r="N2" s="50"/>
      <c r="W2" s="9" t="s">
        <v>45</v>
      </c>
      <c r="X2" s="43" t="str">
        <f>Version!C4</f>
        <v>8.15</v>
      </c>
      <c r="AD2" s="9" t="s">
        <v>123</v>
      </c>
      <c r="AE2" s="9">
        <f>MAX(STOXX_HedgeBedarf!C5:C205)</f>
        <v>1129.6037892887616</v>
      </c>
    </row>
    <row r="3" spans="1:31" s="9" customFormat="1" ht="16.5" thickBot="1" x14ac:dyDescent="0.3">
      <c r="B3" s="9" t="s">
        <v>4</v>
      </c>
      <c r="C3" s="11">
        <v>4300</v>
      </c>
      <c r="G3" s="16">
        <f>STOXX_Infos!S34</f>
        <v>45184</v>
      </c>
      <c r="H3" s="9" t="s">
        <v>22</v>
      </c>
      <c r="N3" s="12">
        <f>Euribor3M!B2</f>
        <v>3.798E-2</v>
      </c>
      <c r="O3" s="9" t="s">
        <v>18</v>
      </c>
      <c r="AD3" s="9" t="s">
        <v>124</v>
      </c>
      <c r="AE3" s="9">
        <f>MIN(STOXX_HedgeBedarf!C5:C205)</f>
        <v>-1007.6603774897029</v>
      </c>
    </row>
    <row r="4" spans="1:31" s="9" customFormat="1" ht="16.5" thickBot="1" x14ac:dyDescent="0.3">
      <c r="B4" s="9" t="s">
        <v>5</v>
      </c>
      <c r="C4" s="11">
        <v>700</v>
      </c>
      <c r="D4" s="9" t="s">
        <v>7</v>
      </c>
      <c r="G4" s="89">
        <f>WORKDAY(G5,1)</f>
        <v>45176</v>
      </c>
      <c r="H4" s="9" t="s">
        <v>178</v>
      </c>
      <c r="N4" s="73">
        <f>O8</f>
        <v>0.16350000000000001</v>
      </c>
      <c r="O4" s="51" t="s">
        <v>19</v>
      </c>
      <c r="P4" s="51" t="s">
        <v>63</v>
      </c>
      <c r="Q4" s="51"/>
      <c r="R4" s="19" t="str">
        <f>TEXT(G5,"TTTT")</f>
        <v>Mittwoch</v>
      </c>
      <c r="S4" s="9" t="s">
        <v>25</v>
      </c>
      <c r="W4" s="9" t="s">
        <v>100</v>
      </c>
      <c r="X4" s="42">
        <f>Y8*1</f>
        <v>4264.3100000000004</v>
      </c>
      <c r="Y4" s="9">
        <v>458.9242230514119</v>
      </c>
      <c r="Z4" s="9">
        <f>0.05*AE4+Y4</f>
        <v>565.78743139033509</v>
      </c>
      <c r="AD4" s="9" t="s">
        <v>5</v>
      </c>
      <c r="AE4" s="9">
        <f>ABS(AE2)+ABS(AE3)</f>
        <v>2137.2641667784646</v>
      </c>
    </row>
    <row r="5" spans="1:31" s="9" customFormat="1" ht="16.5" thickBot="1" x14ac:dyDescent="0.3">
      <c r="B5" s="9" t="s">
        <v>6</v>
      </c>
      <c r="C5" s="10">
        <v>25</v>
      </c>
      <c r="D5" s="9" t="s">
        <v>7</v>
      </c>
      <c r="G5" s="17">
        <v>45175</v>
      </c>
      <c r="H5" s="9" t="s">
        <v>23</v>
      </c>
      <c r="N5" s="19">
        <v>20230904</v>
      </c>
      <c r="O5" s="9" t="s">
        <v>24</v>
      </c>
      <c r="R5" s="15">
        <f>R6-G5</f>
        <v>44</v>
      </c>
      <c r="S5" s="9" t="s">
        <v>34</v>
      </c>
      <c r="X5" s="9">
        <f>ROUND((C3+(0.5*C4)-X4)/10,0)</f>
        <v>39</v>
      </c>
      <c r="Y5" s="9">
        <v>705.4280588172935</v>
      </c>
      <c r="Z5" s="9">
        <f>Y5*1.1</f>
        <v>775.97086469902297</v>
      </c>
    </row>
    <row r="6" spans="1:31" s="9" customFormat="1" ht="16.5" thickBot="1" x14ac:dyDescent="0.3">
      <c r="A6" s="9" t="s">
        <v>105</v>
      </c>
      <c r="B6" s="9" t="s">
        <v>106</v>
      </c>
      <c r="C6" s="10">
        <v>1</v>
      </c>
      <c r="G6" s="40"/>
      <c r="N6" s="9">
        <v>365</v>
      </c>
      <c r="O6" s="9" t="s">
        <v>39</v>
      </c>
      <c r="R6" s="16">
        <f>STOXX_Infos!S36</f>
        <v>45219</v>
      </c>
      <c r="S6" s="9" t="s">
        <v>35</v>
      </c>
      <c r="X6" s="9" t="s">
        <v>59</v>
      </c>
      <c r="Y6" s="9" t="s">
        <v>60</v>
      </c>
      <c r="Z6" s="9" t="s">
        <v>61</v>
      </c>
      <c r="AA6" s="9" t="s">
        <v>62</v>
      </c>
    </row>
    <row r="7" spans="1:31" s="9" customFormat="1" ht="26.25" customHeight="1" x14ac:dyDescent="0.25">
      <c r="B7" s="9" t="s">
        <v>2</v>
      </c>
      <c r="N7" s="50"/>
      <c r="X7" s="9" t="str">
        <f>SUBSTITUTE(X8,".",",")</f>
        <v>4268,28</v>
      </c>
      <c r="Y7" s="45"/>
    </row>
    <row r="8" spans="1:31" s="9" customFormat="1" ht="15.75" x14ac:dyDescent="0.25">
      <c r="C8" s="13"/>
      <c r="D8" s="13" t="str">
        <f>STOXX_Infos!B31</f>
        <v>2023-09</v>
      </c>
      <c r="E8" s="13" t="str">
        <f>STOXX_Infos!B32</f>
        <v>2023-10</v>
      </c>
      <c r="F8" s="13" t="str">
        <f>STOXX_Infos!O38&amp;"-"&amp;STOXX_Infos!P38</f>
        <v>2023-09</v>
      </c>
      <c r="G8" s="13" t="str">
        <f>STOXX_Infos!O40&amp;"-"&amp;STOXX_Infos!P40</f>
        <v>-</v>
      </c>
      <c r="H8" s="13" t="str">
        <f>STOXX_Infos!O42&amp;"-"&amp;STOXX_Infos!P42</f>
        <v>-</v>
      </c>
      <c r="I8" s="13" t="str">
        <f>STOXX_Infos!O44&amp;"-"&amp;STOXX_Infos!P44</f>
        <v>-</v>
      </c>
      <c r="N8" s="50" t="s">
        <v>213</v>
      </c>
      <c r="O8" s="91">
        <f>VSTOXX_Finanzen!C2/100</f>
        <v>0.16350000000000001</v>
      </c>
      <c r="V8" s="9" t="s">
        <v>199</v>
      </c>
      <c r="X8" s="9" t="str">
        <f>SUBSTITUTE(X9,",","")</f>
        <v>4268.28</v>
      </c>
      <c r="Y8" s="53">
        <f>STOXX_CITI!B2</f>
        <v>4264.3100000000004</v>
      </c>
    </row>
    <row r="9" spans="1:31" s="9" customFormat="1" ht="16.5" thickBot="1" x14ac:dyDescent="0.3">
      <c r="A9" s="9" t="s">
        <v>1</v>
      </c>
      <c r="C9" s="13" t="s">
        <v>20</v>
      </c>
      <c r="D9" s="13" t="s">
        <v>3</v>
      </c>
      <c r="E9" s="14" t="s">
        <v>8</v>
      </c>
      <c r="F9" s="14" t="s">
        <v>9</v>
      </c>
      <c r="G9" s="13" t="s">
        <v>10</v>
      </c>
      <c r="H9" s="13" t="s">
        <v>11</v>
      </c>
      <c r="I9" s="13" t="s">
        <v>37</v>
      </c>
      <c r="N9" s="66"/>
      <c r="U9" s="9" t="s">
        <v>36</v>
      </c>
      <c r="V9" s="9" t="s">
        <v>64</v>
      </c>
      <c r="W9" s="9" t="s">
        <v>99</v>
      </c>
      <c r="X9" s="9" t="str">
        <f>LEFT(Stoxx50!B6,8)</f>
        <v>4,268.28</v>
      </c>
      <c r="Y9" s="9">
        <f>Stoxx50!F6</f>
        <v>0</v>
      </c>
      <c r="Z9" s="68"/>
    </row>
    <row r="10" spans="1:31" x14ac:dyDescent="0.25">
      <c r="A10" s="1">
        <v>4650</v>
      </c>
      <c r="B10" s="1"/>
      <c r="C10" s="6">
        <v>-157879</v>
      </c>
      <c r="D10" s="1">
        <v>-133597</v>
      </c>
      <c r="E10" s="1">
        <v>-24282</v>
      </c>
      <c r="F10" s="1"/>
      <c r="G10" s="1"/>
      <c r="H10" s="1"/>
      <c r="I10" s="1"/>
      <c r="J10" s="1"/>
      <c r="K10" s="1"/>
      <c r="L10" s="1"/>
      <c r="M10" s="1"/>
      <c r="N10" s="1"/>
      <c r="O10" s="1"/>
      <c r="P10" s="1"/>
      <c r="Q10" s="1"/>
      <c r="R10" s="1"/>
      <c r="S10" s="1"/>
      <c r="U10">
        <f>STOXX_HedgeBedarf!C5+'STOXX_HedgeBedarf+01'!C5</f>
        <v>-1016.0396466606587</v>
      </c>
    </row>
    <row r="11" spans="1:31" x14ac:dyDescent="0.25">
      <c r="A11" s="1">
        <v>4625</v>
      </c>
      <c r="B11" s="1"/>
      <c r="C11" s="7">
        <v>-36881</v>
      </c>
      <c r="D11" s="1">
        <v>-34590</v>
      </c>
      <c r="E11" s="1">
        <v>-2291</v>
      </c>
      <c r="F11" s="1"/>
      <c r="G11" s="1"/>
      <c r="H11" s="1"/>
      <c r="I11" s="1"/>
      <c r="J11" s="1"/>
      <c r="K11" s="1"/>
      <c r="L11" s="1"/>
      <c r="M11" s="1"/>
      <c r="N11" s="1"/>
      <c r="O11" s="1"/>
      <c r="P11" s="1"/>
      <c r="Q11" s="1"/>
      <c r="R11" s="1"/>
      <c r="S11" s="1"/>
      <c r="U11">
        <f>STOXX_HedgeBedarf!C6+'STOXX_HedgeBedarf+01'!C6</f>
        <v>-1084.5438467907586</v>
      </c>
    </row>
    <row r="12" spans="1:31" x14ac:dyDescent="0.25">
      <c r="A12" s="1">
        <v>4600</v>
      </c>
      <c r="B12" s="1"/>
      <c r="C12" s="7">
        <v>-172671</v>
      </c>
      <c r="D12" s="1">
        <v>-118896</v>
      </c>
      <c r="E12" s="1">
        <v>-53775</v>
      </c>
      <c r="F12" s="1"/>
      <c r="G12" s="1"/>
      <c r="H12" s="1"/>
      <c r="I12" s="1"/>
      <c r="J12" s="1"/>
      <c r="K12" s="1"/>
      <c r="L12" s="1"/>
      <c r="M12" s="1"/>
      <c r="N12" s="1"/>
      <c r="O12" s="1"/>
      <c r="P12" s="1"/>
      <c r="Q12" s="1"/>
      <c r="R12" s="1"/>
      <c r="S12" s="1"/>
      <c r="U12">
        <f>STOXX_HedgeBedarf!C7+'STOXX_HedgeBedarf+01'!C7</f>
        <v>-1151.9605187966424</v>
      </c>
    </row>
    <row r="13" spans="1:31" x14ac:dyDescent="0.25">
      <c r="A13" s="1">
        <v>4575</v>
      </c>
      <c r="B13" s="1"/>
      <c r="C13" s="7">
        <v>-33459</v>
      </c>
      <c r="D13" s="1">
        <v>-20101</v>
      </c>
      <c r="E13" s="1">
        <v>-13358</v>
      </c>
      <c r="F13" s="1"/>
      <c r="G13" s="1"/>
      <c r="H13" s="1"/>
      <c r="I13" s="1"/>
      <c r="J13" s="1"/>
      <c r="K13" s="1"/>
      <c r="L13" s="1"/>
      <c r="M13" s="1"/>
      <c r="N13" s="1"/>
      <c r="O13" s="1"/>
      <c r="P13" s="1"/>
      <c r="Q13" s="1"/>
      <c r="R13" s="1"/>
      <c r="S13" s="1"/>
      <c r="U13">
        <f>STOXX_HedgeBedarf!C8+'STOXX_HedgeBedarf+01'!C8</f>
        <v>-1217.51993925242</v>
      </c>
    </row>
    <row r="14" spans="1:31" x14ac:dyDescent="0.25">
      <c r="A14" s="1">
        <v>4550</v>
      </c>
      <c r="B14" s="1"/>
      <c r="C14" s="7">
        <v>-150057</v>
      </c>
      <c r="D14" s="1">
        <v>-108335</v>
      </c>
      <c r="E14" s="1">
        <v>-41722</v>
      </c>
      <c r="F14" s="1"/>
      <c r="G14" s="1"/>
      <c r="H14" s="1"/>
      <c r="I14" s="1"/>
      <c r="J14" s="2"/>
      <c r="K14" s="1"/>
      <c r="L14" s="1"/>
      <c r="M14" s="1"/>
      <c r="N14" s="1"/>
      <c r="O14" s="1"/>
      <c r="P14" s="1"/>
      <c r="Q14" s="1"/>
      <c r="R14" s="1"/>
      <c r="S14" s="1"/>
      <c r="U14">
        <f>STOXX_HedgeBedarf!C9+'STOXX_HedgeBedarf+01'!C9</f>
        <v>-1280.4290824895181</v>
      </c>
    </row>
    <row r="15" spans="1:31" x14ac:dyDescent="0.25">
      <c r="A15" s="1">
        <v>4525</v>
      </c>
      <c r="B15" s="1"/>
      <c r="C15" s="7">
        <v>-59823</v>
      </c>
      <c r="D15" s="1">
        <v>-29071</v>
      </c>
      <c r="E15" s="1">
        <v>-30752</v>
      </c>
      <c r="F15" s="1"/>
      <c r="G15" s="1"/>
      <c r="H15" s="1"/>
      <c r="I15" s="1"/>
      <c r="J15" s="2"/>
      <c r="K15" s="1"/>
      <c r="L15" s="1"/>
      <c r="M15" s="1"/>
      <c r="N15" s="1"/>
      <c r="O15" s="1"/>
      <c r="P15" s="1"/>
      <c r="Q15" s="1"/>
      <c r="R15" s="1"/>
      <c r="S15" s="1"/>
      <c r="U15">
        <f>STOXX_HedgeBedarf!C10+'STOXX_HedgeBedarf+01'!C10</f>
        <v>-1339.8838801956817</v>
      </c>
    </row>
    <row r="16" spans="1:31" x14ac:dyDescent="0.25">
      <c r="A16" s="1">
        <v>4500</v>
      </c>
      <c r="B16" s="1"/>
      <c r="C16" s="7">
        <v>-208615</v>
      </c>
      <c r="D16" s="1">
        <v>-136189</v>
      </c>
      <c r="E16" s="1">
        <v>-72426</v>
      </c>
      <c r="F16" s="1"/>
      <c r="G16" s="1"/>
      <c r="H16" s="1"/>
      <c r="I16" s="1"/>
      <c r="J16" s="2"/>
      <c r="K16" s="1"/>
      <c r="L16" s="1"/>
      <c r="M16" s="1"/>
      <c r="N16" s="1"/>
      <c r="O16" s="1"/>
      <c r="P16" s="1"/>
      <c r="Q16" s="1"/>
      <c r="R16" s="1"/>
      <c r="S16" s="1"/>
      <c r="U16">
        <f>STOXX_HedgeBedarf!C11+'STOXX_HedgeBedarf+01'!C11</f>
        <v>-1395.081724004744</v>
      </c>
    </row>
    <row r="17" spans="1:21" x14ac:dyDescent="0.25">
      <c r="A17" s="1">
        <v>4475</v>
      </c>
      <c r="B17" s="1"/>
      <c r="C17" s="7">
        <v>-42071</v>
      </c>
      <c r="D17" s="1">
        <v>-30958</v>
      </c>
      <c r="E17" s="1">
        <v>-11113</v>
      </c>
      <c r="F17" s="1"/>
      <c r="G17" s="1"/>
      <c r="H17" s="1"/>
      <c r="I17" s="1"/>
      <c r="J17" s="2"/>
      <c r="K17" s="1"/>
      <c r="L17" s="1"/>
      <c r="M17" s="1"/>
      <c r="N17" s="1"/>
      <c r="O17" s="1"/>
      <c r="P17" s="1"/>
      <c r="Q17" s="1"/>
      <c r="R17" s="1"/>
      <c r="S17" s="1"/>
      <c r="U17">
        <f>STOXX_HedgeBedarf!C12+'STOXX_HedgeBedarf+01'!C12</f>
        <v>-1445.2339047628466</v>
      </c>
    </row>
    <row r="18" spans="1:21" x14ac:dyDescent="0.25">
      <c r="A18" s="1">
        <v>4450</v>
      </c>
      <c r="B18" s="1"/>
      <c r="C18" s="7">
        <v>-130841</v>
      </c>
      <c r="D18" s="1">
        <v>-50571</v>
      </c>
      <c r="E18" s="1">
        <v>-80270</v>
      </c>
      <c r="F18" s="1"/>
      <c r="G18" s="1"/>
      <c r="H18" s="1"/>
      <c r="I18" s="1"/>
      <c r="J18" s="2"/>
      <c r="K18" s="1"/>
      <c r="L18" s="1"/>
      <c r="M18" s="1"/>
      <c r="N18" s="1"/>
      <c r="O18" s="1"/>
      <c r="P18" s="1"/>
      <c r="Q18" s="1"/>
      <c r="R18" s="1"/>
      <c r="S18" s="1"/>
      <c r="U18">
        <f>STOXX_HedgeBedarf!C13+'STOXX_HedgeBedarf+01'!C13</f>
        <v>-1489.5777481297318</v>
      </c>
    </row>
    <row r="19" spans="1:21" x14ac:dyDescent="0.25">
      <c r="A19" s="1">
        <v>4425</v>
      </c>
      <c r="B19" s="1"/>
      <c r="C19" s="7">
        <v>-17000</v>
      </c>
      <c r="D19" s="1">
        <v>-8719</v>
      </c>
      <c r="E19" s="1">
        <v>-8281</v>
      </c>
      <c r="F19" s="1"/>
      <c r="G19" s="1"/>
      <c r="H19" s="1"/>
      <c r="I19" s="1"/>
      <c r="J19" s="2"/>
      <c r="K19" s="1"/>
      <c r="L19" s="1"/>
      <c r="M19" s="1"/>
      <c r="N19" s="1"/>
      <c r="O19" s="1"/>
      <c r="P19" s="1"/>
      <c r="Q19" s="1"/>
      <c r="R19" s="1"/>
      <c r="S19" s="1"/>
      <c r="U19">
        <f>STOXX_HedgeBedarf!C14+'STOXX_HedgeBedarf+01'!C14</f>
        <v>-1527.3882830539196</v>
      </c>
    </row>
    <row r="20" spans="1:21" x14ac:dyDescent="0.25">
      <c r="A20" s="1">
        <v>4400</v>
      </c>
      <c r="B20" s="1"/>
      <c r="C20" s="7">
        <v>-78199</v>
      </c>
      <c r="D20" s="1">
        <v>-40898</v>
      </c>
      <c r="E20" s="1">
        <v>-37301</v>
      </c>
      <c r="F20" s="1"/>
      <c r="G20" s="1"/>
      <c r="H20" s="1"/>
      <c r="I20" s="1"/>
      <c r="J20" s="2"/>
      <c r="K20" s="1"/>
      <c r="L20" s="1"/>
      <c r="M20" s="1"/>
      <c r="N20" s="1"/>
      <c r="O20" s="1"/>
      <c r="P20" s="1"/>
      <c r="Q20" s="1"/>
      <c r="R20" s="1"/>
      <c r="S20" s="1"/>
      <c r="U20">
        <f>STOXX_HedgeBedarf!C15+'STOXX_HedgeBedarf+01'!C15</f>
        <v>-1557.9893546062688</v>
      </c>
    </row>
    <row r="21" spans="1:21" x14ac:dyDescent="0.25">
      <c r="A21" s="1">
        <v>4375</v>
      </c>
      <c r="B21" s="1"/>
      <c r="C21" s="7">
        <v>10686</v>
      </c>
      <c r="D21" s="1">
        <v>-2112</v>
      </c>
      <c r="E21" s="1">
        <v>12798</v>
      </c>
      <c r="F21" s="1"/>
      <c r="G21" s="1"/>
      <c r="H21" s="1"/>
      <c r="I21" s="1"/>
      <c r="J21" s="2"/>
      <c r="K21" s="1"/>
      <c r="L21" s="1"/>
      <c r="M21" s="1"/>
      <c r="N21" s="1"/>
      <c r="O21" s="1"/>
      <c r="P21" s="1"/>
      <c r="Q21" s="1"/>
      <c r="R21" s="1"/>
      <c r="S21" s="1"/>
      <c r="U21">
        <f>STOXX_HedgeBedarf!C16+'STOXX_HedgeBedarf+01'!C16</f>
        <v>-1580.7641524453243</v>
      </c>
    </row>
    <row r="22" spans="1:21" x14ac:dyDescent="0.25">
      <c r="A22" s="1">
        <v>4350</v>
      </c>
      <c r="B22" s="1"/>
      <c r="C22" s="7">
        <v>2329</v>
      </c>
      <c r="D22" s="1">
        <v>7702</v>
      </c>
      <c r="E22" s="1">
        <v>-5373</v>
      </c>
      <c r="F22" s="1"/>
      <c r="G22" s="1"/>
      <c r="H22" s="1"/>
      <c r="I22" s="1"/>
      <c r="J22" s="2"/>
      <c r="K22" s="1"/>
      <c r="L22" s="1"/>
      <c r="M22" s="1"/>
      <c r="N22" s="1"/>
      <c r="O22" s="1"/>
      <c r="P22" s="1"/>
      <c r="Q22" s="1"/>
      <c r="R22" s="1"/>
      <c r="S22" s="1"/>
      <c r="U22">
        <f>STOXX_HedgeBedarf!C17+'STOXX_HedgeBedarf+01'!C17</f>
        <v>-1595.1651592899177</v>
      </c>
    </row>
    <row r="23" spans="1:21" x14ac:dyDescent="0.25">
      <c r="A23" s="1">
        <v>4325</v>
      </c>
      <c r="B23" s="1"/>
      <c r="C23" s="7">
        <v>-4128</v>
      </c>
      <c r="D23" s="1">
        <v>-6395</v>
      </c>
      <c r="E23" s="1">
        <v>2267</v>
      </c>
      <c r="F23" s="1"/>
      <c r="G23" s="1"/>
      <c r="H23" s="1"/>
      <c r="I23" s="1"/>
      <c r="J23" s="2"/>
      <c r="K23" s="1"/>
      <c r="L23" s="1"/>
      <c r="M23" s="1"/>
      <c r="N23" s="1"/>
      <c r="O23" s="1"/>
      <c r="P23" s="1"/>
      <c r="Q23" s="1"/>
      <c r="R23" s="1"/>
      <c r="S23" s="1"/>
      <c r="U23">
        <f>STOXX_HedgeBedarf!C18+'STOXX_HedgeBedarf+01'!C18</f>
        <v>-1600.7235223907098</v>
      </c>
    </row>
    <row r="24" spans="1:21" x14ac:dyDescent="0.25">
      <c r="A24" s="1">
        <v>4300</v>
      </c>
      <c r="B24" s="1"/>
      <c r="C24" s="7">
        <v>-4347</v>
      </c>
      <c r="D24" s="1">
        <v>-10313</v>
      </c>
      <c r="E24" s="1">
        <v>5966</v>
      </c>
      <c r="F24" s="1"/>
      <c r="G24" s="1"/>
      <c r="H24" s="1"/>
      <c r="I24" s="1"/>
      <c r="J24" s="2"/>
      <c r="K24" s="1"/>
      <c r="L24" s="1"/>
      <c r="M24" s="1"/>
      <c r="N24" s="1"/>
      <c r="O24" s="1"/>
      <c r="P24" s="1"/>
      <c r="Q24" s="1"/>
      <c r="R24" s="1"/>
      <c r="S24" s="1"/>
      <c r="U24">
        <f>STOXX_HedgeBedarf!C19+'STOXX_HedgeBedarf+01'!C19</f>
        <v>-1597.0578127188835</v>
      </c>
    </row>
    <row r="25" spans="1:21" x14ac:dyDescent="0.25">
      <c r="A25" s="1">
        <v>4275</v>
      </c>
      <c r="B25" s="1"/>
      <c r="C25" s="7">
        <v>9556</v>
      </c>
      <c r="D25" s="1">
        <v>3874</v>
      </c>
      <c r="E25" s="1">
        <v>5682</v>
      </c>
      <c r="F25" s="1"/>
      <c r="G25" s="1"/>
      <c r="H25" s="1"/>
      <c r="I25" s="1"/>
      <c r="J25" s="2"/>
      <c r="K25" s="1"/>
      <c r="L25" s="1"/>
      <c r="M25" s="1"/>
      <c r="N25" s="1"/>
      <c r="O25" s="1"/>
      <c r="P25" s="1"/>
      <c r="Q25" s="1"/>
      <c r="R25" s="1"/>
      <c r="S25" s="1"/>
      <c r="U25">
        <f>STOXX_HedgeBedarf!C20+'STOXX_HedgeBedarf+01'!C20</f>
        <v>-1583.8820654027093</v>
      </c>
    </row>
    <row r="26" spans="1:21" x14ac:dyDescent="0.25">
      <c r="A26" s="1">
        <v>4250</v>
      </c>
      <c r="B26" s="1"/>
      <c r="C26" s="7">
        <v>143318</v>
      </c>
      <c r="D26" s="1">
        <v>94052</v>
      </c>
      <c r="E26" s="1">
        <v>49266</v>
      </c>
      <c r="F26" s="1"/>
      <c r="G26" s="1"/>
      <c r="H26" s="1"/>
      <c r="I26" s="1"/>
      <c r="J26" s="2"/>
      <c r="K26" s="1"/>
      <c r="L26" s="1"/>
      <c r="M26" s="1"/>
      <c r="N26" s="1"/>
      <c r="O26" s="1"/>
      <c r="P26" s="1"/>
      <c r="Q26" s="1"/>
      <c r="R26" s="1"/>
      <c r="S26" s="1"/>
      <c r="U26">
        <f>STOXX_HedgeBedarf!C21+'STOXX_HedgeBedarf+01'!C21</f>
        <v>-1561.0129012632547</v>
      </c>
    </row>
    <row r="27" spans="1:21" x14ac:dyDescent="0.25">
      <c r="A27" s="1">
        <v>4225</v>
      </c>
      <c r="B27" s="1"/>
      <c r="C27" s="7">
        <v>22104</v>
      </c>
      <c r="D27" s="1">
        <v>15195</v>
      </c>
      <c r="E27" s="1">
        <v>6909</v>
      </c>
      <c r="F27" s="1"/>
      <c r="G27" s="1"/>
      <c r="H27" s="1"/>
      <c r="I27" s="1"/>
      <c r="J27" s="2"/>
      <c r="K27" s="1"/>
      <c r="L27" s="1"/>
      <c r="M27" s="1"/>
      <c r="N27" s="1"/>
      <c r="O27" s="1"/>
      <c r="P27" s="1"/>
      <c r="Q27" s="1"/>
      <c r="R27" s="1"/>
      <c r="S27" s="1"/>
      <c r="U27">
        <f>STOXX_HedgeBedarf!C22+'STOXX_HedgeBedarf+01'!C22</f>
        <v>-1528.3754290333432</v>
      </c>
    </row>
    <row r="28" spans="1:21" x14ac:dyDescent="0.25">
      <c r="A28" s="1">
        <v>4200</v>
      </c>
      <c r="B28" s="1"/>
      <c r="C28" s="7">
        <v>148925</v>
      </c>
      <c r="D28" s="1">
        <v>97195</v>
      </c>
      <c r="E28" s="1">
        <v>51730</v>
      </c>
      <c r="F28" s="1"/>
      <c r="G28" s="1"/>
      <c r="H28" s="1"/>
      <c r="I28" s="1"/>
      <c r="J28" s="2"/>
      <c r="K28" s="1"/>
      <c r="L28" s="1"/>
      <c r="M28" s="1"/>
      <c r="N28" s="1"/>
      <c r="O28" s="1"/>
      <c r="P28" s="1"/>
      <c r="Q28" s="1"/>
      <c r="R28" s="1"/>
      <c r="S28" s="1"/>
      <c r="U28">
        <f>STOXX_HedgeBedarf!C23+'STOXX_HedgeBedarf+01'!C23</f>
        <v>-1486.0075404202896</v>
      </c>
    </row>
    <row r="29" spans="1:21" x14ac:dyDescent="0.25">
      <c r="A29" s="1">
        <v>4175</v>
      </c>
      <c r="B29" s="1"/>
      <c r="C29" s="7">
        <v>37036</v>
      </c>
      <c r="D29" s="1">
        <v>18232</v>
      </c>
      <c r="E29" s="1">
        <v>18804</v>
      </c>
      <c r="F29" s="1"/>
      <c r="G29" s="1"/>
      <c r="H29" s="1"/>
      <c r="I29" s="1"/>
      <c r="J29" s="2"/>
      <c r="K29" s="1"/>
      <c r="L29" s="1"/>
      <c r="M29" s="1"/>
      <c r="N29" s="1"/>
      <c r="O29" s="1"/>
      <c r="P29" s="1"/>
      <c r="Q29" s="1"/>
      <c r="R29" s="1"/>
      <c r="S29" s="1"/>
      <c r="U29">
        <f>STOXX_HedgeBedarf!C24+'STOXX_HedgeBedarf+01'!C24</f>
        <v>-1434.0621558030507</v>
      </c>
    </row>
    <row r="30" spans="1:21" x14ac:dyDescent="0.25">
      <c r="A30" s="1">
        <v>4150</v>
      </c>
      <c r="B30" s="1"/>
      <c r="C30" s="7">
        <v>128650</v>
      </c>
      <c r="D30" s="1">
        <v>87168</v>
      </c>
      <c r="E30" s="1">
        <v>41482</v>
      </c>
      <c r="F30" s="1"/>
      <c r="G30" s="1"/>
      <c r="H30" s="1"/>
      <c r="I30" s="1"/>
      <c r="J30" s="2"/>
      <c r="K30" s="1"/>
      <c r="L30" s="1"/>
      <c r="M30" s="1"/>
      <c r="N30" s="1"/>
      <c r="O30" s="1"/>
      <c r="P30" s="1"/>
      <c r="Q30" s="1"/>
      <c r="R30" s="1"/>
      <c r="S30" s="1"/>
      <c r="U30">
        <f>STOXX_HedgeBedarf!C25+'STOXX_HedgeBedarf+01'!C25</f>
        <v>-1372.8069748386129</v>
      </c>
    </row>
    <row r="31" spans="1:21" x14ac:dyDescent="0.25">
      <c r="A31" s="1">
        <v>4125</v>
      </c>
      <c r="B31" s="1"/>
      <c r="C31" s="7">
        <v>50220</v>
      </c>
      <c r="D31" s="1">
        <v>35703</v>
      </c>
      <c r="E31" s="1">
        <v>14517</v>
      </c>
      <c r="F31" s="1"/>
      <c r="G31" s="1"/>
      <c r="H31" s="1"/>
      <c r="I31" s="1"/>
      <c r="J31" s="2"/>
      <c r="K31" s="1"/>
      <c r="L31" s="1"/>
      <c r="M31" s="1"/>
      <c r="N31" s="1"/>
      <c r="O31" s="1"/>
      <c r="P31" s="1"/>
      <c r="Q31" s="1"/>
      <c r="R31" s="1"/>
      <c r="S31" s="1"/>
      <c r="U31">
        <f>STOXX_HedgeBedarf!C26+'STOXX_HedgeBedarf+01'!C26</f>
        <v>-1302.6213458050147</v>
      </c>
    </row>
    <row r="32" spans="1:21" x14ac:dyDescent="0.25">
      <c r="A32" s="1">
        <v>4100</v>
      </c>
      <c r="B32" s="1"/>
      <c r="C32" s="7">
        <v>200747</v>
      </c>
      <c r="D32" s="1">
        <v>85335</v>
      </c>
      <c r="E32" s="1">
        <v>115412</v>
      </c>
      <c r="F32" s="1"/>
      <c r="G32" s="1"/>
      <c r="H32" s="1"/>
      <c r="I32" s="1"/>
      <c r="J32" s="2"/>
      <c r="K32" s="1"/>
      <c r="L32" s="1"/>
      <c r="M32" s="1"/>
      <c r="N32" s="1"/>
      <c r="O32" s="1"/>
      <c r="P32" s="1"/>
      <c r="Q32" s="1"/>
      <c r="R32" s="1"/>
      <c r="S32" s="1"/>
      <c r="U32">
        <f>STOXX_HedgeBedarf!C27+'STOXX_HedgeBedarf+01'!C27</f>
        <v>-1223.9899941049553</v>
      </c>
    </row>
    <row r="33" spans="1:21" x14ac:dyDescent="0.25">
      <c r="A33" s="1">
        <v>4075</v>
      </c>
      <c r="B33" s="1"/>
      <c r="C33" s="7">
        <v>80653</v>
      </c>
      <c r="D33" s="1">
        <v>76769</v>
      </c>
      <c r="E33" s="1">
        <v>3884</v>
      </c>
      <c r="F33" s="1"/>
      <c r="G33" s="1"/>
      <c r="H33" s="1"/>
      <c r="I33" s="1"/>
      <c r="J33" s="2"/>
      <c r="K33" s="1"/>
      <c r="L33" s="1"/>
      <c r="M33" s="1"/>
      <c r="N33" s="1"/>
      <c r="O33" s="1"/>
      <c r="P33" s="1"/>
      <c r="Q33" s="1"/>
      <c r="R33" s="1"/>
      <c r="S33" s="1"/>
      <c r="U33">
        <f>STOXX_HedgeBedarf!C28+'STOXX_HedgeBedarf+01'!C28</f>
        <v>-1137.4935380814982</v>
      </c>
    </row>
    <row r="34" spans="1:21" x14ac:dyDescent="0.25">
      <c r="A34" s="1">
        <v>4050</v>
      </c>
      <c r="B34" s="1"/>
      <c r="C34" s="7">
        <v>108444</v>
      </c>
      <c r="D34" s="1">
        <v>51997</v>
      </c>
      <c r="E34" s="1">
        <v>56447</v>
      </c>
      <c r="F34" s="1"/>
      <c r="G34" s="1"/>
      <c r="H34" s="1"/>
      <c r="I34" s="1"/>
      <c r="J34" s="2"/>
      <c r="K34" s="1"/>
      <c r="L34" s="1"/>
      <c r="M34" s="1"/>
      <c r="N34" s="1"/>
      <c r="O34" s="1"/>
      <c r="P34" s="1"/>
      <c r="Q34" s="1"/>
      <c r="R34" s="1"/>
      <c r="S34" s="1"/>
      <c r="U34">
        <f>STOXX_HedgeBedarf!C29+'STOXX_HedgeBedarf+01'!C29</f>
        <v>-1043.7959530892722</v>
      </c>
    </row>
    <row r="35" spans="1:21" x14ac:dyDescent="0.25">
      <c r="A35" s="1">
        <v>4025</v>
      </c>
      <c r="B35" s="1"/>
      <c r="C35" s="7">
        <v>27187</v>
      </c>
      <c r="D35" s="1">
        <v>20314</v>
      </c>
      <c r="E35" s="1">
        <v>6873</v>
      </c>
      <c r="F35" s="1"/>
      <c r="G35" s="1"/>
      <c r="H35" s="1"/>
      <c r="I35" s="1"/>
      <c r="J35" s="2"/>
      <c r="K35" s="1"/>
      <c r="L35" s="1"/>
      <c r="M35" s="1"/>
      <c r="N35" s="1"/>
      <c r="O35" s="1"/>
      <c r="P35" s="1"/>
      <c r="Q35" s="1"/>
      <c r="R35" s="1"/>
      <c r="S35" s="1"/>
      <c r="U35">
        <f>STOXX_HedgeBedarf!C30+'STOXX_HedgeBedarf+01'!C30</f>
        <v>-943.62939771948186</v>
      </c>
    </row>
    <row r="36" spans="1:21" x14ac:dyDescent="0.25">
      <c r="A36" s="1">
        <v>4000</v>
      </c>
      <c r="B36" s="1"/>
      <c r="C36" s="7">
        <v>267760</v>
      </c>
      <c r="D36" s="1">
        <v>174208</v>
      </c>
      <c r="E36" s="1">
        <v>93552</v>
      </c>
      <c r="F36" s="1"/>
      <c r="G36" s="1"/>
      <c r="H36" s="1"/>
      <c r="I36" s="1"/>
      <c r="J36" s="2"/>
      <c r="K36" s="1"/>
      <c r="L36" s="1"/>
      <c r="M36" s="1"/>
      <c r="N36" s="1"/>
      <c r="O36" s="1"/>
      <c r="P36" s="1"/>
      <c r="Q36" s="1"/>
      <c r="R36" s="1"/>
      <c r="S36" s="1"/>
      <c r="U36">
        <f>STOXX_HedgeBedarf!C31+'STOXX_HedgeBedarf+01'!C31</f>
        <v>-837.77705833468656</v>
      </c>
    </row>
    <row r="37" spans="1:21" x14ac:dyDescent="0.25">
      <c r="A37" s="1">
        <v>3975</v>
      </c>
      <c r="B37" s="1"/>
      <c r="C37" s="7">
        <v>27256</v>
      </c>
      <c r="D37" s="1">
        <v>13737</v>
      </c>
      <c r="E37" s="1">
        <v>13519</v>
      </c>
      <c r="F37" s="1"/>
      <c r="G37" s="1"/>
      <c r="H37" s="1"/>
      <c r="I37" s="1"/>
      <c r="J37" s="2"/>
      <c r="K37" s="1"/>
      <c r="L37" s="1"/>
      <c r="M37" s="1"/>
      <c r="N37" s="1"/>
      <c r="O37" s="1"/>
      <c r="P37" s="1"/>
      <c r="Q37" s="1"/>
      <c r="R37" s="1"/>
      <c r="S37" s="1"/>
      <c r="U37">
        <f>STOXX_HedgeBedarf!C32+'STOXX_HedgeBedarf+01'!C32</f>
        <v>-727.05486695262823</v>
      </c>
    </row>
    <row r="38" spans="1:21" x14ac:dyDescent="0.25">
      <c r="A38" s="1">
        <v>3950</v>
      </c>
      <c r="B38" s="1"/>
      <c r="C38" s="7">
        <v>102296</v>
      </c>
      <c r="D38" s="1">
        <v>66295</v>
      </c>
      <c r="E38" s="1">
        <v>36001</v>
      </c>
      <c r="F38" s="1"/>
      <c r="G38" s="1"/>
      <c r="H38" s="1"/>
      <c r="I38" s="1"/>
      <c r="J38" s="2"/>
      <c r="K38" s="1"/>
      <c r="L38" s="1"/>
      <c r="M38" s="1"/>
      <c r="N38" s="1"/>
      <c r="O38" s="1"/>
      <c r="P38" s="1"/>
      <c r="Q38" s="1"/>
      <c r="R38" s="1"/>
      <c r="S38" s="1"/>
      <c r="U38">
        <f>STOXX_HedgeBedarf!C33+'STOXX_HedgeBedarf+01'!C33</f>
        <v>-612.29307340661262</v>
      </c>
    </row>
    <row r="39" spans="1:21" x14ac:dyDescent="0.25">
      <c r="A39" s="1"/>
      <c r="B39" s="1"/>
      <c r="C39" s="7"/>
      <c r="D39" s="1"/>
      <c r="E39" s="1"/>
      <c r="F39" s="1"/>
      <c r="G39" s="1"/>
      <c r="H39" s="1"/>
      <c r="I39" s="1"/>
      <c r="J39" s="2"/>
      <c r="K39" s="1"/>
      <c r="L39" s="1"/>
      <c r="M39" s="1"/>
      <c r="N39" s="1"/>
      <c r="O39" s="1"/>
      <c r="P39" s="1"/>
      <c r="Q39" s="1"/>
      <c r="R39" s="1"/>
      <c r="S39" s="1"/>
      <c r="U39">
        <f>STOXX_HedgeBedarf!C34+'STOXX_HedgeBedarf+01'!C34</f>
        <v>-494.3186839210365</v>
      </c>
    </row>
    <row r="40" spans="1:21" x14ac:dyDescent="0.25">
      <c r="A40" s="1"/>
      <c r="B40" s="1"/>
      <c r="C40" s="7"/>
      <c r="D40" s="1"/>
      <c r="E40" s="1"/>
      <c r="F40" s="1"/>
      <c r="G40" s="1"/>
      <c r="H40" s="1"/>
      <c r="I40" s="1"/>
      <c r="J40" s="2"/>
      <c r="K40" s="1"/>
      <c r="L40" s="1"/>
      <c r="M40" s="1"/>
      <c r="N40" s="1"/>
      <c r="O40" s="1"/>
      <c r="P40" s="1"/>
      <c r="Q40" s="1"/>
      <c r="R40" s="1"/>
      <c r="S40" s="1"/>
      <c r="U40">
        <f>STOXX_HedgeBedarf!C35+'STOXX_HedgeBedarf+01'!C35</f>
        <v>-373.93970510388499</v>
      </c>
    </row>
    <row r="41" spans="1:21" x14ac:dyDescent="0.25">
      <c r="A41" s="1"/>
      <c r="B41" s="1"/>
      <c r="C41" s="7"/>
      <c r="D41" s="1"/>
      <c r="E41" s="1"/>
      <c r="F41" s="1"/>
      <c r="G41" s="1"/>
      <c r="H41" s="1"/>
      <c r="I41" s="1"/>
      <c r="J41" s="2"/>
      <c r="K41" s="1"/>
      <c r="L41" s="1"/>
      <c r="M41" s="1"/>
      <c r="N41" s="1"/>
      <c r="O41" s="1"/>
      <c r="P41" s="1"/>
      <c r="Q41" s="1"/>
      <c r="R41" s="1"/>
      <c r="S41" s="1"/>
      <c r="U41">
        <f>STOXX_HedgeBedarf!C36+'STOXX_HedgeBedarf+01'!C36</f>
        <v>-251.93195970335341</v>
      </c>
    </row>
    <row r="42" spans="1:21" x14ac:dyDescent="0.25">
      <c r="A42" s="1"/>
      <c r="B42" s="1"/>
      <c r="C42" s="7"/>
      <c r="D42" s="1"/>
      <c r="E42" s="1"/>
      <c r="F42" s="1"/>
      <c r="G42" s="1"/>
      <c r="H42" s="1"/>
      <c r="I42" s="1"/>
      <c r="J42" s="2"/>
      <c r="K42" s="1"/>
      <c r="L42" s="1"/>
      <c r="M42" s="1"/>
      <c r="N42" s="1"/>
      <c r="O42" s="1"/>
      <c r="P42" s="1"/>
      <c r="Q42" s="1"/>
      <c r="R42" s="1"/>
      <c r="S42" s="1"/>
      <c r="U42">
        <f>STOXX_HedgeBedarf!C37+'STOXX_HedgeBedarf+01'!C37</f>
        <v>-129.02898794513538</v>
      </c>
    </row>
    <row r="43" spans="1:21" x14ac:dyDescent="0.25">
      <c r="A43" s="1"/>
      <c r="B43" s="1"/>
      <c r="C43" s="7"/>
      <c r="D43" s="1"/>
      <c r="E43" s="1"/>
      <c r="F43" s="1"/>
      <c r="G43" s="1"/>
      <c r="H43" s="1"/>
      <c r="I43" s="1"/>
      <c r="J43" s="2"/>
      <c r="K43" s="1"/>
      <c r="L43" s="1"/>
      <c r="M43" s="1"/>
      <c r="N43" s="1"/>
      <c r="O43" s="1"/>
      <c r="P43" s="1"/>
      <c r="Q43" s="1"/>
      <c r="R43" s="1"/>
      <c r="S43" s="1"/>
      <c r="U43">
        <f>STOXX_HedgeBedarf!C38+'STOXX_HedgeBedarf+01'!C38</f>
        <v>-5.9152481715198917</v>
      </c>
    </row>
    <row r="44" spans="1:21" x14ac:dyDescent="0.25">
      <c r="A44" s="1"/>
      <c r="B44" s="1"/>
      <c r="C44" s="7"/>
      <c r="D44" s="1"/>
      <c r="E44" s="1"/>
      <c r="F44" s="1"/>
      <c r="G44" s="1"/>
      <c r="H44" s="1"/>
      <c r="I44" s="1"/>
      <c r="J44" s="2"/>
      <c r="K44" s="1"/>
      <c r="L44" s="1"/>
      <c r="M44" s="1"/>
      <c r="N44" s="1"/>
      <c r="O44" s="1"/>
      <c r="P44" s="1"/>
      <c r="Q44" s="1"/>
      <c r="R44" s="1"/>
      <c r="S44" s="1"/>
      <c r="U44">
        <f>STOXX_HedgeBedarf!C39+'STOXX_HedgeBedarf+01'!C39</f>
        <v>116.77747664207588</v>
      </c>
    </row>
    <row r="45" spans="1:21" x14ac:dyDescent="0.25">
      <c r="A45" s="1"/>
      <c r="B45" s="1"/>
      <c r="C45" s="7"/>
      <c r="D45" s="1"/>
      <c r="E45" s="1"/>
      <c r="F45" s="1"/>
      <c r="G45" s="1"/>
      <c r="H45" s="1"/>
      <c r="I45" s="1"/>
      <c r="J45" s="2"/>
      <c r="K45" s="1"/>
      <c r="L45" s="1"/>
      <c r="M45" s="1"/>
      <c r="N45" s="1"/>
      <c r="O45" s="1"/>
      <c r="P45" s="1"/>
      <c r="Q45" s="1"/>
      <c r="R45" s="1"/>
      <c r="S45" s="1"/>
      <c r="U45">
        <f>STOXX_HedgeBedarf!C40+'STOXX_HedgeBedarf+01'!C40</f>
        <v>238.47083160971704</v>
      </c>
    </row>
    <row r="46" spans="1:21" x14ac:dyDescent="0.25">
      <c r="A46" s="1"/>
      <c r="B46" s="1"/>
      <c r="C46" s="7"/>
      <c r="D46" s="1"/>
      <c r="E46" s="1"/>
      <c r="F46" s="1"/>
      <c r="G46" s="1"/>
      <c r="H46" s="1"/>
      <c r="I46" s="1"/>
      <c r="J46" s="2"/>
      <c r="K46" s="1"/>
      <c r="L46" s="1"/>
      <c r="M46" s="1"/>
      <c r="N46" s="1"/>
      <c r="O46" s="1"/>
      <c r="P46" s="1"/>
      <c r="Q46" s="1"/>
      <c r="R46" s="1"/>
      <c r="S46" s="1"/>
      <c r="U46">
        <f>STOXX_HedgeBedarf!C41+'STOXX_HedgeBedarf+01'!C41</f>
        <v>358.63836577208735</v>
      </c>
    </row>
    <row r="47" spans="1:21" x14ac:dyDescent="0.25">
      <c r="A47" s="1"/>
      <c r="B47" s="1"/>
      <c r="C47" s="7"/>
      <c r="D47" s="1"/>
      <c r="E47" s="1"/>
      <c r="F47" s="1"/>
      <c r="G47" s="1"/>
      <c r="H47" s="1"/>
      <c r="I47" s="1"/>
      <c r="J47" s="2"/>
      <c r="K47" s="1"/>
      <c r="L47" s="1"/>
      <c r="M47" s="1"/>
      <c r="N47" s="1"/>
      <c r="O47" s="1"/>
      <c r="P47" s="1"/>
      <c r="Q47" s="1"/>
      <c r="R47" s="1"/>
      <c r="S47" s="1"/>
      <c r="U47">
        <f>STOXX_HedgeBedarf!C42+'STOXX_HedgeBedarf+01'!C42</f>
        <v>476.8023948880562</v>
      </c>
    </row>
    <row r="48" spans="1:21" x14ac:dyDescent="0.25">
      <c r="A48" s="1"/>
      <c r="B48" s="1"/>
      <c r="C48" s="7"/>
      <c r="D48" s="1"/>
      <c r="E48" s="1"/>
      <c r="F48" s="1"/>
      <c r="G48" s="1"/>
      <c r="H48" s="1"/>
      <c r="I48" s="1"/>
      <c r="J48" s="2"/>
      <c r="K48" s="1"/>
      <c r="L48" s="1"/>
      <c r="M48" s="1"/>
      <c r="N48" s="1"/>
      <c r="O48" s="1"/>
      <c r="P48" s="1"/>
      <c r="Q48" s="1"/>
      <c r="R48" s="1"/>
      <c r="S48" s="1"/>
      <c r="U48">
        <f>STOXX_HedgeBedarf!C43+'STOXX_HedgeBedarf+01'!C43</f>
        <v>592.52990687922716</v>
      </c>
    </row>
    <row r="49" spans="1:21" x14ac:dyDescent="0.25">
      <c r="A49" s="1"/>
      <c r="B49" s="1"/>
      <c r="C49" s="7"/>
      <c r="D49" s="1"/>
      <c r="E49" s="1"/>
      <c r="F49" s="1"/>
      <c r="G49" s="1"/>
      <c r="H49" s="1"/>
      <c r="I49" s="1"/>
      <c r="J49" s="2"/>
      <c r="K49" s="1"/>
      <c r="L49" s="1"/>
      <c r="M49" s="1"/>
      <c r="N49" s="1"/>
      <c r="O49" s="1"/>
      <c r="P49" s="1"/>
      <c r="Q49" s="1"/>
      <c r="R49" s="1"/>
      <c r="S49" s="1"/>
      <c r="U49">
        <f>STOXX_HedgeBedarf!C44+'STOXX_HedgeBedarf+01'!C44</f>
        <v>705.4280588172935</v>
      </c>
    </row>
    <row r="50" spans="1:21" ht="15.75" thickBot="1" x14ac:dyDescent="0.3">
      <c r="A50" s="1"/>
      <c r="B50" s="1"/>
      <c r="C50" s="8"/>
      <c r="D50" s="1"/>
      <c r="E50" s="1"/>
      <c r="F50" s="1"/>
      <c r="G50" s="1"/>
      <c r="H50" s="1"/>
      <c r="I50" s="1"/>
      <c r="J50" s="2"/>
      <c r="K50" s="1"/>
      <c r="L50" s="1"/>
      <c r="M50" s="1"/>
      <c r="N50" s="1"/>
      <c r="O50" s="1"/>
      <c r="P50" s="1"/>
      <c r="Q50" s="1"/>
      <c r="R50" s="1"/>
      <c r="S50" s="1"/>
      <c r="U50">
        <f>STOXX_HedgeBedarf!C45+'STOXX_HedgeBedarf+01'!C45</f>
        <v>815.1396358904999</v>
      </c>
    </row>
    <row r="51" spans="1:21" x14ac:dyDescent="0.25">
      <c r="A51" s="1"/>
      <c r="B51" s="1"/>
      <c r="C51" s="1"/>
      <c r="D51" s="1"/>
      <c r="E51" s="1"/>
      <c r="F51" s="1"/>
      <c r="G51" s="1"/>
      <c r="H51" s="1"/>
      <c r="I51" s="1"/>
      <c r="J51" s="2"/>
      <c r="K51" s="1"/>
      <c r="L51" s="1"/>
      <c r="M51" s="1"/>
      <c r="N51" s="1"/>
      <c r="O51" s="1"/>
      <c r="P51" s="1"/>
      <c r="Q51" s="1"/>
      <c r="R51" s="1"/>
      <c r="S51" s="1"/>
      <c r="U51">
        <f>STOXX_HedgeBedarf!C46+'STOXX_HedgeBedarf+01'!C46</f>
        <v>921.33863272578253</v>
      </c>
    </row>
    <row r="52" spans="1:21" x14ac:dyDescent="0.25">
      <c r="A52" s="1"/>
      <c r="B52" s="1"/>
      <c r="C52" s="1"/>
      <c r="D52" s="1"/>
      <c r="E52" s="1"/>
      <c r="F52" s="1"/>
      <c r="G52" s="1"/>
      <c r="H52" s="1"/>
      <c r="I52" s="1"/>
      <c r="J52" s="2"/>
      <c r="K52" s="1"/>
      <c r="L52" s="1"/>
      <c r="M52" s="1"/>
      <c r="N52" s="1"/>
      <c r="O52" s="1"/>
      <c r="P52" s="1"/>
      <c r="Q52" s="1"/>
      <c r="R52" s="1"/>
      <c r="S52" s="1"/>
      <c r="U52">
        <f>STOXX_HedgeBedarf!C47+'STOXX_HedgeBedarf+01'!C47</f>
        <v>1023.7259214952389</v>
      </c>
    </row>
    <row r="53" spans="1:21" x14ac:dyDescent="0.25">
      <c r="A53" s="1"/>
      <c r="B53" s="1"/>
      <c r="C53" s="1"/>
      <c r="D53" s="1"/>
      <c r="E53" s="1"/>
      <c r="F53" s="1"/>
      <c r="G53" s="1"/>
      <c r="H53" s="1"/>
      <c r="I53" s="1"/>
      <c r="J53" s="2"/>
      <c r="K53" s="1"/>
      <c r="L53" s="1"/>
      <c r="M53" s="1"/>
      <c r="N53" s="1"/>
      <c r="O53" s="1"/>
      <c r="P53" s="1"/>
      <c r="Q53" s="1"/>
      <c r="R53" s="1"/>
      <c r="S53" s="1"/>
      <c r="U53">
        <f>STOXX_HedgeBedarf!C48+'STOXX_HedgeBedarf+01'!C48</f>
        <v>1122.0248319450618</v>
      </c>
    </row>
    <row r="54" spans="1:21" x14ac:dyDescent="0.25">
      <c r="A54" s="1"/>
      <c r="B54" s="1"/>
      <c r="C54" s="1"/>
      <c r="D54" s="1"/>
      <c r="E54" s="1"/>
      <c r="F54" s="1"/>
      <c r="G54" s="1"/>
      <c r="H54" s="1"/>
      <c r="I54" s="1"/>
      <c r="J54" s="2"/>
      <c r="K54" s="1"/>
      <c r="L54" s="1"/>
      <c r="M54" s="1"/>
      <c r="N54" s="1"/>
      <c r="O54" s="1"/>
      <c r="P54" s="1"/>
      <c r="Q54" s="1"/>
      <c r="R54" s="1"/>
      <c r="S54" s="1"/>
      <c r="U54">
        <f>STOXX_HedgeBedarf!C49+'STOXX_HedgeBedarf+01'!C49</f>
        <v>1215.9764165360787</v>
      </c>
    </row>
    <row r="55" spans="1:21" x14ac:dyDescent="0.25">
      <c r="A55" s="1"/>
      <c r="B55" s="1"/>
      <c r="C55" s="1"/>
      <c r="D55" s="1"/>
      <c r="E55" s="1"/>
      <c r="F55" s="1"/>
      <c r="G55" s="1"/>
      <c r="H55" s="1"/>
      <c r="I55" s="1"/>
      <c r="J55" s="2"/>
      <c r="K55" s="1"/>
      <c r="L55" s="1"/>
      <c r="M55" s="1"/>
      <c r="N55" s="1"/>
      <c r="O55" s="1"/>
      <c r="P55" s="1"/>
      <c r="Q55" s="1"/>
      <c r="R55" s="1"/>
      <c r="S55" s="1"/>
      <c r="U55">
        <f>STOXX_HedgeBedarf!C50+'STOXX_HedgeBedarf+01'!C50</f>
        <v>1305.3342213749447</v>
      </c>
    </row>
    <row r="56" spans="1:21" x14ac:dyDescent="0.25">
      <c r="A56" s="1"/>
      <c r="B56" s="1"/>
      <c r="C56" s="1"/>
      <c r="D56" s="1"/>
      <c r="E56" s="1"/>
      <c r="F56" s="1"/>
      <c r="G56" s="1"/>
      <c r="H56" s="1"/>
      <c r="I56" s="1"/>
      <c r="J56" s="2"/>
      <c r="K56" s="1"/>
      <c r="L56" s="1"/>
      <c r="M56" s="1"/>
      <c r="N56" s="1"/>
      <c r="O56" s="1"/>
      <c r="P56" s="1"/>
      <c r="Q56" s="1"/>
      <c r="R56" s="1"/>
      <c r="S56" s="1"/>
      <c r="U56">
        <f>STOXX_HedgeBedarf!C51+'STOXX_HedgeBedarf+01'!C51</f>
        <v>1389.8585208491922</v>
      </c>
    </row>
    <row r="57" spans="1:21" x14ac:dyDescent="0.25">
      <c r="A57" s="1"/>
      <c r="B57" s="1"/>
      <c r="C57" s="1"/>
      <c r="D57" s="1"/>
      <c r="E57" s="1"/>
      <c r="F57" s="1"/>
      <c r="G57" s="1"/>
      <c r="H57" s="1"/>
      <c r="I57" s="1"/>
      <c r="J57" s="2"/>
      <c r="K57" s="1"/>
      <c r="L57" s="1"/>
      <c r="M57" s="1"/>
      <c r="N57" s="1"/>
      <c r="O57" s="1"/>
      <c r="P57" s="1"/>
      <c r="Q57" s="1"/>
      <c r="R57" s="1"/>
      <c r="S57" s="1"/>
      <c r="U57">
        <f>STOXX_HedgeBedarf!C52+'STOXX_HedgeBedarf+01'!C52</f>
        <v>1469.3101706372165</v>
      </c>
    </row>
    <row r="58" spans="1:21" x14ac:dyDescent="0.25">
      <c r="A58" s="1"/>
      <c r="B58" s="1"/>
      <c r="C58" s="1"/>
      <c r="D58" s="1"/>
      <c r="E58" s="1"/>
      <c r="F58" s="1"/>
      <c r="G58" s="1"/>
      <c r="H58" s="1"/>
      <c r="I58" s="1"/>
      <c r="J58" s="2"/>
      <c r="K58" s="1"/>
      <c r="L58" s="1"/>
      <c r="M58" s="1"/>
      <c r="N58" s="1"/>
      <c r="O58" s="1"/>
      <c r="P58" s="1"/>
      <c r="Q58" s="1"/>
      <c r="R58" s="1"/>
      <c r="S58" s="1"/>
      <c r="U58">
        <f>STOXX_HedgeBedarf!C53+'STOXX_HedgeBedarf+01'!C53</f>
        <v>1543.4444451106979</v>
      </c>
    </row>
    <row r="59" spans="1:21" x14ac:dyDescent="0.25">
      <c r="A59" s="1"/>
      <c r="B59" s="1"/>
      <c r="C59" s="1"/>
      <c r="D59" s="1"/>
      <c r="E59" s="1"/>
      <c r="F59" s="1"/>
      <c r="G59" s="1"/>
      <c r="H59" s="1"/>
      <c r="I59" s="1"/>
      <c r="J59" s="2"/>
      <c r="K59" s="1"/>
      <c r="L59" s="1"/>
      <c r="M59" s="1"/>
      <c r="N59" s="1"/>
      <c r="O59" s="1"/>
      <c r="P59" s="1"/>
      <c r="Q59" s="1"/>
      <c r="R59" s="1"/>
      <c r="S59" s="1"/>
      <c r="U59">
        <f>STOXX_HedgeBedarf!C54+'STOXX_HedgeBedarf+01'!C54</f>
        <v>1612.0054008599307</v>
      </c>
    </row>
    <row r="60" spans="1:21" x14ac:dyDescent="0.25">
      <c r="A60" s="1"/>
      <c r="B60" s="1"/>
      <c r="C60" s="1"/>
      <c r="D60" s="1"/>
      <c r="E60" s="1"/>
      <c r="F60" s="1"/>
      <c r="G60" s="1"/>
      <c r="H60" s="1"/>
      <c r="I60" s="1"/>
      <c r="J60" s="1"/>
      <c r="K60" s="1"/>
      <c r="L60" s="1"/>
      <c r="M60" s="1"/>
      <c r="N60" s="1"/>
      <c r="O60" s="1"/>
      <c r="P60" s="1"/>
      <c r="Q60" s="1"/>
      <c r="R60" s="1"/>
      <c r="S60" s="1"/>
      <c r="U60">
        <f>STOXX_HedgeBedarf!C55+'STOXX_HedgeBedarf+01'!C55</f>
        <v>1674.7214038586212</v>
      </c>
    </row>
    <row r="61" spans="1:21" x14ac:dyDescent="0.25">
      <c r="A61" s="1"/>
      <c r="B61" s="1"/>
      <c r="C61" s="1"/>
      <c r="D61" s="1"/>
      <c r="E61" s="1"/>
      <c r="F61" s="1"/>
      <c r="G61" s="1"/>
      <c r="H61" s="1"/>
      <c r="I61" s="1"/>
      <c r="J61" s="3"/>
      <c r="K61" s="1"/>
      <c r="L61" s="1"/>
      <c r="M61" s="1"/>
      <c r="N61" s="1"/>
      <c r="O61" s="1"/>
      <c r="P61" s="1"/>
      <c r="Q61" s="1"/>
      <c r="R61" s="1"/>
      <c r="S61" s="1"/>
      <c r="U61">
        <f>STOXX_HedgeBedarf!C56+'STOXX_HedgeBedarf+01'!C56</f>
        <v>1731.3024458555715</v>
      </c>
    </row>
    <row r="62" spans="1:21" x14ac:dyDescent="0.25">
      <c r="A62" s="1"/>
      <c r="B62" s="1"/>
      <c r="C62" s="1"/>
      <c r="D62" s="1"/>
      <c r="E62" s="1"/>
      <c r="F62" s="1"/>
      <c r="G62" s="1"/>
      <c r="H62" s="1"/>
      <c r="I62" s="1"/>
      <c r="J62" s="2"/>
      <c r="K62" s="1"/>
      <c r="L62" s="1"/>
      <c r="M62" s="1"/>
      <c r="N62" s="1"/>
      <c r="O62" s="1"/>
      <c r="P62" s="1"/>
      <c r="Q62" s="1"/>
      <c r="R62" s="1"/>
      <c r="S62" s="1"/>
      <c r="U62">
        <f>STOXX_HedgeBedarf!C57+'STOXX_HedgeBedarf+01'!C57</f>
        <v>1781.4397520564419</v>
      </c>
    </row>
    <row r="63" spans="1:21" x14ac:dyDescent="0.25">
      <c r="A63" s="1"/>
      <c r="B63" s="1"/>
      <c r="C63" s="1"/>
      <c r="D63" s="1"/>
      <c r="E63" s="1"/>
      <c r="F63" s="1"/>
      <c r="G63" s="1"/>
      <c r="H63" s="1"/>
      <c r="I63" s="1"/>
      <c r="J63" s="3"/>
      <c r="K63" s="1"/>
      <c r="L63" s="1"/>
      <c r="M63" s="1"/>
      <c r="N63" s="1"/>
      <c r="O63" s="1"/>
      <c r="P63" s="1"/>
      <c r="Q63" s="1"/>
      <c r="R63" s="1"/>
      <c r="S63" s="1"/>
      <c r="U63">
        <f>STOXX_HedgeBedarf!C58+'STOXX_HedgeBedarf+01'!C58</f>
        <v>1824.8079692598835</v>
      </c>
    </row>
    <row r="64" spans="1:21" x14ac:dyDescent="0.25">
      <c r="A64" s="1"/>
      <c r="B64" s="1"/>
      <c r="C64" s="1"/>
      <c r="D64" s="1"/>
      <c r="E64" s="1"/>
      <c r="F64" s="1"/>
      <c r="G64" s="1"/>
      <c r="H64" s="1"/>
      <c r="I64" s="1"/>
      <c r="J64" s="3"/>
      <c r="K64" s="1"/>
      <c r="L64" s="1"/>
      <c r="M64" s="1"/>
      <c r="N64" s="1"/>
      <c r="O64" s="1"/>
      <c r="P64" s="1"/>
      <c r="Q64" s="1"/>
      <c r="R64" s="1"/>
      <c r="S64" s="1"/>
      <c r="U64">
        <f>STOXX_HedgeBedarf!C59+'STOXX_HedgeBedarf+01'!C59</f>
        <v>1861.0699656254276</v>
      </c>
    </row>
    <row r="65" spans="1:21" x14ac:dyDescent="0.25">
      <c r="A65" s="1"/>
      <c r="B65" s="1"/>
      <c r="C65" s="1"/>
      <c r="D65" s="1"/>
      <c r="E65" s="1"/>
      <c r="F65" s="1"/>
      <c r="G65" s="1"/>
      <c r="H65" s="1"/>
      <c r="I65" s="1"/>
      <c r="J65" s="3"/>
      <c r="K65" s="1"/>
      <c r="L65" s="1"/>
      <c r="M65" s="1"/>
      <c r="N65" s="1"/>
      <c r="O65" s="1"/>
      <c r="P65" s="1"/>
      <c r="Q65" s="1"/>
      <c r="R65" s="1"/>
      <c r="S65" s="1"/>
      <c r="U65">
        <f>STOXX_HedgeBedarf!C60+'STOXX_HedgeBedarf+01'!C60</f>
        <v>1889.8840266866068</v>
      </c>
    </row>
    <row r="66" spans="1:21" x14ac:dyDescent="0.25">
      <c r="A66" s="1"/>
      <c r="B66" s="1"/>
      <c r="C66" s="1"/>
      <c r="D66" s="1"/>
      <c r="E66" s="1"/>
      <c r="F66" s="1"/>
      <c r="G66" s="1"/>
      <c r="H66" s="1"/>
      <c r="I66" s="1"/>
      <c r="J66" s="3"/>
      <c r="K66" s="1"/>
      <c r="L66" s="1"/>
      <c r="M66" s="1"/>
      <c r="N66" s="1"/>
      <c r="O66" s="1"/>
      <c r="P66" s="1"/>
      <c r="Q66" s="1"/>
      <c r="R66" s="1"/>
      <c r="S66" s="1"/>
      <c r="U66">
        <f>STOXX_HedgeBedarf!C61+'STOXX_HedgeBedarf+01'!C61</f>
        <v>1910.913052064763</v>
      </c>
    </row>
    <row r="67" spans="1:21" x14ac:dyDescent="0.25">
      <c r="A67" s="1"/>
      <c r="B67" s="1"/>
      <c r="C67" s="1"/>
      <c r="D67" s="1"/>
      <c r="E67" s="1"/>
      <c r="F67" s="1"/>
      <c r="G67" s="1"/>
      <c r="H67" s="1"/>
      <c r="I67" s="1"/>
      <c r="J67" s="3"/>
      <c r="K67" s="1"/>
      <c r="L67" s="1"/>
      <c r="M67" s="1"/>
      <c r="N67" s="1"/>
      <c r="O67" s="1"/>
      <c r="P67" s="1"/>
      <c r="Q67" s="1"/>
      <c r="R67" s="1"/>
      <c r="S67" s="1"/>
      <c r="U67">
        <f>STOXX_HedgeBedarf!C62+'STOXX_HedgeBedarf+01'!C62</f>
        <v>1923.8352824954234</v>
      </c>
    </row>
    <row r="68" spans="1:21" x14ac:dyDescent="0.25">
      <c r="A68" s="1"/>
      <c r="B68" s="1"/>
      <c r="C68" s="1"/>
      <c r="D68" s="1"/>
      <c r="E68" s="1"/>
      <c r="F68" s="1"/>
      <c r="G68" s="1"/>
      <c r="H68" s="1"/>
      <c r="I68" s="1"/>
      <c r="J68" s="3"/>
      <c r="K68" s="1"/>
      <c r="L68" s="1"/>
      <c r="M68" s="1"/>
      <c r="N68" s="1"/>
      <c r="O68" s="1"/>
      <c r="P68" s="1"/>
      <c r="Q68" s="1"/>
      <c r="R68" s="1"/>
      <c r="S68" s="1"/>
      <c r="U68">
        <f>STOXX_HedgeBedarf!C63+'STOXX_HedgeBedarf+01'!C63</f>
        <v>1928.3561284016821</v>
      </c>
    </row>
    <row r="69" spans="1:21" x14ac:dyDescent="0.25">
      <c r="A69" s="1"/>
      <c r="B69" s="1"/>
      <c r="C69" s="1"/>
      <c r="D69" s="1"/>
      <c r="E69" s="1"/>
      <c r="F69" s="1"/>
      <c r="G69" s="1"/>
      <c r="H69" s="1"/>
      <c r="I69" s="1"/>
      <c r="J69" s="3"/>
      <c r="K69" s="1"/>
      <c r="L69" s="1"/>
      <c r="M69" s="1"/>
      <c r="N69" s="1"/>
      <c r="O69" s="1"/>
      <c r="P69" s="1"/>
      <c r="Q69" s="1"/>
      <c r="R69" s="1"/>
      <c r="S69" s="1"/>
      <c r="U69">
        <f>STOXX_HedgeBedarf!C64+'STOXX_HedgeBedarf+01'!C64</f>
        <v>1924.2208072647516</v>
      </c>
    </row>
    <row r="70" spans="1:21" x14ac:dyDescent="0.25">
      <c r="A70" s="1"/>
      <c r="B70" s="1"/>
      <c r="C70" s="1"/>
      <c r="D70" s="1"/>
      <c r="E70" s="1"/>
      <c r="F70" s="1"/>
      <c r="G70" s="1"/>
      <c r="H70" s="1"/>
      <c r="I70" s="1"/>
      <c r="J70" s="3"/>
      <c r="K70" s="1"/>
      <c r="L70" s="1"/>
      <c r="M70" s="1"/>
      <c r="N70" s="1"/>
      <c r="O70" s="1"/>
      <c r="P70" s="1"/>
      <c r="Q70" s="1"/>
      <c r="R70" s="1"/>
      <c r="S70" s="1"/>
      <c r="U70">
        <f>STOXX_HedgeBedarf!C65+'STOXX_HedgeBedarf+01'!C65</f>
        <v>1911.2276750018282</v>
      </c>
    </row>
    <row r="71" spans="1:21" x14ac:dyDescent="0.25">
      <c r="A71" s="1"/>
      <c r="B71" s="1"/>
      <c r="C71" s="1"/>
      <c r="D71" s="1"/>
      <c r="E71" s="1"/>
      <c r="F71" s="1"/>
      <c r="G71" s="1"/>
      <c r="H71" s="1"/>
      <c r="I71" s="1"/>
      <c r="J71" s="3"/>
      <c r="K71" s="1"/>
      <c r="L71" s="1"/>
      <c r="M71" s="1"/>
      <c r="N71" s="1"/>
      <c r="O71" s="1"/>
      <c r="P71" s="1"/>
      <c r="Q71" s="1"/>
      <c r="R71" s="1"/>
      <c r="S71" s="1"/>
      <c r="U71">
        <f>STOXX_HedgeBedarf!C66+'STOXX_HedgeBedarf+01'!C66</f>
        <v>1889.2422849764666</v>
      </c>
    </row>
    <row r="72" spans="1:21" x14ac:dyDescent="0.25">
      <c r="A72" s="1"/>
      <c r="B72" s="1"/>
      <c r="C72" s="1"/>
      <c r="D72" s="1"/>
      <c r="E72" s="1"/>
      <c r="F72" s="1"/>
      <c r="G72" s="1"/>
      <c r="H72" s="1"/>
      <c r="I72" s="1"/>
      <c r="J72" s="3"/>
      <c r="K72" s="1"/>
      <c r="L72" s="1"/>
      <c r="M72" s="1"/>
      <c r="N72" s="1"/>
      <c r="O72" s="1"/>
      <c r="P72" s="1"/>
      <c r="Q72" s="1"/>
      <c r="R72" s="1"/>
      <c r="S72" s="1"/>
      <c r="U72">
        <f>STOXX_HedgeBedarf!C67+'STOXX_HedgeBedarf+01'!C67</f>
        <v>1858.2122543794999</v>
      </c>
    </row>
    <row r="73" spans="1:21" x14ac:dyDescent="0.25">
      <c r="A73" s="1"/>
      <c r="B73" s="1"/>
      <c r="C73" s="1"/>
      <c r="D73" s="1"/>
      <c r="E73" s="1"/>
      <c r="F73" s="1"/>
      <c r="G73" s="1"/>
      <c r="H73" s="1"/>
      <c r="I73" s="1"/>
      <c r="J73" s="3"/>
      <c r="K73" s="1"/>
      <c r="L73" s="1"/>
      <c r="M73" s="1"/>
      <c r="N73" s="1"/>
      <c r="O73" s="1"/>
      <c r="P73" s="1"/>
      <c r="Q73" s="1"/>
      <c r="R73" s="1"/>
      <c r="S73" s="1"/>
      <c r="U73">
        <f>STOXX_HedgeBedarf!C68+'STOXX_HedgeBedarf+01'!C68</f>
        <v>1818.1829077531897</v>
      </c>
    </row>
    <row r="74" spans="1:21" x14ac:dyDescent="0.25">
      <c r="A74" s="1"/>
      <c r="B74" s="1"/>
      <c r="C74" s="1"/>
      <c r="D74" s="1"/>
      <c r="E74" s="1"/>
      <c r="F74" s="1"/>
      <c r="G74" s="1"/>
      <c r="H74" s="1"/>
      <c r="I74" s="1"/>
      <c r="J74" s="3"/>
      <c r="K74" s="1"/>
      <c r="L74" s="1"/>
      <c r="M74" s="1"/>
      <c r="N74" s="1"/>
      <c r="O74" s="1"/>
      <c r="P74" s="1"/>
      <c r="Q74" s="1"/>
      <c r="R74" s="1"/>
      <c r="S74" s="1"/>
      <c r="U74">
        <f>STOXX_HedgeBedarf!C69+'STOXX_HedgeBedarf+01'!C69</f>
        <v>1769.3133842771731</v>
      </c>
    </row>
    <row r="75" spans="1:21" x14ac:dyDescent="0.25">
      <c r="A75" s="1"/>
      <c r="B75" s="1"/>
      <c r="C75" s="1"/>
      <c r="D75" s="1"/>
      <c r="E75" s="1"/>
      <c r="F75" s="1"/>
      <c r="G75" s="1"/>
      <c r="H75" s="1"/>
      <c r="I75" s="1"/>
      <c r="J75" s="3"/>
      <c r="K75" s="1"/>
      <c r="L75" s="1"/>
      <c r="M75" s="1"/>
      <c r="N75" s="1"/>
      <c r="O75" s="1"/>
      <c r="P75" s="1"/>
      <c r="Q75" s="1"/>
      <c r="R75" s="1"/>
      <c r="S75" s="1"/>
      <c r="U75">
        <f>STOXX_HedgeBedarf!C70+'STOXX_HedgeBedarf+01'!C70</f>
        <v>1711.8924688946677</v>
      </c>
    </row>
    <row r="76" spans="1:21" x14ac:dyDescent="0.25">
      <c r="A76" s="1"/>
      <c r="B76" s="1"/>
      <c r="C76" s="1"/>
      <c r="D76" s="1"/>
      <c r="E76" s="1"/>
      <c r="F76" s="1"/>
      <c r="G76" s="1"/>
      <c r="H76" s="1"/>
      <c r="I76" s="1"/>
      <c r="J76" s="2"/>
      <c r="K76" s="1"/>
      <c r="L76" s="1"/>
      <c r="M76" s="1"/>
      <c r="N76" s="1"/>
      <c r="O76" s="1"/>
      <c r="P76" s="1"/>
      <c r="Q76" s="1"/>
      <c r="R76" s="1"/>
      <c r="S76" s="1"/>
      <c r="U76">
        <f>STOXX_HedgeBedarf!C71+'STOXX_HedgeBedarf+01'!C71</f>
        <v>1646.3529135379881</v>
      </c>
    </row>
    <row r="77" spans="1:21" x14ac:dyDescent="0.25">
      <c r="A77" s="1"/>
      <c r="B77" s="1"/>
      <c r="C77" s="1"/>
      <c r="D77" s="1"/>
      <c r="E77" s="1"/>
      <c r="F77" s="1"/>
      <c r="G77" s="1"/>
      <c r="H77" s="1"/>
      <c r="I77" s="1"/>
      <c r="J77" s="3"/>
      <c r="K77" s="1"/>
      <c r="L77" s="1"/>
      <c r="M77" s="1"/>
      <c r="N77" s="1"/>
      <c r="O77" s="1"/>
      <c r="P77" s="1"/>
      <c r="Q77" s="1"/>
      <c r="R77" s="1"/>
      <c r="S77" s="1"/>
      <c r="U77">
        <f>STOXX_HedgeBedarf!C72+'STOXX_HedgeBedarf+01'!C72</f>
        <v>1573.2825636435764</v>
      </c>
    </row>
    <row r="78" spans="1:21" x14ac:dyDescent="0.25">
      <c r="A78" s="1"/>
      <c r="B78" s="1"/>
      <c r="C78" s="1"/>
      <c r="D78" s="1"/>
      <c r="E78" s="1"/>
      <c r="F78" s="1"/>
      <c r="G78" s="1"/>
      <c r="H78" s="1"/>
      <c r="I78" s="1"/>
      <c r="J78" s="2"/>
      <c r="K78" s="1"/>
      <c r="L78" s="1"/>
      <c r="M78" s="1"/>
      <c r="N78" s="1"/>
      <c r="O78" s="1"/>
      <c r="P78" s="1"/>
      <c r="Q78" s="1"/>
      <c r="R78" s="1"/>
      <c r="S78" s="1"/>
      <c r="U78">
        <f>STOXX_HedgeBedarf!C73+'STOXX_HedgeBedarf+01'!C73</f>
        <v>1493.4303186393074</v>
      </c>
    </row>
    <row r="79" spans="1:21" x14ac:dyDescent="0.25">
      <c r="A79" s="1"/>
      <c r="B79" s="1"/>
      <c r="C79" s="1"/>
      <c r="D79" s="1"/>
      <c r="E79" s="1"/>
      <c r="F79" s="1"/>
      <c r="G79" s="1"/>
      <c r="H79" s="1"/>
      <c r="I79" s="1"/>
      <c r="J79" s="3"/>
      <c r="K79" s="1"/>
      <c r="L79" s="1"/>
      <c r="M79" s="1"/>
      <c r="N79" s="1"/>
      <c r="O79" s="1"/>
      <c r="P79" s="1"/>
      <c r="Q79" s="1"/>
      <c r="R79" s="1"/>
      <c r="S79" s="1"/>
      <c r="U79">
        <f>STOXX_HedgeBedarf!C74+'STOXX_HedgeBedarf+01'!C74</f>
        <v>1407.7049394692679</v>
      </c>
    </row>
    <row r="80" spans="1:21" x14ac:dyDescent="0.25">
      <c r="A80" s="1"/>
      <c r="B80" s="1"/>
      <c r="C80" s="1"/>
      <c r="D80" s="1"/>
      <c r="E80" s="1"/>
      <c r="F80" s="1"/>
      <c r="G80" s="1"/>
      <c r="H80" s="1"/>
      <c r="I80" s="1"/>
      <c r="J80" s="3"/>
      <c r="K80" s="1"/>
      <c r="L80" s="1"/>
      <c r="M80" s="1"/>
      <c r="N80" s="1"/>
      <c r="O80" s="1"/>
      <c r="P80" s="1"/>
      <c r="Q80" s="1"/>
      <c r="R80" s="1"/>
      <c r="S80" s="1"/>
      <c r="U80">
        <f>STOXX_HedgeBedarf!C75+'STOXX_HedgeBedarf+01'!C75</f>
        <v>1317.1650361746904</v>
      </c>
    </row>
    <row r="81" spans="1:21" x14ac:dyDescent="0.25">
      <c r="A81" s="1"/>
      <c r="B81" s="1"/>
      <c r="C81" s="1"/>
      <c r="D81" s="1"/>
      <c r="E81" s="1"/>
      <c r="F81" s="1"/>
      <c r="G81" s="1"/>
      <c r="H81" s="1"/>
      <c r="I81" s="1"/>
      <c r="J81" s="3"/>
      <c r="K81" s="1"/>
      <c r="L81" s="1"/>
      <c r="M81" s="1"/>
      <c r="N81" s="1"/>
      <c r="O81" s="1"/>
      <c r="P81" s="1"/>
      <c r="Q81" s="1"/>
      <c r="R81" s="1"/>
      <c r="S81" s="1"/>
      <c r="U81">
        <f>STOXX_HedgeBedarf!C76+'STOXX_HedgeBedarf+01'!C76</f>
        <v>0</v>
      </c>
    </row>
    <row r="82" spans="1:21" x14ac:dyDescent="0.25">
      <c r="A82" s="1"/>
      <c r="B82" s="1"/>
      <c r="C82" s="1"/>
      <c r="D82" s="1"/>
      <c r="E82" s="1"/>
      <c r="F82" s="1"/>
      <c r="G82" s="1"/>
      <c r="H82" s="1"/>
      <c r="I82" s="1"/>
      <c r="J82" s="3"/>
      <c r="K82" s="1"/>
      <c r="L82" s="1"/>
      <c r="M82" s="1"/>
      <c r="N82" s="1"/>
      <c r="O82" s="1"/>
      <c r="P82" s="1"/>
      <c r="Q82" s="1"/>
      <c r="R82" s="1"/>
      <c r="S82" s="1"/>
      <c r="U82">
        <f>STOXX_HedgeBedarf!C77+'STOXX_HedgeBedarf+01'!C77</f>
        <v>0</v>
      </c>
    </row>
    <row r="83" spans="1:21" x14ac:dyDescent="0.25">
      <c r="A83" s="1"/>
      <c r="B83" s="1"/>
      <c r="C83" s="1"/>
      <c r="D83" s="1"/>
      <c r="E83" s="1"/>
      <c r="F83" s="1"/>
      <c r="G83" s="1"/>
      <c r="H83" s="1"/>
      <c r="I83" s="1"/>
      <c r="J83" s="3"/>
      <c r="K83" s="1"/>
      <c r="L83" s="1"/>
      <c r="M83" s="1"/>
      <c r="N83" s="1"/>
      <c r="O83" s="1"/>
      <c r="P83" s="1"/>
      <c r="Q83" s="1"/>
      <c r="R83" s="1"/>
      <c r="S83" s="1"/>
      <c r="U83">
        <f>STOXX_HedgeBedarf!C78+'STOXX_HedgeBedarf+01'!C78</f>
        <v>0</v>
      </c>
    </row>
    <row r="84" spans="1:21" x14ac:dyDescent="0.25">
      <c r="A84" s="1"/>
      <c r="B84" s="1"/>
      <c r="C84" s="1"/>
      <c r="D84" s="1"/>
      <c r="E84" s="1"/>
      <c r="F84" s="1"/>
      <c r="G84" s="1"/>
      <c r="H84" s="1"/>
      <c r="I84" s="1"/>
      <c r="J84" s="3"/>
      <c r="K84" s="1"/>
      <c r="L84" s="1"/>
      <c r="M84" s="1"/>
      <c r="N84" s="1"/>
      <c r="O84" s="1"/>
      <c r="P84" s="1"/>
      <c r="Q84" s="1"/>
      <c r="R84" s="1"/>
      <c r="S84" s="1"/>
      <c r="U84">
        <f>STOXX_HedgeBedarf!C79+'STOXX_HedgeBedarf+01'!C79</f>
        <v>0</v>
      </c>
    </row>
    <row r="85" spans="1:21" x14ac:dyDescent="0.25">
      <c r="A85" s="1"/>
      <c r="B85" s="1"/>
      <c r="C85" s="1"/>
      <c r="D85" s="1"/>
      <c r="E85" s="1"/>
      <c r="F85" s="1"/>
      <c r="G85" s="1"/>
      <c r="H85" s="1"/>
      <c r="I85" s="1"/>
      <c r="J85" s="3"/>
      <c r="K85" s="1"/>
      <c r="L85" s="1"/>
      <c r="M85" s="1"/>
      <c r="N85" s="1"/>
      <c r="O85" s="1"/>
      <c r="P85" s="1"/>
      <c r="Q85" s="1"/>
      <c r="R85" s="1"/>
      <c r="S85" s="1"/>
      <c r="U85">
        <f>STOXX_HedgeBedarf!C80+'STOXX_HedgeBedarf+01'!C80</f>
        <v>0</v>
      </c>
    </row>
    <row r="86" spans="1:21" x14ac:dyDescent="0.25">
      <c r="A86" s="1"/>
      <c r="B86" s="1"/>
      <c r="C86" s="1"/>
      <c r="D86" s="1"/>
      <c r="E86" s="1"/>
      <c r="F86" s="1"/>
      <c r="G86" s="1"/>
      <c r="H86" s="1"/>
      <c r="I86" s="1"/>
      <c r="J86" s="3"/>
      <c r="K86" s="1"/>
      <c r="L86" s="1"/>
      <c r="M86" s="1"/>
      <c r="N86" s="1"/>
      <c r="O86" s="1"/>
      <c r="P86" s="1"/>
      <c r="Q86" s="1"/>
      <c r="R86" s="1"/>
      <c r="S86" s="1"/>
      <c r="U86">
        <f>STOXX_HedgeBedarf!C81+'STOXX_HedgeBedarf+01'!C81</f>
        <v>0</v>
      </c>
    </row>
    <row r="87" spans="1:21" x14ac:dyDescent="0.25">
      <c r="A87" s="1"/>
      <c r="B87" s="1"/>
      <c r="C87" s="1"/>
      <c r="D87" s="1"/>
      <c r="E87" s="1"/>
      <c r="F87" s="1"/>
      <c r="G87" s="1"/>
      <c r="H87" s="1"/>
      <c r="I87" s="1"/>
      <c r="J87" s="3"/>
      <c r="K87" s="1"/>
      <c r="L87" s="1"/>
      <c r="M87" s="1"/>
      <c r="N87" s="1"/>
      <c r="O87" s="1"/>
      <c r="P87" s="1"/>
      <c r="Q87" s="1"/>
      <c r="R87" s="1"/>
      <c r="S87" s="1"/>
      <c r="U87">
        <f>STOXX_HedgeBedarf!C82+'STOXX_HedgeBedarf+01'!C82</f>
        <v>0</v>
      </c>
    </row>
    <row r="88" spans="1:21" x14ac:dyDescent="0.25">
      <c r="A88" s="1"/>
      <c r="B88" s="1"/>
      <c r="C88" s="1"/>
      <c r="D88" s="1"/>
      <c r="E88" s="1"/>
      <c r="F88" s="1"/>
      <c r="G88" s="1"/>
      <c r="H88" s="1"/>
      <c r="I88" s="1"/>
      <c r="J88" s="3"/>
      <c r="K88" s="1"/>
      <c r="L88" s="1"/>
      <c r="M88" s="1"/>
      <c r="N88" s="1"/>
      <c r="O88" s="1"/>
      <c r="P88" s="1"/>
      <c r="Q88" s="1"/>
      <c r="R88" s="1"/>
      <c r="S88" s="1"/>
      <c r="U88">
        <f>STOXX_HedgeBedarf!C83+'STOXX_HedgeBedarf+01'!C83</f>
        <v>0</v>
      </c>
    </row>
    <row r="89" spans="1:21" x14ac:dyDescent="0.25">
      <c r="A89" s="1"/>
      <c r="B89" s="1"/>
      <c r="C89" s="1"/>
      <c r="D89" s="1"/>
      <c r="E89" s="1"/>
      <c r="F89" s="1"/>
      <c r="G89" s="1"/>
      <c r="H89" s="1"/>
      <c r="I89" s="1"/>
      <c r="J89" s="3"/>
      <c r="K89" s="1"/>
      <c r="L89" s="1"/>
      <c r="M89" s="1"/>
      <c r="N89" s="1"/>
      <c r="O89" s="1"/>
      <c r="P89" s="1"/>
      <c r="Q89" s="1"/>
      <c r="R89" s="1"/>
      <c r="S89" s="1"/>
      <c r="U89">
        <f>STOXX_HedgeBedarf!C84+'STOXX_HedgeBedarf+01'!C84</f>
        <v>0</v>
      </c>
    </row>
    <row r="90" spans="1:21" x14ac:dyDescent="0.25">
      <c r="A90" s="1"/>
      <c r="B90" s="1"/>
      <c r="C90" s="1"/>
      <c r="D90" s="1"/>
      <c r="E90" s="1"/>
      <c r="F90" s="1"/>
      <c r="G90" s="1"/>
      <c r="H90" s="1"/>
      <c r="I90" s="1"/>
      <c r="J90" s="2"/>
      <c r="K90" s="1"/>
      <c r="L90" s="1"/>
      <c r="M90" s="1"/>
      <c r="N90" s="1"/>
      <c r="O90" s="1"/>
      <c r="P90" s="1"/>
      <c r="Q90" s="1"/>
      <c r="R90" s="1"/>
      <c r="S90" s="1"/>
      <c r="U90">
        <f>STOXX_HedgeBedarf!C85+'STOXX_HedgeBedarf+01'!C85</f>
        <v>0</v>
      </c>
    </row>
    <row r="91" spans="1:21" x14ac:dyDescent="0.25">
      <c r="A91" s="1"/>
      <c r="B91" s="1"/>
      <c r="C91" s="1"/>
      <c r="D91" s="1"/>
      <c r="E91" s="1"/>
      <c r="F91" s="1"/>
      <c r="G91" s="1"/>
      <c r="H91" s="1"/>
      <c r="I91" s="1"/>
      <c r="J91" s="3"/>
      <c r="K91" s="1"/>
      <c r="L91" s="1"/>
      <c r="M91" s="1"/>
      <c r="N91" s="1"/>
      <c r="O91" s="1"/>
      <c r="P91" s="1"/>
      <c r="Q91" s="1"/>
      <c r="R91" s="1"/>
      <c r="S91" s="1"/>
      <c r="U91">
        <f>STOXX_HedgeBedarf!C86+'STOXX_HedgeBedarf+01'!C86</f>
        <v>0</v>
      </c>
    </row>
    <row r="92" spans="1:21" x14ac:dyDescent="0.25">
      <c r="A92" s="1"/>
      <c r="B92" s="1"/>
      <c r="C92" s="1"/>
      <c r="D92" s="1"/>
      <c r="E92" s="1"/>
      <c r="F92" s="1"/>
      <c r="G92" s="1"/>
      <c r="H92" s="1"/>
      <c r="I92" s="1"/>
      <c r="J92" s="2"/>
      <c r="K92" s="1"/>
      <c r="L92" s="1"/>
      <c r="M92" s="1"/>
      <c r="N92" s="1"/>
      <c r="O92" s="1"/>
      <c r="P92" s="1"/>
      <c r="Q92" s="1"/>
      <c r="R92" s="1"/>
      <c r="S92" s="1"/>
      <c r="U92">
        <f>STOXX_HedgeBedarf!C87+'STOXX_HedgeBedarf+01'!C87</f>
        <v>0</v>
      </c>
    </row>
    <row r="93" spans="1:21" x14ac:dyDescent="0.25">
      <c r="A93" s="1"/>
      <c r="B93" s="1"/>
      <c r="C93" s="1"/>
      <c r="D93" s="1"/>
      <c r="E93" s="1"/>
      <c r="F93" s="1"/>
      <c r="G93" s="1"/>
      <c r="H93" s="1"/>
      <c r="I93" s="1"/>
      <c r="J93" s="3"/>
      <c r="K93" s="1"/>
      <c r="L93" s="1"/>
      <c r="M93" s="1"/>
      <c r="N93" s="1"/>
      <c r="O93" s="1"/>
      <c r="P93" s="1"/>
      <c r="Q93" s="1"/>
      <c r="R93" s="1"/>
      <c r="S93" s="1"/>
      <c r="U93">
        <f>STOXX_HedgeBedarf!C88+'STOXX_HedgeBedarf+01'!C88</f>
        <v>0</v>
      </c>
    </row>
    <row r="94" spans="1:21" x14ac:dyDescent="0.25">
      <c r="A94" s="1"/>
      <c r="B94" s="1"/>
      <c r="C94" s="1"/>
      <c r="D94" s="1"/>
      <c r="E94" s="1"/>
      <c r="F94" s="1"/>
      <c r="G94" s="1"/>
      <c r="H94" s="1"/>
      <c r="I94" s="1"/>
      <c r="J94" s="3"/>
      <c r="K94" s="1"/>
      <c r="L94" s="1"/>
      <c r="M94" s="1"/>
      <c r="N94" s="1"/>
      <c r="O94" s="1"/>
      <c r="P94" s="1"/>
      <c r="Q94" s="1"/>
      <c r="R94" s="1"/>
      <c r="S94" s="1"/>
      <c r="U94">
        <f>STOXX_HedgeBedarf!C89+'STOXX_HedgeBedarf+01'!C89</f>
        <v>0</v>
      </c>
    </row>
    <row r="95" spans="1:21" x14ac:dyDescent="0.25">
      <c r="A95" s="1"/>
      <c r="B95" s="1"/>
      <c r="C95" s="1"/>
      <c r="D95" s="1"/>
      <c r="E95" s="1"/>
      <c r="F95" s="1"/>
      <c r="G95" s="1"/>
      <c r="H95" s="1"/>
      <c r="I95" s="1"/>
      <c r="J95" s="3"/>
      <c r="K95" s="1"/>
      <c r="L95" s="1"/>
      <c r="M95" s="1"/>
      <c r="N95" s="1"/>
      <c r="O95" s="1"/>
      <c r="P95" s="1"/>
      <c r="Q95" s="1"/>
      <c r="R95" s="1"/>
      <c r="S95" s="1"/>
      <c r="U95">
        <f>STOXX_HedgeBedarf!C90+'STOXX_HedgeBedarf+01'!C90</f>
        <v>0</v>
      </c>
    </row>
    <row r="96" spans="1:21" x14ac:dyDescent="0.25">
      <c r="A96" s="1"/>
      <c r="B96" s="1"/>
      <c r="C96" s="1"/>
      <c r="D96" s="1"/>
      <c r="E96" s="1"/>
      <c r="F96" s="1"/>
      <c r="G96" s="1"/>
      <c r="H96" s="1"/>
      <c r="I96" s="1"/>
      <c r="J96" s="2"/>
      <c r="K96" s="1"/>
      <c r="L96" s="1"/>
      <c r="M96" s="1"/>
      <c r="N96" s="1"/>
      <c r="O96" s="1"/>
      <c r="P96" s="1"/>
      <c r="Q96" s="1"/>
      <c r="R96" s="1"/>
      <c r="S96" s="1"/>
      <c r="U96">
        <f>STOXX_HedgeBedarf!C91+'STOXX_HedgeBedarf+01'!C91</f>
        <v>0</v>
      </c>
    </row>
    <row r="97" spans="1:21" x14ac:dyDescent="0.25">
      <c r="A97" s="1"/>
      <c r="B97" s="1"/>
      <c r="C97" s="1"/>
      <c r="D97" s="1"/>
      <c r="E97" s="1"/>
      <c r="F97" s="1"/>
      <c r="G97" s="1"/>
      <c r="H97" s="1"/>
      <c r="I97" s="1"/>
      <c r="J97" s="2"/>
      <c r="K97" s="1"/>
      <c r="L97" s="1"/>
      <c r="M97" s="1"/>
      <c r="N97" s="1"/>
      <c r="O97" s="1"/>
      <c r="P97" s="1"/>
      <c r="Q97" s="1"/>
      <c r="R97" s="1"/>
      <c r="S97" s="1"/>
      <c r="U97">
        <f>STOXX_HedgeBedarf!C92+'STOXX_HedgeBedarf+01'!C92</f>
        <v>0</v>
      </c>
    </row>
    <row r="98" spans="1:21" x14ac:dyDescent="0.25">
      <c r="A98" s="1"/>
      <c r="B98" s="1"/>
      <c r="C98" s="1"/>
      <c r="D98" s="1"/>
      <c r="E98" s="1"/>
      <c r="F98" s="1"/>
      <c r="G98" s="1"/>
      <c r="H98" s="1"/>
      <c r="I98" s="1"/>
      <c r="J98" s="3"/>
      <c r="K98" s="1"/>
      <c r="L98" s="1"/>
      <c r="M98" s="1"/>
      <c r="N98" s="1"/>
      <c r="O98" s="1"/>
      <c r="P98" s="1"/>
      <c r="Q98" s="1"/>
      <c r="R98" s="1"/>
      <c r="S98" s="1"/>
      <c r="U98">
        <f>STOXX_HedgeBedarf!C93+'STOXX_HedgeBedarf+01'!C93</f>
        <v>0</v>
      </c>
    </row>
    <row r="99" spans="1:21" x14ac:dyDescent="0.25">
      <c r="A99" s="1"/>
      <c r="B99" s="1"/>
      <c r="C99" s="1"/>
      <c r="D99" s="1"/>
      <c r="E99" s="1"/>
      <c r="F99" s="1"/>
      <c r="G99" s="1"/>
      <c r="H99" s="1"/>
      <c r="I99" s="1"/>
      <c r="J99" s="1"/>
      <c r="K99" s="1"/>
      <c r="L99" s="1"/>
      <c r="M99" s="1"/>
      <c r="N99" s="1"/>
      <c r="O99" s="1"/>
      <c r="P99" s="1"/>
      <c r="Q99" s="1"/>
      <c r="R99" s="1"/>
      <c r="S99" s="1"/>
      <c r="U99">
        <f>STOXX_HedgeBedarf!C94+'STOXX_HedgeBedarf+01'!C94</f>
        <v>0</v>
      </c>
    </row>
    <row r="100" spans="1:21" x14ac:dyDescent="0.25">
      <c r="A100" s="1"/>
      <c r="B100" s="1"/>
      <c r="C100" s="1"/>
      <c r="D100" s="1"/>
      <c r="E100" s="1"/>
      <c r="F100" s="1"/>
      <c r="G100" s="1"/>
      <c r="H100" s="1"/>
      <c r="I100" s="1"/>
      <c r="J100" s="1"/>
      <c r="K100" s="1"/>
      <c r="L100" s="1"/>
      <c r="M100" s="1"/>
      <c r="N100" s="1"/>
      <c r="O100" s="1"/>
      <c r="P100" s="1"/>
      <c r="Q100" s="1"/>
      <c r="R100" s="1"/>
      <c r="S100" s="1"/>
      <c r="U100">
        <f>STOXX_HedgeBedarf!C95+'STOXX_HedgeBedarf+01'!C95</f>
        <v>0</v>
      </c>
    </row>
    <row r="101" spans="1:21" x14ac:dyDescent="0.25">
      <c r="U101">
        <f>STOXX_HedgeBedarf!C96+'STOXX_HedgeBedarf+01'!C96</f>
        <v>0</v>
      </c>
    </row>
    <row r="102" spans="1:21" x14ac:dyDescent="0.25">
      <c r="U102">
        <f>STOXX_HedgeBedarf!C97+'STOXX_HedgeBedarf+01'!C97</f>
        <v>0</v>
      </c>
    </row>
    <row r="103" spans="1:21" x14ac:dyDescent="0.25">
      <c r="U103">
        <f>STOXX_HedgeBedarf!C98+'STOXX_HedgeBedarf+01'!C98</f>
        <v>0</v>
      </c>
    </row>
    <row r="104" spans="1:21" x14ac:dyDescent="0.25">
      <c r="U104">
        <f>STOXX_HedgeBedarf!C99+'STOXX_HedgeBedarf+01'!C99</f>
        <v>0</v>
      </c>
    </row>
    <row r="105" spans="1:21" x14ac:dyDescent="0.25">
      <c r="U105">
        <f>STOXX_HedgeBedarf!C100+'STOXX_HedgeBedarf+01'!C100</f>
        <v>0</v>
      </c>
    </row>
    <row r="106" spans="1:21" x14ac:dyDescent="0.25">
      <c r="U106">
        <f>STOXX_HedgeBedarf!C101+'STOXX_HedgeBedarf+01'!C101</f>
        <v>0</v>
      </c>
    </row>
    <row r="107" spans="1:21" x14ac:dyDescent="0.25">
      <c r="U107">
        <f>STOXX_HedgeBedarf!C102+'STOXX_HedgeBedarf+01'!C102</f>
        <v>0</v>
      </c>
    </row>
    <row r="108" spans="1:21" x14ac:dyDescent="0.25">
      <c r="U108">
        <f>STOXX_HedgeBedarf!C103+'STOXX_HedgeBedarf+01'!C103</f>
        <v>0</v>
      </c>
    </row>
    <row r="109" spans="1:21" x14ac:dyDescent="0.25">
      <c r="U109">
        <f>STOXX_HedgeBedarf!C104+'STOXX_HedgeBedarf+01'!C104</f>
        <v>0</v>
      </c>
    </row>
    <row r="110" spans="1:21" x14ac:dyDescent="0.25">
      <c r="U110">
        <f>STOXX_HedgeBedarf!C105+'STOXX_HedgeBedarf+01'!C105</f>
        <v>0</v>
      </c>
    </row>
    <row r="111" spans="1:21" x14ac:dyDescent="0.25">
      <c r="U111">
        <f>STOXX_HedgeBedarf!C106+'STOXX_HedgeBedarf+01'!C106</f>
        <v>0</v>
      </c>
    </row>
    <row r="112" spans="1:21" x14ac:dyDescent="0.25">
      <c r="U112">
        <f>STOXX_HedgeBedarf!C107+'STOXX_HedgeBedarf+01'!C107</f>
        <v>0</v>
      </c>
    </row>
    <row r="113" spans="21:21" x14ac:dyDescent="0.25">
      <c r="U113">
        <f>STOXX_HedgeBedarf!C108+'STOXX_HedgeBedarf+01'!C108</f>
        <v>0</v>
      </c>
    </row>
    <row r="114" spans="21:21" x14ac:dyDescent="0.25">
      <c r="U114">
        <f>STOXX_HedgeBedarf!C109+'STOXX_HedgeBedarf+01'!C109</f>
        <v>0</v>
      </c>
    </row>
    <row r="115" spans="21:21" x14ac:dyDescent="0.25">
      <c r="U115">
        <f>STOXX_HedgeBedarf!C110+'STOXX_HedgeBedarf+01'!C110</f>
        <v>0</v>
      </c>
    </row>
    <row r="116" spans="21:21" x14ac:dyDescent="0.25">
      <c r="U116">
        <f>STOXX_HedgeBedarf!C111+'STOXX_HedgeBedarf+01'!C111</f>
        <v>0</v>
      </c>
    </row>
    <row r="117" spans="21:21" x14ac:dyDescent="0.25">
      <c r="U117">
        <f>STOXX_HedgeBedarf!C112+'STOXX_HedgeBedarf+01'!C112</f>
        <v>0</v>
      </c>
    </row>
    <row r="118" spans="21:21" x14ac:dyDescent="0.25">
      <c r="U118">
        <f>STOXX_HedgeBedarf!C113+'STOXX_HedgeBedarf+01'!C113</f>
        <v>0</v>
      </c>
    </row>
    <row r="119" spans="21:21" x14ac:dyDescent="0.25">
      <c r="U119">
        <f>STOXX_HedgeBedarf!C114+'STOXX_HedgeBedarf+01'!C114</f>
        <v>0</v>
      </c>
    </row>
    <row r="120" spans="21:21" x14ac:dyDescent="0.25">
      <c r="U120">
        <f>STOXX_HedgeBedarf!C115+'STOXX_HedgeBedarf+01'!C115</f>
        <v>0</v>
      </c>
    </row>
    <row r="121" spans="21:21" x14ac:dyDescent="0.25">
      <c r="U121">
        <f>STOXX_HedgeBedarf!C116+'STOXX_HedgeBedarf+01'!C116</f>
        <v>0</v>
      </c>
    </row>
    <row r="122" spans="21:21" x14ac:dyDescent="0.25">
      <c r="U122">
        <f>STOXX_HedgeBedarf!C117+'STOXX_HedgeBedarf+01'!C117</f>
        <v>0</v>
      </c>
    </row>
    <row r="123" spans="21:21" x14ac:dyDescent="0.25">
      <c r="U123">
        <f>STOXX_HedgeBedarf!C118+'STOXX_HedgeBedarf+01'!C118</f>
        <v>0</v>
      </c>
    </row>
    <row r="124" spans="21:21" x14ac:dyDescent="0.25">
      <c r="U124">
        <f>STOXX_HedgeBedarf!C119+'STOXX_HedgeBedarf+01'!C119</f>
        <v>0</v>
      </c>
    </row>
    <row r="125" spans="21:21" x14ac:dyDescent="0.25">
      <c r="U125">
        <f>STOXX_HedgeBedarf!C120+'STOXX_HedgeBedarf+01'!C120</f>
        <v>0</v>
      </c>
    </row>
    <row r="126" spans="21:21" x14ac:dyDescent="0.25">
      <c r="U126">
        <f>STOXX_HedgeBedarf!C121+'STOXX_HedgeBedarf+01'!C121</f>
        <v>0</v>
      </c>
    </row>
    <row r="127" spans="21:21" x14ac:dyDescent="0.25">
      <c r="U127">
        <f>STOXX_HedgeBedarf!C122+'STOXX_HedgeBedarf+01'!C122</f>
        <v>0</v>
      </c>
    </row>
    <row r="128" spans="21:21" x14ac:dyDescent="0.25">
      <c r="U128">
        <f>STOXX_HedgeBedarf!C123+'STOXX_HedgeBedarf+01'!C123</f>
        <v>0</v>
      </c>
    </row>
    <row r="129" spans="21:21" x14ac:dyDescent="0.25">
      <c r="U129">
        <f>STOXX_HedgeBedarf!C124+'STOXX_HedgeBedarf+01'!C124</f>
        <v>0</v>
      </c>
    </row>
    <row r="130" spans="21:21" x14ac:dyDescent="0.25">
      <c r="U130">
        <f>STOXX_HedgeBedarf!C125+'STOXX_HedgeBedarf+01'!C125</f>
        <v>0</v>
      </c>
    </row>
    <row r="131" spans="21:21" x14ac:dyDescent="0.25">
      <c r="U131">
        <f>STOXX_HedgeBedarf!C126+'STOXX_HedgeBedarf+01'!C126</f>
        <v>0</v>
      </c>
    </row>
    <row r="132" spans="21:21" x14ac:dyDescent="0.25">
      <c r="U132">
        <f>STOXX_HedgeBedarf!C127+'STOXX_HedgeBedarf+01'!C127</f>
        <v>0</v>
      </c>
    </row>
    <row r="133" spans="21:21" x14ac:dyDescent="0.25">
      <c r="U133">
        <f>STOXX_HedgeBedarf!C128+'STOXX_HedgeBedarf+01'!C128</f>
        <v>0</v>
      </c>
    </row>
    <row r="134" spans="21:21" x14ac:dyDescent="0.25">
      <c r="U134">
        <f>STOXX_HedgeBedarf!C129+'STOXX_HedgeBedarf+01'!C129</f>
        <v>0</v>
      </c>
    </row>
    <row r="135" spans="21:21" x14ac:dyDescent="0.25">
      <c r="U135">
        <f>STOXX_HedgeBedarf!C130+'STOXX_HedgeBedarf+01'!C130</f>
        <v>0</v>
      </c>
    </row>
    <row r="136" spans="21:21" x14ac:dyDescent="0.25">
      <c r="U136">
        <f>STOXX_HedgeBedarf!C131+'STOXX_HedgeBedarf+01'!C131</f>
        <v>0</v>
      </c>
    </row>
    <row r="137" spans="21:21" x14ac:dyDescent="0.25">
      <c r="U137">
        <f>STOXX_HedgeBedarf!C132+'STOXX_HedgeBedarf+01'!C132</f>
        <v>0</v>
      </c>
    </row>
    <row r="138" spans="21:21" x14ac:dyDescent="0.25">
      <c r="U138">
        <f>STOXX_HedgeBedarf!C133+'STOXX_HedgeBedarf+01'!C133</f>
        <v>0</v>
      </c>
    </row>
    <row r="139" spans="21:21" x14ac:dyDescent="0.25">
      <c r="U139">
        <f>STOXX_HedgeBedarf!C134+'STOXX_HedgeBedarf+01'!C134</f>
        <v>0</v>
      </c>
    </row>
    <row r="140" spans="21:21" x14ac:dyDescent="0.25">
      <c r="U140">
        <f>STOXX_HedgeBedarf!C135+'STOXX_HedgeBedarf+01'!C135</f>
        <v>0</v>
      </c>
    </row>
    <row r="141" spans="21:21" x14ac:dyDescent="0.25">
      <c r="U141">
        <f>STOXX_HedgeBedarf!C136+'STOXX_HedgeBedarf+01'!C136</f>
        <v>0</v>
      </c>
    </row>
    <row r="142" spans="21:21" x14ac:dyDescent="0.25">
      <c r="U142">
        <f>STOXX_HedgeBedarf!C137+'STOXX_HedgeBedarf+01'!C137</f>
        <v>0</v>
      </c>
    </row>
    <row r="143" spans="21:21" x14ac:dyDescent="0.25">
      <c r="U143">
        <f>STOXX_HedgeBedarf!C138+'STOXX_HedgeBedarf+01'!C138</f>
        <v>0</v>
      </c>
    </row>
    <row r="144" spans="21:21" x14ac:dyDescent="0.25">
      <c r="U144">
        <f>STOXX_HedgeBedarf!C139+'STOXX_HedgeBedarf+01'!C139</f>
        <v>0</v>
      </c>
    </row>
    <row r="145" spans="21:21" x14ac:dyDescent="0.25">
      <c r="U145">
        <f>STOXX_HedgeBedarf!C140+'STOXX_HedgeBedarf+01'!C140</f>
        <v>0</v>
      </c>
    </row>
    <row r="146" spans="21:21" x14ac:dyDescent="0.25">
      <c r="U146">
        <f>STOXX_HedgeBedarf!C141+'STOXX_HedgeBedarf+01'!C141</f>
        <v>0</v>
      </c>
    </row>
    <row r="147" spans="21:21" x14ac:dyDescent="0.25">
      <c r="U147">
        <f>STOXX_HedgeBedarf!C142+'STOXX_HedgeBedarf+01'!C142</f>
        <v>0</v>
      </c>
    </row>
    <row r="148" spans="21:21" x14ac:dyDescent="0.25">
      <c r="U148">
        <f>STOXX_HedgeBedarf!C143+'STOXX_HedgeBedarf+01'!C143</f>
        <v>0</v>
      </c>
    </row>
    <row r="149" spans="21:21" x14ac:dyDescent="0.25">
      <c r="U149">
        <f>STOXX_HedgeBedarf!C144+'STOXX_HedgeBedarf+01'!C144</f>
        <v>0</v>
      </c>
    </row>
    <row r="150" spans="21:21" x14ac:dyDescent="0.25">
      <c r="U150">
        <f>STOXX_HedgeBedarf!C145+'STOXX_HedgeBedarf+01'!C145</f>
        <v>0</v>
      </c>
    </row>
    <row r="151" spans="21:21" x14ac:dyDescent="0.25">
      <c r="U151">
        <f>STOXX_HedgeBedarf!C146+'STOXX_HedgeBedarf+01'!C146</f>
        <v>0</v>
      </c>
    </row>
    <row r="152" spans="21:21" x14ac:dyDescent="0.25">
      <c r="U152">
        <f>STOXX_HedgeBedarf!C147+'STOXX_HedgeBedarf+01'!C147</f>
        <v>0</v>
      </c>
    </row>
    <row r="153" spans="21:21" x14ac:dyDescent="0.25">
      <c r="U153">
        <f>STOXX_HedgeBedarf!C148+'STOXX_HedgeBedarf+01'!C148</f>
        <v>0</v>
      </c>
    </row>
    <row r="154" spans="21:21" x14ac:dyDescent="0.25">
      <c r="U154">
        <f>STOXX_HedgeBedarf!C149+'STOXX_HedgeBedarf+01'!C149</f>
        <v>0</v>
      </c>
    </row>
    <row r="155" spans="21:21" x14ac:dyDescent="0.25">
      <c r="U155">
        <f>STOXX_HedgeBedarf!C150+'STOXX_HedgeBedarf+01'!C150</f>
        <v>0</v>
      </c>
    </row>
    <row r="156" spans="21:21" x14ac:dyDescent="0.25">
      <c r="U156">
        <f>STOXX_HedgeBedarf!C151+'STOXX_HedgeBedarf+01'!C151</f>
        <v>0</v>
      </c>
    </row>
    <row r="157" spans="21:21" x14ac:dyDescent="0.25">
      <c r="U157">
        <f>STOXX_HedgeBedarf!C152+'STOXX_HedgeBedarf+01'!C152</f>
        <v>0</v>
      </c>
    </row>
    <row r="158" spans="21:21" x14ac:dyDescent="0.25">
      <c r="U158">
        <f>STOXX_HedgeBedarf!C153+'STOXX_HedgeBedarf+01'!C153</f>
        <v>0</v>
      </c>
    </row>
    <row r="159" spans="21:21" x14ac:dyDescent="0.25">
      <c r="U159">
        <f>STOXX_HedgeBedarf!C154+'STOXX_HedgeBedarf+01'!C154</f>
        <v>0</v>
      </c>
    </row>
    <row r="160" spans="21:21" x14ac:dyDescent="0.25">
      <c r="U160">
        <f>STOXX_HedgeBedarf!C155+'STOXX_HedgeBedarf+01'!C155</f>
        <v>0</v>
      </c>
    </row>
    <row r="161" spans="21:21" x14ac:dyDescent="0.25">
      <c r="U161">
        <f>STOXX_HedgeBedarf!C156+'STOXX_HedgeBedarf+01'!C156</f>
        <v>0</v>
      </c>
    </row>
    <row r="162" spans="21:21" x14ac:dyDescent="0.25">
      <c r="U162">
        <f>STOXX_HedgeBedarf!C157+'STOXX_HedgeBedarf+01'!C157</f>
        <v>0</v>
      </c>
    </row>
    <row r="163" spans="21:21" x14ac:dyDescent="0.25">
      <c r="U163">
        <f>STOXX_HedgeBedarf!C158+'STOXX_HedgeBedarf+01'!C158</f>
        <v>0</v>
      </c>
    </row>
    <row r="164" spans="21:21" x14ac:dyDescent="0.25">
      <c r="U164">
        <f>STOXX_HedgeBedarf!C159+'STOXX_HedgeBedarf+01'!C159</f>
        <v>0</v>
      </c>
    </row>
    <row r="165" spans="21:21" x14ac:dyDescent="0.25">
      <c r="U165">
        <f>STOXX_HedgeBedarf!C160+'STOXX_HedgeBedarf+01'!C160</f>
        <v>0</v>
      </c>
    </row>
    <row r="166" spans="21:21" x14ac:dyDescent="0.25">
      <c r="U166">
        <f>STOXX_HedgeBedarf!C161+'STOXX_HedgeBedarf+01'!C161</f>
        <v>0</v>
      </c>
    </row>
    <row r="167" spans="21:21" x14ac:dyDescent="0.25">
      <c r="U167">
        <f>STOXX_HedgeBedarf!C162+'STOXX_HedgeBedarf+01'!C162</f>
        <v>0</v>
      </c>
    </row>
    <row r="168" spans="21:21" x14ac:dyDescent="0.25">
      <c r="U168">
        <f>STOXX_HedgeBedarf!C163+'STOXX_HedgeBedarf+01'!C163</f>
        <v>0</v>
      </c>
    </row>
    <row r="169" spans="21:21" x14ac:dyDescent="0.25">
      <c r="U169">
        <f>STOXX_HedgeBedarf!C164+'STOXX_HedgeBedarf+01'!C164</f>
        <v>0</v>
      </c>
    </row>
    <row r="170" spans="21:21" x14ac:dyDescent="0.25">
      <c r="U170">
        <f>STOXX_HedgeBedarf!C165+'STOXX_HedgeBedarf+01'!C165</f>
        <v>0</v>
      </c>
    </row>
    <row r="171" spans="21:21" x14ac:dyDescent="0.25">
      <c r="U171">
        <f>STOXX_HedgeBedarf!C166+'STOXX_HedgeBedarf+01'!C166</f>
        <v>0</v>
      </c>
    </row>
    <row r="172" spans="21:21" x14ac:dyDescent="0.25">
      <c r="U172">
        <f>STOXX_HedgeBedarf!C167+'STOXX_HedgeBedarf+01'!C167</f>
        <v>0</v>
      </c>
    </row>
    <row r="173" spans="21:21" x14ac:dyDescent="0.25">
      <c r="U173">
        <f>STOXX_HedgeBedarf!C168+'STOXX_HedgeBedarf+01'!C168</f>
        <v>0</v>
      </c>
    </row>
    <row r="174" spans="21:21" x14ac:dyDescent="0.25">
      <c r="U174">
        <f>STOXX_HedgeBedarf!C169+'STOXX_HedgeBedarf+01'!C169</f>
        <v>0</v>
      </c>
    </row>
    <row r="175" spans="21:21" x14ac:dyDescent="0.25">
      <c r="U175">
        <f>STOXX_HedgeBedarf!C170+'STOXX_HedgeBedarf+01'!C170</f>
        <v>0</v>
      </c>
    </row>
    <row r="176" spans="21:21" x14ac:dyDescent="0.25">
      <c r="U176">
        <f>STOXX_HedgeBedarf!C171+'STOXX_HedgeBedarf+01'!C171</f>
        <v>0</v>
      </c>
    </row>
    <row r="177" spans="21:21" x14ac:dyDescent="0.25">
      <c r="U177">
        <f>STOXX_HedgeBedarf!C172+'STOXX_HedgeBedarf+01'!C172</f>
        <v>0</v>
      </c>
    </row>
    <row r="178" spans="21:21" x14ac:dyDescent="0.25">
      <c r="U178">
        <f>STOXX_HedgeBedarf!C173+'STOXX_HedgeBedarf+01'!C173</f>
        <v>0</v>
      </c>
    </row>
    <row r="179" spans="21:21" x14ac:dyDescent="0.25">
      <c r="U179">
        <f>STOXX_HedgeBedarf!C174+'STOXX_HedgeBedarf+01'!C174</f>
        <v>0</v>
      </c>
    </row>
    <row r="180" spans="21:21" x14ac:dyDescent="0.25">
      <c r="U180">
        <f>STOXX_HedgeBedarf!C175+'STOXX_HedgeBedarf+01'!C175</f>
        <v>0</v>
      </c>
    </row>
    <row r="181" spans="21:21" x14ac:dyDescent="0.25">
      <c r="U181">
        <f>STOXX_HedgeBedarf!C176+'STOXX_HedgeBedarf+01'!C176</f>
        <v>0</v>
      </c>
    </row>
    <row r="182" spans="21:21" x14ac:dyDescent="0.25">
      <c r="U182">
        <f>STOXX_HedgeBedarf!C177+'STOXX_HedgeBedarf+01'!C177</f>
        <v>0</v>
      </c>
    </row>
    <row r="183" spans="21:21" x14ac:dyDescent="0.25">
      <c r="U183">
        <f>STOXX_HedgeBedarf!C178+'STOXX_HedgeBedarf+01'!C178</f>
        <v>0</v>
      </c>
    </row>
    <row r="184" spans="21:21" x14ac:dyDescent="0.25">
      <c r="U184">
        <f>STOXX_HedgeBedarf!C179+'STOXX_HedgeBedarf+01'!C179</f>
        <v>0</v>
      </c>
    </row>
    <row r="185" spans="21:21" x14ac:dyDescent="0.25">
      <c r="U185">
        <f>STOXX_HedgeBedarf!C180+'STOXX_HedgeBedarf+01'!C180</f>
        <v>0</v>
      </c>
    </row>
    <row r="186" spans="21:21" x14ac:dyDescent="0.25">
      <c r="U186">
        <f>STOXX_HedgeBedarf!C181+'STOXX_HedgeBedarf+01'!C181</f>
        <v>0</v>
      </c>
    </row>
    <row r="187" spans="21:21" x14ac:dyDescent="0.25">
      <c r="U187">
        <f>STOXX_HedgeBedarf!C182+'STOXX_HedgeBedarf+01'!C182</f>
        <v>0</v>
      </c>
    </row>
    <row r="188" spans="21:21" x14ac:dyDescent="0.25">
      <c r="U188">
        <f>STOXX_HedgeBedarf!C183+'STOXX_HedgeBedarf+01'!C183</f>
        <v>0</v>
      </c>
    </row>
    <row r="189" spans="21:21" x14ac:dyDescent="0.25">
      <c r="U189">
        <f>STOXX_HedgeBedarf!C184+'STOXX_HedgeBedarf+01'!C184</f>
        <v>0</v>
      </c>
    </row>
    <row r="190" spans="21:21" x14ac:dyDescent="0.25">
      <c r="U190">
        <f>STOXX_HedgeBedarf!C185+'STOXX_HedgeBedarf+01'!C185</f>
        <v>0</v>
      </c>
    </row>
    <row r="191" spans="21:21" x14ac:dyDescent="0.25">
      <c r="U191">
        <f>STOXX_HedgeBedarf!C186+'STOXX_HedgeBedarf+01'!C186</f>
        <v>0</v>
      </c>
    </row>
    <row r="192" spans="21:21" x14ac:dyDescent="0.25">
      <c r="U192">
        <f>STOXX_HedgeBedarf!C187+'STOXX_HedgeBedarf+01'!C187</f>
        <v>0</v>
      </c>
    </row>
    <row r="193" spans="21:21" x14ac:dyDescent="0.25">
      <c r="U193">
        <f>STOXX_HedgeBedarf!C188+'STOXX_HedgeBedarf+01'!C188</f>
        <v>0</v>
      </c>
    </row>
    <row r="194" spans="21:21" x14ac:dyDescent="0.25">
      <c r="U194">
        <f>STOXX_HedgeBedarf!C189+'STOXX_HedgeBedarf+01'!C189</f>
        <v>0</v>
      </c>
    </row>
    <row r="195" spans="21:21" x14ac:dyDescent="0.25">
      <c r="U195">
        <f>STOXX_HedgeBedarf!C190+'STOXX_HedgeBedarf+01'!C190</f>
        <v>0</v>
      </c>
    </row>
    <row r="196" spans="21:21" x14ac:dyDescent="0.25">
      <c r="U196">
        <f>STOXX_HedgeBedarf!C191+'STOXX_HedgeBedarf+01'!C191</f>
        <v>0</v>
      </c>
    </row>
    <row r="197" spans="21:21" x14ac:dyDescent="0.25">
      <c r="U197">
        <f>STOXX_HedgeBedarf!C192+'STOXX_HedgeBedarf+01'!C192</f>
        <v>0</v>
      </c>
    </row>
    <row r="198" spans="21:21" x14ac:dyDescent="0.25">
      <c r="U198">
        <f>STOXX_HedgeBedarf!C193+'STOXX_HedgeBedarf+01'!C193</f>
        <v>0</v>
      </c>
    </row>
    <row r="199" spans="21:21" x14ac:dyDescent="0.25">
      <c r="U199">
        <f>STOXX_HedgeBedarf!C194+'STOXX_HedgeBedarf+01'!C194</f>
        <v>0</v>
      </c>
    </row>
    <row r="200" spans="21:21" x14ac:dyDescent="0.25">
      <c r="U200">
        <f>STOXX_HedgeBedarf!C195+'STOXX_HedgeBedarf+01'!C195</f>
        <v>0</v>
      </c>
    </row>
    <row r="201" spans="21:21" x14ac:dyDescent="0.25">
      <c r="U201">
        <f>STOXX_HedgeBedarf!C196+'STOXX_HedgeBedarf+01'!C196</f>
        <v>0</v>
      </c>
    </row>
    <row r="202" spans="21:21" x14ac:dyDescent="0.25">
      <c r="U202">
        <f>STOXX_HedgeBedarf!C197+'STOXX_HedgeBedarf+01'!C197</f>
        <v>0</v>
      </c>
    </row>
    <row r="203" spans="21:21" x14ac:dyDescent="0.25">
      <c r="U203">
        <f>STOXX_HedgeBedarf!C198+'STOXX_HedgeBedarf+01'!C198</f>
        <v>0</v>
      </c>
    </row>
    <row r="204" spans="21:21" x14ac:dyDescent="0.25">
      <c r="U204">
        <f>STOXX_HedgeBedarf!C199+'STOXX_HedgeBedarf+01'!C199</f>
        <v>0</v>
      </c>
    </row>
    <row r="205" spans="21:21" x14ac:dyDescent="0.25">
      <c r="U205">
        <f>STOXX_HedgeBedarf!C200+'STOXX_HedgeBedarf+01'!C200</f>
        <v>0</v>
      </c>
    </row>
    <row r="206" spans="21:21" x14ac:dyDescent="0.25">
      <c r="U206">
        <f>STOXX_HedgeBedarf!C201+'STOXX_HedgeBedarf+01'!C201</f>
        <v>0</v>
      </c>
    </row>
    <row r="207" spans="21:21" x14ac:dyDescent="0.25">
      <c r="U207">
        <f>STOXX_HedgeBedarf!C202+'STOXX_HedgeBedarf+01'!C202</f>
        <v>0</v>
      </c>
    </row>
    <row r="208" spans="21:21" x14ac:dyDescent="0.25">
      <c r="U208">
        <f>STOXX_HedgeBedarf!C203+'STOXX_HedgeBedarf+01'!C203</f>
        <v>0</v>
      </c>
    </row>
    <row r="209" spans="21:21" x14ac:dyDescent="0.25">
      <c r="U209">
        <f>STOXX_HedgeBedarf!C204+'STOXX_HedgeBedarf+01'!C204</f>
        <v>0</v>
      </c>
    </row>
    <row r="210" spans="21:21" x14ac:dyDescent="0.25">
      <c r="U210">
        <f>STOXX_HedgeBedarf!C205+'STOXX_HedgeBedarf+01'!C205</f>
        <v>0</v>
      </c>
    </row>
  </sheetData>
  <mergeCells count="3">
    <mergeCell ref="A1:F1"/>
    <mergeCell ref="G1:H1"/>
    <mergeCell ref="R1:S1"/>
  </mergeCells>
  <conditionalFormatting sqref="B10:B50">
    <cfRule type="cellIs" dxfId="62" priority="3" operator="lessThan">
      <formula>0</formula>
    </cfRule>
    <cfRule type="cellIs" dxfId="61" priority="4" operator="greaterThan">
      <formula>0</formula>
    </cfRule>
  </conditionalFormatting>
  <conditionalFormatting sqref="C10:I50">
    <cfRule type="cellIs" dxfId="60" priority="1" operator="lessThan">
      <formula>0</formula>
    </cfRule>
    <cfRule type="cellIs" dxfId="59" priority="2" operator="greaterThan">
      <formula>0</formula>
    </cfRule>
  </conditionalFormatting>
  <pageMargins left="0.7" right="0.7" top="0.78740157499999996" bottom="0.78740157499999996" header="0.3" footer="0.3"/>
  <pageSetup paperSize="9" orientation="portrait" r:id="rId1"/>
  <colBreaks count="1" manualBreakCount="1">
    <brk id="9" max="1048575" man="1"/>
  </colBreaks>
  <drawing r:id="rId2"/>
  <legacyDrawing r:id="rId3"/>
  <controls>
    <mc:AlternateContent xmlns:mc="http://schemas.openxmlformats.org/markup-compatibility/2006">
      <mc:Choice Requires="x14">
        <control shapeId="2056" r:id="rId4" name="Pdf_Verfall">
          <controlPr defaultSize="0" autoLine="0" r:id="rId5">
            <anchor moveWithCells="1">
              <from>
                <xdr:col>14</xdr:col>
                <xdr:colOff>180975</xdr:colOff>
                <xdr:row>0</xdr:row>
                <xdr:rowOff>123825</xdr:rowOff>
              </from>
              <to>
                <xdr:col>16</xdr:col>
                <xdr:colOff>142875</xdr:colOff>
                <xdr:row>0</xdr:row>
                <xdr:rowOff>495300</xdr:rowOff>
              </to>
            </anchor>
          </controlPr>
        </control>
      </mc:Choice>
      <mc:Fallback>
        <control shapeId="2056" r:id="rId4" name="Pdf_Verfall"/>
      </mc:Fallback>
    </mc:AlternateContent>
    <mc:AlternateContent xmlns:mc="http://schemas.openxmlformats.org/markup-compatibility/2006">
      <mc:Choice Requires="x14">
        <control shapeId="2055" r:id="rId6" name="PDF">
          <controlPr defaultSize="0" autoLine="0" autoPict="0" r:id="rId7">
            <anchor moveWithCells="1">
              <from>
                <xdr:col>9</xdr:col>
                <xdr:colOff>742950</xdr:colOff>
                <xdr:row>5</xdr:row>
                <xdr:rowOff>47625</xdr:rowOff>
              </from>
              <to>
                <xdr:col>11</xdr:col>
                <xdr:colOff>742950</xdr:colOff>
                <xdr:row>6</xdr:row>
                <xdr:rowOff>219075</xdr:rowOff>
              </to>
            </anchor>
          </controlPr>
        </control>
      </mc:Choice>
      <mc:Fallback>
        <control shapeId="2055" r:id="rId6" name="PDF"/>
      </mc:Fallback>
    </mc:AlternateContent>
    <mc:AlternateContent xmlns:mc="http://schemas.openxmlformats.org/markup-compatibility/2006">
      <mc:Choice Requires="x14">
        <control shapeId="2054" r:id="rId8" name="InterimsUeberHaenge">
          <controlPr defaultSize="0" autoLine="0" r:id="rId9">
            <anchor moveWithCells="1">
              <from>
                <xdr:col>24</xdr:col>
                <xdr:colOff>752475</xdr:colOff>
                <xdr:row>0</xdr:row>
                <xdr:rowOff>523875</xdr:rowOff>
              </from>
              <to>
                <xdr:col>26</xdr:col>
                <xdr:colOff>609600</xdr:colOff>
                <xdr:row>1</xdr:row>
                <xdr:rowOff>133350</xdr:rowOff>
              </to>
            </anchor>
          </controlPr>
        </control>
      </mc:Choice>
      <mc:Fallback>
        <control shapeId="2054" r:id="rId8" name="InterimsUeberHaenge"/>
      </mc:Fallback>
    </mc:AlternateContent>
    <mc:AlternateContent xmlns:mc="http://schemas.openxmlformats.org/markup-compatibility/2006">
      <mc:Choice Requires="x14">
        <control shapeId="2053" r:id="rId10" name="VorletzterHandelsTag">
          <controlPr defaultSize="0" autoLine="0" r:id="rId11">
            <anchor moveWithCells="1">
              <from>
                <xdr:col>24</xdr:col>
                <xdr:colOff>752475</xdr:colOff>
                <xdr:row>0</xdr:row>
                <xdr:rowOff>66675</xdr:rowOff>
              </from>
              <to>
                <xdr:col>26</xdr:col>
                <xdr:colOff>609600</xdr:colOff>
                <xdr:row>0</xdr:row>
                <xdr:rowOff>438150</xdr:rowOff>
              </to>
            </anchor>
          </controlPr>
        </control>
      </mc:Choice>
      <mc:Fallback>
        <control shapeId="2053" r:id="rId10" name="VorletzterHandelsTag"/>
      </mc:Fallback>
    </mc:AlternateContent>
    <mc:AlternateContent xmlns:mc="http://schemas.openxmlformats.org/markup-compatibility/2006">
      <mc:Choice Requires="x14">
        <control shapeId="2052" r:id="rId12" name="Hedge">
          <controlPr defaultSize="0" autoLine="0" r:id="rId13">
            <anchor moveWithCells="1">
              <from>
                <xdr:col>12</xdr:col>
                <xdr:colOff>95250</xdr:colOff>
                <xdr:row>0</xdr:row>
                <xdr:rowOff>123825</xdr:rowOff>
              </from>
              <to>
                <xdr:col>13</xdr:col>
                <xdr:colOff>200025</xdr:colOff>
                <xdr:row>0</xdr:row>
                <xdr:rowOff>504825</xdr:rowOff>
              </to>
            </anchor>
          </controlPr>
        </control>
      </mc:Choice>
      <mc:Fallback>
        <control shapeId="2052" r:id="rId12" name="Hedge"/>
      </mc:Fallback>
    </mc:AlternateContent>
    <mc:AlternateContent xmlns:mc="http://schemas.openxmlformats.org/markup-compatibility/2006">
      <mc:Choice Requires="x14">
        <control shapeId="2051" r:id="rId14" name="BoersenAbfrage">
          <controlPr defaultSize="0" autoLine="0" autoPict="0" r:id="rId15">
            <anchor moveWithCells="1">
              <from>
                <xdr:col>9</xdr:col>
                <xdr:colOff>742950</xdr:colOff>
                <xdr:row>0</xdr:row>
                <xdr:rowOff>628650</xdr:rowOff>
              </from>
              <to>
                <xdr:col>12</xdr:col>
                <xdr:colOff>19050</xdr:colOff>
                <xdr:row>2</xdr:row>
                <xdr:rowOff>66675</xdr:rowOff>
              </to>
            </anchor>
          </controlPr>
        </control>
      </mc:Choice>
      <mc:Fallback>
        <control shapeId="2051" r:id="rId14" name="BoersenAbfrage"/>
      </mc:Fallback>
    </mc:AlternateContent>
    <mc:AlternateContent xmlns:mc="http://schemas.openxmlformats.org/markup-compatibility/2006">
      <mc:Choice Requires="x14">
        <control shapeId="2050" r:id="rId16" name="AbfragenDatumUpdaten">
          <controlPr defaultSize="0" autoLine="0" r:id="rId17">
            <anchor moveWithCells="1">
              <from>
                <xdr:col>9</xdr:col>
                <xdr:colOff>742950</xdr:colOff>
                <xdr:row>0</xdr:row>
                <xdr:rowOff>123825</xdr:rowOff>
              </from>
              <to>
                <xdr:col>13</xdr:col>
                <xdr:colOff>352425</xdr:colOff>
                <xdr:row>1</xdr:row>
                <xdr:rowOff>161925</xdr:rowOff>
              </to>
            </anchor>
          </controlPr>
        </control>
      </mc:Choice>
      <mc:Fallback>
        <control shapeId="2050" r:id="rId16" name="AbfragenDatumUpdaten"/>
      </mc:Fallback>
    </mc:AlternateContent>
    <mc:AlternateContent xmlns:mc="http://schemas.openxmlformats.org/markup-compatibility/2006">
      <mc:Choice Requires="x14">
        <control shapeId="2049" r:id="rId18" name="Start">
          <controlPr defaultSize="0" autoLine="0" autoPict="0" r:id="rId19">
            <anchor moveWithCells="1">
              <from>
                <xdr:col>9</xdr:col>
                <xdr:colOff>742950</xdr:colOff>
                <xdr:row>2</xdr:row>
                <xdr:rowOff>152400</xdr:rowOff>
              </from>
              <to>
                <xdr:col>12</xdr:col>
                <xdr:colOff>0</xdr:colOff>
                <xdr:row>4</xdr:row>
                <xdr:rowOff>123825</xdr:rowOff>
              </to>
            </anchor>
          </controlPr>
        </control>
      </mc:Choice>
      <mc:Fallback>
        <control shapeId="2049" r:id="rId18" name="Start"/>
      </mc:Fallback>
    </mc:AlternateContent>
    <mc:AlternateContent xmlns:mc="http://schemas.openxmlformats.org/markup-compatibility/2006">
      <mc:Choice Requires="x14">
        <control shapeId="2057" r:id="rId20" name="KontrakteUpdaten">
          <controlPr defaultSize="0" autoLine="0" autoPict="0" r:id="rId21">
            <anchor moveWithCells="1">
              <from>
                <xdr:col>20</xdr:col>
                <xdr:colOff>9525</xdr:colOff>
                <xdr:row>0</xdr:row>
                <xdr:rowOff>123825</xdr:rowOff>
              </from>
              <to>
                <xdr:col>21</xdr:col>
                <xdr:colOff>419100</xdr:colOff>
                <xdr:row>0</xdr:row>
                <xdr:rowOff>495300</xdr:rowOff>
              </to>
            </anchor>
          </controlPr>
        </control>
      </mc:Choice>
      <mc:Fallback>
        <control shapeId="2057" r:id="rId20" name="KontrakteUpdate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topLeftCell="A73" zoomScaleNormal="100" workbookViewId="0">
      <pane xSplit="1" topLeftCell="B1" activePane="topRight" state="frozen"/>
      <selection pane="topRight" activeCell="A75" sqref="A75"/>
    </sheetView>
  </sheetViews>
  <sheetFormatPr defaultColWidth="11.42578125" defaultRowHeight="15" x14ac:dyDescent="0.25"/>
  <cols>
    <col min="1" max="16384" width="11.42578125" style="5"/>
  </cols>
  <sheetData>
    <row r="4" spans="1:54" x14ac:dyDescent="0.25">
      <c r="A4" s="4"/>
      <c r="B4" s="4"/>
      <c r="C4" s="4"/>
      <c r="D4" s="4">
        <v>4650</v>
      </c>
      <c r="E4" s="4">
        <v>4625</v>
      </c>
      <c r="F4" s="4">
        <v>4600</v>
      </c>
      <c r="G4" s="4">
        <v>4575</v>
      </c>
      <c r="H4" s="4">
        <v>4550</v>
      </c>
      <c r="I4" s="4">
        <v>4525</v>
      </c>
      <c r="J4" s="4">
        <v>4500</v>
      </c>
      <c r="K4" s="4">
        <v>4475</v>
      </c>
      <c r="L4" s="4">
        <v>4450</v>
      </c>
      <c r="M4" s="4">
        <v>4425</v>
      </c>
      <c r="N4" s="4">
        <v>4400</v>
      </c>
      <c r="O4" s="4">
        <v>4375</v>
      </c>
      <c r="P4" s="4">
        <v>4350</v>
      </c>
      <c r="Q4" s="4">
        <v>4325</v>
      </c>
      <c r="R4" s="4">
        <v>4300</v>
      </c>
      <c r="S4" s="4">
        <v>4275</v>
      </c>
      <c r="T4" s="4">
        <v>4250</v>
      </c>
      <c r="U4" s="4">
        <v>4225</v>
      </c>
      <c r="V4" s="4">
        <v>4200</v>
      </c>
      <c r="W4" s="4">
        <v>4175</v>
      </c>
      <c r="X4" s="4">
        <v>4150</v>
      </c>
      <c r="Y4" s="4">
        <v>4125</v>
      </c>
      <c r="Z4" s="4">
        <v>4100</v>
      </c>
      <c r="AA4" s="4">
        <v>4075</v>
      </c>
      <c r="AB4" s="4">
        <v>4050</v>
      </c>
      <c r="AC4" s="4">
        <v>4025</v>
      </c>
      <c r="AD4" s="4">
        <v>4000</v>
      </c>
      <c r="AE4" s="4">
        <v>3975</v>
      </c>
      <c r="AF4" s="4">
        <v>3950</v>
      </c>
      <c r="AG4" s="4"/>
      <c r="AH4" s="4"/>
      <c r="AI4" s="4"/>
      <c r="AJ4" s="4"/>
      <c r="AK4" s="4"/>
      <c r="AL4" s="4"/>
      <c r="AM4" s="4"/>
      <c r="AN4" s="4"/>
      <c r="AO4" s="4"/>
      <c r="AP4" s="4"/>
      <c r="AQ4" s="4"/>
      <c r="AR4" s="4"/>
      <c r="AS4" s="4"/>
      <c r="AT4" s="4"/>
      <c r="AU4" s="4"/>
      <c r="AV4" s="4"/>
      <c r="AW4" s="4"/>
      <c r="AX4" s="4"/>
      <c r="AY4" s="4"/>
      <c r="AZ4" s="4"/>
      <c r="BA4" s="4"/>
      <c r="BB4" s="4"/>
    </row>
    <row r="5" spans="1:54" x14ac:dyDescent="0.25">
      <c r="A5" s="4">
        <v>4650</v>
      </c>
      <c r="B5" s="4"/>
      <c r="C5" s="4">
        <v>-766.49988764739464</v>
      </c>
      <c r="D5" s="4">
        <v>-445.89559165082528</v>
      </c>
      <c r="E5" s="4">
        <v>-111.76770957507949</v>
      </c>
      <c r="F5" s="4">
        <v>-355.69894120355661</v>
      </c>
      <c r="G5" s="4">
        <v>-53.209116209727583</v>
      </c>
      <c r="H5" s="4">
        <v>-242.30962342824884</v>
      </c>
      <c r="I5" s="4">
        <v>-52.425934396593583</v>
      </c>
      <c r="J5" s="4">
        <v>-188.8109272812722</v>
      </c>
      <c r="K5" s="4">
        <v>-31.436072414674264</v>
      </c>
      <c r="L5" s="4">
        <v>-35.805392700479842</v>
      </c>
      <c r="M5" s="4">
        <v>-4.0941987731798806</v>
      </c>
      <c r="N5" s="4">
        <v>-12.104830218780815</v>
      </c>
      <c r="O5" s="4">
        <v>-0.37413780044611178</v>
      </c>
      <c r="P5" s="4">
        <v>0.77476272874633334</v>
      </c>
      <c r="Q5" s="4">
        <v>-0.3462514600459457</v>
      </c>
      <c r="R5" s="4">
        <v>-0.28463212017236172</v>
      </c>
      <c r="S5" s="4">
        <v>5.1566008982950572E-2</v>
      </c>
      <c r="T5" s="4">
        <v>0.57071688329640746</v>
      </c>
      <c r="U5" s="4">
        <v>3.9693888645617577E-2</v>
      </c>
      <c r="V5" s="4">
        <v>0.10311627056737195</v>
      </c>
      <c r="W5" s="4">
        <v>7.4033320731871971E-3</v>
      </c>
      <c r="X5" s="4">
        <v>1.2754357533593776E-2</v>
      </c>
      <c r="Y5" s="4">
        <v>1.7703270387659036E-3</v>
      </c>
      <c r="Z5" s="4">
        <v>1.34707439996102E-3</v>
      </c>
      <c r="AA5" s="4">
        <v>3.6203734110463722E-4</v>
      </c>
      <c r="AB5" s="4">
        <v>6.866648709869971E-5</v>
      </c>
      <c r="AC5" s="4">
        <v>7.0332243549304876E-6</v>
      </c>
      <c r="AD5" s="4">
        <v>1.478764958459961E-5</v>
      </c>
      <c r="AE5" s="4">
        <v>2.670232172035717E-7</v>
      </c>
      <c r="AF5" s="4">
        <v>2.752837125776162E-7</v>
      </c>
      <c r="AG5" s="4"/>
      <c r="AH5" s="4"/>
      <c r="AI5" s="4"/>
      <c r="AJ5" s="4"/>
      <c r="AK5" s="4"/>
      <c r="AL5" s="4"/>
      <c r="AM5" s="4"/>
      <c r="AN5" s="4"/>
      <c r="AO5" s="4"/>
      <c r="AP5" s="4"/>
      <c r="AQ5" s="4"/>
      <c r="AR5" s="4"/>
      <c r="AS5" s="4"/>
      <c r="AT5" s="4"/>
      <c r="AU5" s="4"/>
      <c r="AV5" s="4"/>
      <c r="AW5" s="4"/>
      <c r="AX5" s="4"/>
      <c r="AY5" s="4"/>
      <c r="AZ5" s="4"/>
      <c r="BA5" s="4"/>
      <c r="BB5" s="4"/>
    </row>
    <row r="6" spans="1:54" x14ac:dyDescent="0.25">
      <c r="A6" s="4">
        <v>4640</v>
      </c>
      <c r="B6" s="4"/>
      <c r="C6" s="4">
        <v>-805.90915240211928</v>
      </c>
      <c r="D6" s="4">
        <v>-447.13343774619682</v>
      </c>
      <c r="E6" s="4">
        <v>-114.06882363823334</v>
      </c>
      <c r="F6" s="4">
        <v>-369.50580973490207</v>
      </c>
      <c r="G6" s="4">
        <v>-56.267125419826705</v>
      </c>
      <c r="H6" s="4">
        <v>-260.8625204860225</v>
      </c>
      <c r="I6" s="4">
        <v>-57.464861823891241</v>
      </c>
      <c r="J6" s="4">
        <v>-210.73747554147735</v>
      </c>
      <c r="K6" s="4">
        <v>-35.730999897033769</v>
      </c>
      <c r="L6" s="4">
        <v>-41.448788575974525</v>
      </c>
      <c r="M6" s="4">
        <v>-4.8275147046880154</v>
      </c>
      <c r="N6" s="4">
        <v>-14.539515721816786</v>
      </c>
      <c r="O6" s="4">
        <v>-0.45783098107004772</v>
      </c>
      <c r="P6" s="4">
        <v>0.96598632105597348</v>
      </c>
      <c r="Q6" s="4">
        <v>-0.43991562615507684</v>
      </c>
      <c r="R6" s="4">
        <v>-0.36853997037011732</v>
      </c>
      <c r="S6" s="4">
        <v>6.8051087431593091E-2</v>
      </c>
      <c r="T6" s="4">
        <v>0.76773553091773039</v>
      </c>
      <c r="U6" s="4">
        <v>5.4435600677816158E-2</v>
      </c>
      <c r="V6" s="4">
        <v>0.14417988912217358</v>
      </c>
      <c r="W6" s="4">
        <v>1.0555361088906891E-2</v>
      </c>
      <c r="X6" s="4">
        <v>1.8544865516881174E-2</v>
      </c>
      <c r="Y6" s="4">
        <v>2.6253627331685276E-3</v>
      </c>
      <c r="Z6" s="4">
        <v>2.0377467578294641E-3</v>
      </c>
      <c r="AA6" s="4">
        <v>5.5871141990246581E-4</v>
      </c>
      <c r="AB6" s="4">
        <v>1.0812047713371095E-4</v>
      </c>
      <c r="AC6" s="4">
        <v>1.1300576157328966E-5</v>
      </c>
      <c r="AD6" s="4">
        <v>2.4248394021954322E-5</v>
      </c>
      <c r="AE6" s="4">
        <v>4.4691607669570743E-7</v>
      </c>
      <c r="AF6" s="4">
        <v>4.70334354920825E-7</v>
      </c>
      <c r="AG6" s="4"/>
      <c r="AH6" s="4"/>
      <c r="AI6" s="4"/>
      <c r="AJ6" s="4"/>
      <c r="AK6" s="4"/>
      <c r="AL6" s="4"/>
      <c r="AM6" s="4"/>
      <c r="AN6" s="4"/>
      <c r="AO6" s="4"/>
      <c r="AP6" s="4"/>
      <c r="AQ6" s="4"/>
      <c r="AR6" s="4"/>
      <c r="AS6" s="4"/>
      <c r="AT6" s="4"/>
      <c r="AU6" s="4"/>
      <c r="AV6" s="4"/>
      <c r="AW6" s="4"/>
      <c r="AX6" s="4"/>
      <c r="AY6" s="4"/>
      <c r="AZ6" s="4"/>
      <c r="BA6" s="4"/>
      <c r="BB6" s="4"/>
    </row>
    <row r="7" spans="1:54" x14ac:dyDescent="0.25">
      <c r="A7" s="4">
        <v>4630</v>
      </c>
      <c r="B7" s="4"/>
      <c r="C7" s="4">
        <v>-843.06355784722427</v>
      </c>
      <c r="D7" s="4">
        <v>-445.22558655983829</v>
      </c>
      <c r="E7" s="4">
        <v>-115.6040550561783</v>
      </c>
      <c r="F7" s="4">
        <v>-381.18170708089229</v>
      </c>
      <c r="G7" s="4">
        <v>-59.089752317460174</v>
      </c>
      <c r="H7" s="4">
        <v>-278.90624369354902</v>
      </c>
      <c r="I7" s="4">
        <v>-62.55772433569917</v>
      </c>
      <c r="J7" s="4">
        <v>-233.61233171586602</v>
      </c>
      <c r="K7" s="4">
        <v>-40.338379801620704</v>
      </c>
      <c r="L7" s="4">
        <v>-47.659422882480428</v>
      </c>
      <c r="M7" s="4">
        <v>-5.6541726362959857</v>
      </c>
      <c r="N7" s="4">
        <v>-17.347995342163678</v>
      </c>
      <c r="O7" s="4">
        <v>-0.55655017146375441</v>
      </c>
      <c r="P7" s="4">
        <v>1.1965099785485946</v>
      </c>
      <c r="Q7" s="4">
        <v>-0.55527471072914103</v>
      </c>
      <c r="R7" s="4">
        <v>-0.47409323335674208</v>
      </c>
      <c r="S7" s="4">
        <v>8.922836491495148E-2</v>
      </c>
      <c r="T7" s="4">
        <v>1.0261641191425288</v>
      </c>
      <c r="U7" s="4">
        <v>7.4177930346245272E-2</v>
      </c>
      <c r="V7" s="4">
        <v>0.20032385024743546</v>
      </c>
      <c r="W7" s="4">
        <v>1.4955044573586066E-2</v>
      </c>
      <c r="X7" s="4">
        <v>2.679636729546089E-2</v>
      </c>
      <c r="Y7" s="4">
        <v>3.8692853022048038E-3</v>
      </c>
      <c r="Z7" s="4">
        <v>3.0636070932857427E-3</v>
      </c>
      <c r="AA7" s="4">
        <v>8.5696813761624278E-4</v>
      </c>
      <c r="AB7" s="4">
        <v>1.6921266091645158E-4</v>
      </c>
      <c r="AC7" s="4">
        <v>1.8047931277587159E-5</v>
      </c>
      <c r="AD7" s="4">
        <v>3.9524520009012213E-5</v>
      </c>
      <c r="AE7" s="4">
        <v>7.4357009057051564E-7</v>
      </c>
      <c r="AF7" s="4">
        <v>7.9886092200163954E-7</v>
      </c>
      <c r="AG7" s="4"/>
      <c r="AH7" s="4"/>
      <c r="AI7" s="4"/>
      <c r="AJ7" s="4"/>
      <c r="AK7" s="4"/>
      <c r="AL7" s="4"/>
      <c r="AM7" s="4"/>
      <c r="AN7" s="4"/>
      <c r="AO7" s="4"/>
      <c r="AP7" s="4"/>
      <c r="AQ7" s="4"/>
      <c r="AR7" s="4"/>
      <c r="AS7" s="4"/>
      <c r="AT7" s="4"/>
      <c r="AU7" s="4"/>
      <c r="AV7" s="4"/>
      <c r="AW7" s="4"/>
      <c r="AX7" s="4"/>
      <c r="AY7" s="4"/>
      <c r="AZ7" s="4"/>
      <c r="BA7" s="4"/>
      <c r="BB7" s="4"/>
    </row>
    <row r="8" spans="1:54" x14ac:dyDescent="0.25">
      <c r="A8" s="4">
        <v>4620</v>
      </c>
      <c r="B8" s="4"/>
      <c r="C8" s="4">
        <v>-877.48474236866571</v>
      </c>
      <c r="D8" s="4">
        <v>-440.19206427500166</v>
      </c>
      <c r="E8" s="4">
        <v>-116.33619909705128</v>
      </c>
      <c r="F8" s="4">
        <v>-390.47675539830419</v>
      </c>
      <c r="G8" s="4">
        <v>-61.622415235386356</v>
      </c>
      <c r="H8" s="4">
        <v>-296.13567807769016</v>
      </c>
      <c r="I8" s="4">
        <v>-67.633583398625674</v>
      </c>
      <c r="J8" s="4">
        <v>-257.19922989206214</v>
      </c>
      <c r="K8" s="4">
        <v>-45.230226577257866</v>
      </c>
      <c r="L8" s="4">
        <v>-54.430204564558856</v>
      </c>
      <c r="M8" s="4">
        <v>-6.577882169863023</v>
      </c>
      <c r="N8" s="4">
        <v>-20.560687494894545</v>
      </c>
      <c r="O8" s="4">
        <v>-0.67206295475715427</v>
      </c>
      <c r="P8" s="4">
        <v>1.4722642939613444</v>
      </c>
      <c r="Q8" s="4">
        <v>-0.69628689562875656</v>
      </c>
      <c r="R8" s="4">
        <v>-0.60590223697677636</v>
      </c>
      <c r="S8" s="4">
        <v>0.116238062005271</v>
      </c>
      <c r="T8" s="4">
        <v>1.3627544126474112</v>
      </c>
      <c r="U8" s="4">
        <v>0.10043385303391281</v>
      </c>
      <c r="V8" s="4">
        <v>0.27656205347277851</v>
      </c>
      <c r="W8" s="4">
        <v>2.1054873630924776E-2</v>
      </c>
      <c r="X8" s="4">
        <v>3.8476621023167137E-2</v>
      </c>
      <c r="Y8" s="4">
        <v>5.6670824660173206E-3</v>
      </c>
      <c r="Z8" s="4">
        <v>4.5774324854032569E-3</v>
      </c>
      <c r="AA8" s="4">
        <v>1.3063712845917609E-3</v>
      </c>
      <c r="AB8" s="4">
        <v>2.6320946007152713E-4</v>
      </c>
      <c r="AC8" s="4">
        <v>2.8649499544769235E-5</v>
      </c>
      <c r="AD8" s="4">
        <v>6.4037172474402121E-5</v>
      </c>
      <c r="AE8" s="4">
        <v>1.2297562431669532E-6</v>
      </c>
      <c r="AF8" s="4">
        <v>1.3488269431841358E-6</v>
      </c>
      <c r="AG8" s="4"/>
      <c r="AH8" s="4"/>
      <c r="AI8" s="4"/>
      <c r="AJ8" s="4"/>
      <c r="AK8" s="4"/>
      <c r="AL8" s="4"/>
      <c r="AM8" s="4"/>
      <c r="AN8" s="4"/>
      <c r="AO8" s="4"/>
      <c r="AP8" s="4"/>
      <c r="AQ8" s="4"/>
      <c r="AR8" s="4"/>
      <c r="AS8" s="4"/>
      <c r="AT8" s="4"/>
      <c r="AU8" s="4"/>
      <c r="AV8" s="4"/>
      <c r="AW8" s="4"/>
      <c r="AX8" s="4"/>
      <c r="AY8" s="4"/>
      <c r="AZ8" s="4"/>
      <c r="BA8" s="4"/>
      <c r="BB8" s="4"/>
    </row>
    <row r="9" spans="1:54" x14ac:dyDescent="0.25">
      <c r="A9" s="4">
        <v>4610</v>
      </c>
      <c r="B9" s="4"/>
      <c r="C9" s="4">
        <v>-908.71319994171733</v>
      </c>
      <c r="D9" s="4">
        <v>-432.11904263981387</v>
      </c>
      <c r="E9" s="4">
        <v>-116.2445005686254</v>
      </c>
      <c r="F9" s="4">
        <v>-397.18313116040457</v>
      </c>
      <c r="G9" s="4">
        <v>-63.813792922259488</v>
      </c>
      <c r="H9" s="4">
        <v>-312.24064932202253</v>
      </c>
      <c r="I9" s="4">
        <v>-72.615122112996445</v>
      </c>
      <c r="J9" s="4">
        <v>-281.21849728795701</v>
      </c>
      <c r="K9" s="4">
        <v>-50.368218758668668</v>
      </c>
      <c r="L9" s="4">
        <v>-61.739906005729615</v>
      </c>
      <c r="M9" s="4">
        <v>-7.6007301789842554</v>
      </c>
      <c r="N9" s="4">
        <v>-24.20447447151026</v>
      </c>
      <c r="O9" s="4">
        <v>-0.80612589514583188</v>
      </c>
      <c r="P9" s="4">
        <v>1.7995346067528162</v>
      </c>
      <c r="Q9" s="4">
        <v>-0.8673438618214897</v>
      </c>
      <c r="R9" s="4">
        <v>-0.76927569353526815</v>
      </c>
      <c r="S9" s="4">
        <v>0.15043622987194749</v>
      </c>
      <c r="T9" s="4">
        <v>1.7980225255560969</v>
      </c>
      <c r="U9" s="4">
        <v>0.13510782654379402</v>
      </c>
      <c r="V9" s="4">
        <v>0.37937247177395811</v>
      </c>
      <c r="W9" s="4">
        <v>2.9454339357780624E-2</v>
      </c>
      <c r="X9" s="4">
        <v>5.4899474690876984E-2</v>
      </c>
      <c r="Y9" s="4">
        <v>8.2481627621582461E-3</v>
      </c>
      <c r="Z9" s="4">
        <v>6.7967063182704139E-3</v>
      </c>
      <c r="AA9" s="4">
        <v>1.9791336930416797E-3</v>
      </c>
      <c r="AB9" s="4">
        <v>4.0690749178156032E-4</v>
      </c>
      <c r="AC9" s="4">
        <v>4.5201340801343915E-5</v>
      </c>
      <c r="AD9" s="4">
        <v>1.0312443676049126E-4</v>
      </c>
      <c r="AE9" s="4">
        <v>2.0216194715258184E-6</v>
      </c>
      <c r="AF9" s="4">
        <v>2.2638310666363696E-6</v>
      </c>
      <c r="AG9" s="4"/>
      <c r="AH9" s="4"/>
      <c r="AI9" s="4"/>
      <c r="AJ9" s="4"/>
      <c r="AK9" s="4"/>
      <c r="AL9" s="4"/>
      <c r="AM9" s="4"/>
      <c r="AN9" s="4"/>
      <c r="AO9" s="4"/>
      <c r="AP9" s="4"/>
      <c r="AQ9" s="4"/>
      <c r="AR9" s="4"/>
      <c r="AS9" s="4"/>
      <c r="AT9" s="4"/>
      <c r="AU9" s="4"/>
      <c r="AV9" s="4"/>
      <c r="AW9" s="4"/>
      <c r="AX9" s="4"/>
      <c r="AY9" s="4"/>
      <c r="AZ9" s="4"/>
      <c r="BA9" s="4"/>
      <c r="BB9" s="4"/>
    </row>
    <row r="10" spans="1:54" x14ac:dyDescent="0.25">
      <c r="A10" s="4">
        <v>4600</v>
      </c>
      <c r="B10" s="4"/>
      <c r="C10" s="4">
        <v>-936.31673931890384</v>
      </c>
      <c r="D10" s="4">
        <v>-421.15651028079793</v>
      </c>
      <c r="E10" s="4">
        <v>-115.32556506432303</v>
      </c>
      <c r="F10" s="4">
        <v>-401.14264888768633</v>
      </c>
      <c r="G10" s="4">
        <v>-65.617507569104433</v>
      </c>
      <c r="H10" s="4">
        <v>-326.91471208181304</v>
      </c>
      <c r="I10" s="4">
        <v>-77.420352412079154</v>
      </c>
      <c r="J10" s="4">
        <v>-305.35052880357756</v>
      </c>
      <c r="K10" s="4">
        <v>-55.703472228860065</v>
      </c>
      <c r="L10" s="4">
        <v>-69.55160804998286</v>
      </c>
      <c r="M10" s="4">
        <v>-8.7228262517912025</v>
      </c>
      <c r="N10" s="4">
        <v>-28.301139933812404</v>
      </c>
      <c r="O10" s="4">
        <v>-0.960425535311909</v>
      </c>
      <c r="P10" s="4">
        <v>2.1848433490745132</v>
      </c>
      <c r="Q10" s="4">
        <v>-1.0732427009319616</v>
      </c>
      <c r="R10" s="4">
        <v>-0.9702485091825187</v>
      </c>
      <c r="S10" s="4">
        <v>0.19341765686863588</v>
      </c>
      <c r="T10" s="4">
        <v>2.3568418402309952</v>
      </c>
      <c r="U10" s="4">
        <v>0.18057472476811556</v>
      </c>
      <c r="V10" s="4">
        <v>0.51705114834998489</v>
      </c>
      <c r="W10" s="4">
        <v>4.0941043921652286E-2</v>
      </c>
      <c r="X10" s="4">
        <v>7.7834304879354888E-2</v>
      </c>
      <c r="Y10" s="4">
        <v>1.1929033114494525E-2</v>
      </c>
      <c r="Z10" s="4">
        <v>1.0028690776716864E-2</v>
      </c>
      <c r="AA10" s="4">
        <v>2.9796947759865768E-3</v>
      </c>
      <c r="AB10" s="4">
        <v>6.2516851332455718E-4</v>
      </c>
      <c r="AC10" s="4">
        <v>7.0878090776747116E-5</v>
      </c>
      <c r="AD10" s="4">
        <v>1.6505807034176883E-4</v>
      </c>
      <c r="AE10" s="4">
        <v>3.3032767247998977E-6</v>
      </c>
      <c r="AF10" s="4">
        <v>3.7767351304862163E-6</v>
      </c>
      <c r="AG10" s="4"/>
      <c r="AH10" s="4"/>
      <c r="AI10" s="4"/>
      <c r="AJ10" s="4"/>
      <c r="AK10" s="4"/>
      <c r="AL10" s="4"/>
      <c r="AM10" s="4"/>
      <c r="AN10" s="4"/>
      <c r="AO10" s="4"/>
      <c r="AP10" s="4"/>
      <c r="AQ10" s="4"/>
      <c r="AR10" s="4"/>
      <c r="AS10" s="4"/>
      <c r="AT10" s="4"/>
      <c r="AU10" s="4"/>
      <c r="AV10" s="4"/>
      <c r="AW10" s="4"/>
      <c r="AX10" s="4"/>
      <c r="AY10" s="4"/>
      <c r="AZ10" s="4"/>
      <c r="BA10" s="4"/>
      <c r="BB10" s="4"/>
    </row>
    <row r="11" spans="1:54" x14ac:dyDescent="0.25">
      <c r="A11" s="4">
        <v>4590</v>
      </c>
      <c r="B11" s="4"/>
      <c r="C11" s="4">
        <v>-959.89834323224034</v>
      </c>
      <c r="D11" s="4">
        <v>-407.51368914835922</v>
      </c>
      <c r="E11" s="4">
        <v>-113.59366782565748</v>
      </c>
      <c r="F11" s="4">
        <v>-402.25283510867473</v>
      </c>
      <c r="G11" s="4">
        <v>-66.993721429702831</v>
      </c>
      <c r="H11" s="4">
        <v>-339.86446054865741</v>
      </c>
      <c r="I11" s="4">
        <v>-81.964658707141723</v>
      </c>
      <c r="J11" s="4">
        <v>-329.2411724552685</v>
      </c>
      <c r="K11" s="4">
        <v>-61.176687673996454</v>
      </c>
      <c r="L11" s="4">
        <v>-77.811510806050066</v>
      </c>
      <c r="M11" s="4">
        <v>-9.9419627456390138</v>
      </c>
      <c r="N11" s="4">
        <v>-32.86569682037905</v>
      </c>
      <c r="O11" s="4">
        <v>-1.136509084750148</v>
      </c>
      <c r="P11" s="4">
        <v>2.6347938196031717</v>
      </c>
      <c r="Q11" s="4">
        <v>-1.319133518235668</v>
      </c>
      <c r="R11" s="4">
        <v>-1.2155873904747454</v>
      </c>
      <c r="S11" s="4">
        <v>0.24703596174339629</v>
      </c>
      <c r="T11" s="4">
        <v>3.0690530671277574</v>
      </c>
      <c r="U11" s="4">
        <v>0.23976756518779441</v>
      </c>
      <c r="V11" s="4">
        <v>0.70012679108054521</v>
      </c>
      <c r="W11" s="4">
        <v>5.6540887952663724E-2</v>
      </c>
      <c r="X11" s="4">
        <v>0.10964446208684865</v>
      </c>
      <c r="Y11" s="4">
        <v>1.714292274812414E-2</v>
      </c>
      <c r="Z11" s="4">
        <v>1.4704169729573386E-2</v>
      </c>
      <c r="AA11" s="4">
        <v>4.4579788315278601E-3</v>
      </c>
      <c r="AB11" s="4">
        <v>9.5452486063791434E-4</v>
      </c>
      <c r="AC11" s="4">
        <v>1.1045381502679007E-4</v>
      </c>
      <c r="AD11" s="4">
        <v>2.6256652417662387E-4</v>
      </c>
      <c r="AE11" s="4">
        <v>5.3646011976348117E-6</v>
      </c>
      <c r="AF11" s="4">
        <v>6.2626137229616462E-6</v>
      </c>
      <c r="AG11" s="4"/>
      <c r="AH11" s="4"/>
      <c r="AI11" s="4"/>
      <c r="AJ11" s="4"/>
      <c r="AK11" s="4"/>
      <c r="AL11" s="4"/>
      <c r="AM11" s="4"/>
      <c r="AN11" s="4"/>
      <c r="AO11" s="4"/>
      <c r="AP11" s="4"/>
      <c r="AQ11" s="4"/>
      <c r="AR11" s="4"/>
      <c r="AS11" s="4"/>
      <c r="AT11" s="4"/>
      <c r="AU11" s="4"/>
      <c r="AV11" s="4"/>
      <c r="AW11" s="4"/>
      <c r="AX11" s="4"/>
      <c r="AY11" s="4"/>
      <c r="AZ11" s="4"/>
      <c r="BA11" s="4"/>
      <c r="BB11" s="4"/>
    </row>
    <row r="12" spans="1:54" x14ac:dyDescent="0.25">
      <c r="A12" s="4">
        <v>4580</v>
      </c>
      <c r="B12" s="4"/>
      <c r="C12" s="4">
        <v>-979.10320338128463</v>
      </c>
      <c r="D12" s="4">
        <v>-391.45238828444673</v>
      </c>
      <c r="E12" s="4">
        <v>-111.08043570071618</v>
      </c>
      <c r="F12" s="4">
        <v>-400.47117332796341</v>
      </c>
      <c r="G12" s="4">
        <v>-67.910572173989308</v>
      </c>
      <c r="H12" s="4">
        <v>-350.81898697824562</v>
      </c>
      <c r="I12" s="4">
        <v>-86.16311791678983</v>
      </c>
      <c r="J12" s="4">
        <v>-352.50899948779357</v>
      </c>
      <c r="K12" s="4">
        <v>-66.718715948819664</v>
      </c>
      <c r="L12" s="4">
        <v>-86.448222697516698</v>
      </c>
      <c r="M12" s="4">
        <v>-11.253308080403404</v>
      </c>
      <c r="N12" s="4">
        <v>-37.904663630186327</v>
      </c>
      <c r="O12" s="4">
        <v>-1.3357058589940549</v>
      </c>
      <c r="P12" s="4">
        <v>3.1558735677055534</v>
      </c>
      <c r="Q12" s="4">
        <v>-1.6104387819083823</v>
      </c>
      <c r="R12" s="4">
        <v>-1.5127674494573866</v>
      </c>
      <c r="S12" s="4">
        <v>0.31341895527273372</v>
      </c>
      <c r="T12" s="4">
        <v>3.9700659042130759</v>
      </c>
      <c r="U12" s="4">
        <v>0.31627270638322968</v>
      </c>
      <c r="V12" s="4">
        <v>0.941838103735546</v>
      </c>
      <c r="W12" s="4">
        <v>7.7578499981307156E-2</v>
      </c>
      <c r="X12" s="4">
        <v>0.15346034674737144</v>
      </c>
      <c r="Y12" s="4">
        <v>2.4478072240068295E-2</v>
      </c>
      <c r="Z12" s="4">
        <v>2.1422418787980072E-2</v>
      </c>
      <c r="AA12" s="4">
        <v>6.627581595101989E-3</v>
      </c>
      <c r="AB12" s="4">
        <v>1.4482632007112291E-3</v>
      </c>
      <c r="AC12" s="4">
        <v>1.7105623135093195E-4</v>
      </c>
      <c r="AD12" s="4">
        <v>4.1509824778428075E-4</v>
      </c>
      <c r="AE12" s="4">
        <v>8.6588155401699123E-6</v>
      </c>
      <c r="AF12" s="4">
        <v>1.0321504690897401E-5</v>
      </c>
      <c r="AG12" s="4"/>
      <c r="AH12" s="4"/>
      <c r="AI12" s="4"/>
      <c r="AJ12" s="4"/>
      <c r="AK12" s="4"/>
      <c r="AL12" s="4"/>
      <c r="AM12" s="4"/>
      <c r="AN12" s="4"/>
      <c r="AO12" s="4"/>
      <c r="AP12" s="4"/>
      <c r="AQ12" s="4"/>
      <c r="AR12" s="4"/>
      <c r="AS12" s="4"/>
      <c r="AT12" s="4"/>
      <c r="AU12" s="4"/>
      <c r="AV12" s="4"/>
      <c r="AW12" s="4"/>
      <c r="AX12" s="4"/>
      <c r="AY12" s="4"/>
      <c r="AZ12" s="4"/>
      <c r="BA12" s="4"/>
      <c r="BB12" s="4"/>
    </row>
    <row r="13" spans="1:54" x14ac:dyDescent="0.25">
      <c r="A13" s="4">
        <v>4570</v>
      </c>
      <c r="B13" s="4"/>
      <c r="C13" s="4">
        <v>-993.62473709821745</v>
      </c>
      <c r="D13" s="4">
        <v>-373.27858922177245</v>
      </c>
      <c r="E13" s="4">
        <v>-107.83390859244248</v>
      </c>
      <c r="F13" s="4">
        <v>-395.81728165865366</v>
      </c>
      <c r="G13" s="4">
        <v>-68.34537623014522</v>
      </c>
      <c r="H13" s="4">
        <v>-359.53907835325094</v>
      </c>
      <c r="I13" s="4">
        <v>-89.933015674768384</v>
      </c>
      <c r="J13" s="4">
        <v>-374.75432993473106</v>
      </c>
      <c r="K13" s="4">
        <v>-72.251568506052024</v>
      </c>
      <c r="L13" s="4">
        <v>-95.372631724105247</v>
      </c>
      <c r="M13" s="4">
        <v>-12.649153368784111</v>
      </c>
      <c r="N13" s="4">
        <v>-43.414361479632092</v>
      </c>
      <c r="O13" s="4">
        <v>-1.5590412870308812</v>
      </c>
      <c r="P13" s="4">
        <v>3.7542174332822089</v>
      </c>
      <c r="Q13" s="4">
        <v>-1.9527410478485943</v>
      </c>
      <c r="R13" s="4">
        <v>-1.8699127150267387</v>
      </c>
      <c r="S13" s="4">
        <v>0.39497702264500989</v>
      </c>
      <c r="T13" s="4">
        <v>5.1014184770437003</v>
      </c>
      <c r="U13" s="4">
        <v>0.41443024641223919</v>
      </c>
      <c r="V13" s="4">
        <v>1.2586729674221795</v>
      </c>
      <c r="W13" s="4">
        <v>0.10574892767813246</v>
      </c>
      <c r="X13" s="4">
        <v>0.21339309128363318</v>
      </c>
      <c r="Y13" s="4">
        <v>3.4726678064911636E-2</v>
      </c>
      <c r="Z13" s="4">
        <v>3.1010536662997933E-2</v>
      </c>
      <c r="AA13" s="4">
        <v>9.7904838351053954E-3</v>
      </c>
      <c r="AB13" s="4">
        <v>2.1835295157869757E-3</v>
      </c>
      <c r="AC13" s="4">
        <v>2.6324967694280109E-4</v>
      </c>
      <c r="AD13" s="4">
        <v>6.5215793669508087E-4</v>
      </c>
      <c r="AE13" s="4">
        <v>1.3889594448036523E-5</v>
      </c>
      <c r="AF13" s="4">
        <v>1.6906754721576769E-5</v>
      </c>
      <c r="AG13" s="4"/>
      <c r="AH13" s="4"/>
      <c r="AI13" s="4"/>
      <c r="AJ13" s="4"/>
      <c r="AK13" s="4"/>
      <c r="AL13" s="4"/>
      <c r="AM13" s="4"/>
      <c r="AN13" s="4"/>
      <c r="AO13" s="4"/>
      <c r="AP13" s="4"/>
      <c r="AQ13" s="4"/>
      <c r="AR13" s="4"/>
      <c r="AS13" s="4"/>
      <c r="AT13" s="4"/>
      <c r="AU13" s="4"/>
      <c r="AV13" s="4"/>
      <c r="AW13" s="4"/>
      <c r="AX13" s="4"/>
      <c r="AY13" s="4"/>
      <c r="AZ13" s="4"/>
      <c r="BA13" s="4"/>
      <c r="BB13" s="4"/>
    </row>
    <row r="14" spans="1:54" x14ac:dyDescent="0.25">
      <c r="A14" s="4">
        <v>4560</v>
      </c>
      <c r="B14" s="4"/>
      <c r="C14" s="4">
        <v>-1003.2094283550587</v>
      </c>
      <c r="D14" s="4">
        <v>-353.33264281968025</v>
      </c>
      <c r="E14" s="4">
        <v>-103.91701789660279</v>
      </c>
      <c r="F14" s="4">
        <v>-388.37288238798749</v>
      </c>
      <c r="G14" s="4">
        <v>-68.285537857064767</v>
      </c>
      <c r="H14" s="4">
        <v>-365.82572746327361</v>
      </c>
      <c r="I14" s="4">
        <v>-93.19646128802745</v>
      </c>
      <c r="J14" s="4">
        <v>-395.56977749265729</v>
      </c>
      <c r="K14" s="4">
        <v>-77.689879585117723</v>
      </c>
      <c r="L14" s="4">
        <v>-104.47844661590133</v>
      </c>
      <c r="M14" s="4">
        <v>-14.118732948790358</v>
      </c>
      <c r="N14" s="4">
        <v>-49.379317018726013</v>
      </c>
      <c r="O14" s="4">
        <v>-1.8071461120653756</v>
      </c>
      <c r="P14" s="4">
        <v>4.4353326037010836</v>
      </c>
      <c r="Q14" s="4">
        <v>-2.3516366413479051</v>
      </c>
      <c r="R14" s="4">
        <v>-2.2956935542042669</v>
      </c>
      <c r="S14" s="4">
        <v>0.49440199731832879</v>
      </c>
      <c r="T14" s="4">
        <v>6.511251945691404</v>
      </c>
      <c r="U14" s="4">
        <v>0.53943621608611159</v>
      </c>
      <c r="V14" s="4">
        <v>1.6709644220594819</v>
      </c>
      <c r="W14" s="4">
        <v>0.14320132971300389</v>
      </c>
      <c r="X14" s="4">
        <v>0.29479490032904138</v>
      </c>
      <c r="Y14" s="4">
        <v>4.8946739095320123E-2</v>
      </c>
      <c r="Z14" s="4">
        <v>4.4600911172540343E-2</v>
      </c>
      <c r="AA14" s="4">
        <v>1.437031187154177E-2</v>
      </c>
      <c r="AB14" s="4">
        <v>3.2711692824789734E-3</v>
      </c>
      <c r="AC14" s="4">
        <v>4.0257676886882134E-4</v>
      </c>
      <c r="AD14" s="4">
        <v>1.0181839325672734E-3</v>
      </c>
      <c r="AE14" s="4">
        <v>2.2141752576297538E-5</v>
      </c>
      <c r="AF14" s="4">
        <v>2.752255476969018E-5</v>
      </c>
      <c r="AG14" s="4"/>
      <c r="AH14" s="4"/>
      <c r="AI14" s="4"/>
      <c r="AJ14" s="4"/>
      <c r="AK14" s="4"/>
      <c r="AL14" s="4"/>
      <c r="AM14" s="4"/>
      <c r="AN14" s="4"/>
      <c r="AO14" s="4"/>
      <c r="AP14" s="4"/>
      <c r="AQ14" s="4"/>
      <c r="AR14" s="4"/>
      <c r="AS14" s="4"/>
      <c r="AT14" s="4"/>
      <c r="AU14" s="4"/>
      <c r="AV14" s="4"/>
      <c r="AW14" s="4"/>
      <c r="AX14" s="4"/>
      <c r="AY14" s="4"/>
      <c r="AZ14" s="4"/>
      <c r="BA14" s="4"/>
      <c r="BB14" s="4"/>
    </row>
    <row r="15" spans="1:54" x14ac:dyDescent="0.25">
      <c r="A15" s="4">
        <v>4550</v>
      </c>
      <c r="B15" s="4"/>
      <c r="C15" s="4">
        <v>-1007.6603774897029</v>
      </c>
      <c r="D15" s="4">
        <v>-331.97852077449215</v>
      </c>
      <c r="E15" s="4">
        <v>-99.405548727763502</v>
      </c>
      <c r="F15" s="4">
        <v>-378.27953133033674</v>
      </c>
      <c r="G15" s="4">
        <v>-67.729114223665249</v>
      </c>
      <c r="H15" s="4">
        <v>-369.52754496928236</v>
      </c>
      <c r="I15" s="4">
        <v>-95.882991151740583</v>
      </c>
      <c r="J15" s="4">
        <v>-414.55197365296397</v>
      </c>
      <c r="K15" s="4">
        <v>-82.942803397005065</v>
      </c>
      <c r="L15" s="4">
        <v>-113.64347142559431</v>
      </c>
      <c r="M15" s="4">
        <v>-15.648138634864585</v>
      </c>
      <c r="N15" s="4">
        <v>-55.770865982873836</v>
      </c>
      <c r="O15" s="4">
        <v>-2.0801642217446088</v>
      </c>
      <c r="P15" s="4">
        <v>5.2037907589193511</v>
      </c>
      <c r="Q15" s="4">
        <v>-2.8125542366465162</v>
      </c>
      <c r="R15" s="4">
        <v>-2.7991745990792509</v>
      </c>
      <c r="S15" s="4">
        <v>0.61465380009242565</v>
      </c>
      <c r="T15" s="4">
        <v>8.254648855739612</v>
      </c>
      <c r="U15" s="4">
        <v>0.69744185126915259</v>
      </c>
      <c r="V15" s="4">
        <v>2.2035329755392707</v>
      </c>
      <c r="W15" s="4">
        <v>0.19263495652326787</v>
      </c>
      <c r="X15" s="4">
        <v>0.40457177310104891</v>
      </c>
      <c r="Y15" s="4">
        <v>6.8539263495191613E-2</v>
      </c>
      <c r="Z15" s="4">
        <v>6.3731272386472901E-2</v>
      </c>
      <c r="AA15" s="4">
        <v>2.0956657769556616E-2</v>
      </c>
      <c r="AB15" s="4">
        <v>4.8692296748641672E-3</v>
      </c>
      <c r="AC15" s="4">
        <v>6.1173380544468571E-4</v>
      </c>
      <c r="AD15" s="4">
        <v>1.5796189868868681E-3</v>
      </c>
      <c r="AE15" s="4">
        <v>3.507574774457661E-5</v>
      </c>
      <c r="AF15" s="4">
        <v>4.4525596373958976E-5</v>
      </c>
      <c r="AG15" s="4"/>
      <c r="AH15" s="4"/>
      <c r="AI15" s="4"/>
      <c r="AJ15" s="4"/>
      <c r="AK15" s="4"/>
      <c r="AL15" s="4"/>
      <c r="AM15" s="4"/>
      <c r="AN15" s="4"/>
      <c r="AO15" s="4"/>
      <c r="AP15" s="4"/>
      <c r="AQ15" s="4"/>
      <c r="AR15" s="4"/>
      <c r="AS15" s="4"/>
      <c r="AT15" s="4"/>
      <c r="AU15" s="4"/>
      <c r="AV15" s="4"/>
      <c r="AW15" s="4"/>
      <c r="AX15" s="4"/>
      <c r="AY15" s="4"/>
      <c r="AZ15" s="4"/>
      <c r="BA15" s="4"/>
      <c r="BB15" s="4"/>
    </row>
    <row r="16" spans="1:54" x14ac:dyDescent="0.25">
      <c r="A16" s="4">
        <v>4540</v>
      </c>
      <c r="B16" s="4"/>
      <c r="C16" s="4">
        <v>-1006.8394889001545</v>
      </c>
      <c r="D16" s="4">
        <v>-309.5926025367001</v>
      </c>
      <c r="E16" s="4">
        <v>-94.385678317472625</v>
      </c>
      <c r="F16" s="4">
        <v>-365.73418762340697</v>
      </c>
      <c r="G16" s="4">
        <v>-66.685002720409969</v>
      </c>
      <c r="H16" s="4">
        <v>-370.54669439792798</v>
      </c>
      <c r="I16" s="4">
        <v>-97.932043062144047</v>
      </c>
      <c r="J16" s="4">
        <v>-431.314037510432</v>
      </c>
      <c r="K16" s="4">
        <v>-87.916304326010831</v>
      </c>
      <c r="L16" s="4">
        <v>-122.73164564725707</v>
      </c>
      <c r="M16" s="4">
        <v>-17.220345387976938</v>
      </c>
      <c r="N16" s="4">
        <v>-62.546057581636937</v>
      </c>
      <c r="O16" s="4">
        <v>-2.3776632997426144</v>
      </c>
      <c r="P16" s="4">
        <v>6.0628953729014148</v>
      </c>
      <c r="Q16" s="4">
        <v>-3.340539047698373</v>
      </c>
      <c r="R16" s="4">
        <v>-3.3896079599072837</v>
      </c>
      <c r="S16" s="4">
        <v>0.75893204597455444</v>
      </c>
      <c r="T16" s="4">
        <v>10.39377566500209</v>
      </c>
      <c r="U16" s="4">
        <v>0.89564378566504632</v>
      </c>
      <c r="V16" s="4">
        <v>2.8863580308923842</v>
      </c>
      <c r="W16" s="4">
        <v>0.2574070540466617</v>
      </c>
      <c r="X16" s="4">
        <v>0.5515534460289746</v>
      </c>
      <c r="Y16" s="4">
        <v>9.5343423904612631E-2</v>
      </c>
      <c r="Z16" s="4">
        <v>9.047246750889526E-2</v>
      </c>
      <c r="AA16" s="4">
        <v>3.0363532938238583E-2</v>
      </c>
      <c r="AB16" s="4">
        <v>7.2013105397367707E-3</v>
      </c>
      <c r="AC16" s="4">
        <v>9.2361291474572468E-4</v>
      </c>
      <c r="AD16" s="4">
        <v>2.4350732233157425E-3</v>
      </c>
      <c r="AE16" s="4">
        <v>5.5214788142419231E-5</v>
      </c>
      <c r="AF16" s="4">
        <v>7.1582086346896179E-5</v>
      </c>
      <c r="AG16" s="4"/>
      <c r="AH16" s="4"/>
      <c r="AI16" s="4"/>
      <c r="AJ16" s="4"/>
      <c r="AK16" s="4"/>
      <c r="AL16" s="4"/>
      <c r="AM16" s="4"/>
      <c r="AN16" s="4"/>
      <c r="AO16" s="4"/>
      <c r="AP16" s="4"/>
      <c r="AQ16" s="4"/>
      <c r="AR16" s="4"/>
      <c r="AS16" s="4"/>
      <c r="AT16" s="4"/>
      <c r="AU16" s="4"/>
      <c r="AV16" s="4"/>
      <c r="AW16" s="4"/>
      <c r="AX16" s="4"/>
      <c r="AY16" s="4"/>
      <c r="AZ16" s="4"/>
      <c r="BA16" s="4"/>
      <c r="BB16" s="4"/>
    </row>
    <row r="17" spans="1:54" x14ac:dyDescent="0.25">
      <c r="A17" s="4">
        <v>4530</v>
      </c>
      <c r="B17" s="4"/>
      <c r="C17" s="4">
        <v>-1000.6682722509747</v>
      </c>
      <c r="D17" s="4">
        <v>-286.55248791280223</v>
      </c>
      <c r="E17" s="4">
        <v>-88.95120318369321</v>
      </c>
      <c r="F17" s="4">
        <v>-350.98281438772074</v>
      </c>
      <c r="G17" s="4">
        <v>-65.172735176841655</v>
      </c>
      <c r="H17" s="4">
        <v>-368.84303159863879</v>
      </c>
      <c r="I17" s="4">
        <v>-99.295183129580309</v>
      </c>
      <c r="J17" s="4">
        <v>-445.49828194482836</v>
      </c>
      <c r="K17" s="4">
        <v>-92.515772730091427</v>
      </c>
      <c r="L17" s="4">
        <v>-131.59584435474454</v>
      </c>
      <c r="M17" s="4">
        <v>-18.815362551653646</v>
      </c>
      <c r="N17" s="4">
        <v>-69.646959917444065</v>
      </c>
      <c r="O17" s="4">
        <v>-2.6985531250386532</v>
      </c>
      <c r="P17" s="4">
        <v>7.0143353688833461</v>
      </c>
      <c r="Q17" s="4">
        <v>-3.9400055000476417</v>
      </c>
      <c r="R17" s="4">
        <v>-4.0761683562017375</v>
      </c>
      <c r="S17" s="4">
        <v>0.93062991933243289</v>
      </c>
      <c r="T17" s="4">
        <v>12.99776324223726</v>
      </c>
      <c r="U17" s="4">
        <v>1.1423574965767835</v>
      </c>
      <c r="V17" s="4">
        <v>3.7552532067198436</v>
      </c>
      <c r="W17" s="4">
        <v>0.34165143651075341</v>
      </c>
      <c r="X17" s="4">
        <v>0.74692378026550099</v>
      </c>
      <c r="Y17" s="4">
        <v>0.1317522468293863</v>
      </c>
      <c r="Z17" s="4">
        <v>0.12758972141217068</v>
      </c>
      <c r="AA17" s="4">
        <v>4.3705645864759071E-2</v>
      </c>
      <c r="AB17" s="4">
        <v>1.0581261534934293E-2</v>
      </c>
      <c r="AC17" s="4">
        <v>1.3855172481948162E-3</v>
      </c>
      <c r="AD17" s="4">
        <v>3.7298042994096605E-3</v>
      </c>
      <c r="AE17" s="4">
        <v>8.6365096763518589E-5</v>
      </c>
      <c r="AF17" s="4">
        <v>1.1435456577286336E-4</v>
      </c>
      <c r="AG17" s="4"/>
      <c r="AH17" s="4"/>
      <c r="AI17" s="4"/>
      <c r="AJ17" s="4"/>
      <c r="AK17" s="4"/>
      <c r="AL17" s="4"/>
      <c r="AM17" s="4"/>
      <c r="AN17" s="4"/>
      <c r="AO17" s="4"/>
      <c r="AP17" s="4"/>
      <c r="AQ17" s="4"/>
      <c r="AR17" s="4"/>
      <c r="AS17" s="4"/>
      <c r="AT17" s="4"/>
      <c r="AU17" s="4"/>
      <c r="AV17" s="4"/>
      <c r="AW17" s="4"/>
      <c r="AX17" s="4"/>
      <c r="AY17" s="4"/>
      <c r="AZ17" s="4"/>
      <c r="BA17" s="4"/>
      <c r="BB17" s="4"/>
    </row>
    <row r="18" spans="1:54" x14ac:dyDescent="0.25">
      <c r="A18" s="4">
        <v>4520</v>
      </c>
      <c r="B18" s="4"/>
      <c r="C18" s="4">
        <v>-989.12727882206025</v>
      </c>
      <c r="D18" s="4">
        <v>-263.22630722102383</v>
      </c>
      <c r="E18" s="4">
        <v>-83.200581235381989</v>
      </c>
      <c r="F18" s="4">
        <v>-334.3123002103253</v>
      </c>
      <c r="G18" s="4">
        <v>-63.221883473189479</v>
      </c>
      <c r="H18" s="4">
        <v>-364.43621126516763</v>
      </c>
      <c r="I18" s="4">
        <v>-99.937973293781596</v>
      </c>
      <c r="J18" s="4">
        <v>-456.78859572849893</v>
      </c>
      <c r="K18" s="4">
        <v>-96.648874992286423</v>
      </c>
      <c r="L18" s="4">
        <v>-140.08139094123595</v>
      </c>
      <c r="M18" s="4">
        <v>-20.410519842491645</v>
      </c>
      <c r="N18" s="4">
        <v>-77.000460238122372</v>
      </c>
      <c r="O18" s="4">
        <v>-3.0410167883671799</v>
      </c>
      <c r="P18" s="4">
        <v>8.0578393869367932</v>
      </c>
      <c r="Q18" s="4">
        <v>-4.6144637274558304</v>
      </c>
      <c r="R18" s="4">
        <v>-4.867629354112986</v>
      </c>
      <c r="S18" s="4">
        <v>1.1332679266753876</v>
      </c>
      <c r="T18" s="4">
        <v>16.142255001478929</v>
      </c>
      <c r="U18" s="4">
        <v>1.4470648564258943</v>
      </c>
      <c r="V18" s="4">
        <v>4.8525111979610687</v>
      </c>
      <c r="W18" s="4">
        <v>0.45040533139906469</v>
      </c>
      <c r="X18" s="4">
        <v>1.0047123000990723</v>
      </c>
      <c r="Y18" s="4">
        <v>0.18085122922683172</v>
      </c>
      <c r="Z18" s="4">
        <v>0.17874364494818337</v>
      </c>
      <c r="AA18" s="4">
        <v>6.24968440301302E-2</v>
      </c>
      <c r="AB18" s="4">
        <v>1.5446085028119408E-2</v>
      </c>
      <c r="AC18" s="4">
        <v>2.0649465743666838E-3</v>
      </c>
      <c r="AD18" s="4">
        <v>5.6761650261295355E-3</v>
      </c>
      <c r="AE18" s="4">
        <v>1.3422586019827581E-4</v>
      </c>
      <c r="AF18" s="4">
        <v>1.8152565024584654E-4</v>
      </c>
      <c r="AG18" s="4"/>
      <c r="AH18" s="4"/>
      <c r="AI18" s="4"/>
      <c r="AJ18" s="4"/>
      <c r="AK18" s="4"/>
      <c r="AL18" s="4"/>
      <c r="AM18" s="4"/>
      <c r="AN18" s="4"/>
      <c r="AO18" s="4"/>
      <c r="AP18" s="4"/>
      <c r="AQ18" s="4"/>
      <c r="AR18" s="4"/>
      <c r="AS18" s="4"/>
      <c r="AT18" s="4"/>
      <c r="AU18" s="4"/>
      <c r="AV18" s="4"/>
      <c r="AW18" s="4"/>
      <c r="AX18" s="4"/>
      <c r="AY18" s="4"/>
      <c r="AZ18" s="4"/>
      <c r="BA18" s="4"/>
      <c r="BB18" s="4"/>
    </row>
    <row r="19" spans="1:54" x14ac:dyDescent="0.25">
      <c r="A19" s="4">
        <v>4510</v>
      </c>
      <c r="B19" s="4"/>
      <c r="C19" s="4">
        <v>-972.25423902213117</v>
      </c>
      <c r="D19" s="4">
        <v>-239.96295647883903</v>
      </c>
      <c r="E19" s="4">
        <v>-77.233921093054903</v>
      </c>
      <c r="F19" s="4">
        <v>-316.04107418683168</v>
      </c>
      <c r="G19" s="4">
        <v>-60.871100944179879</v>
      </c>
      <c r="H19" s="4">
        <v>-357.4056212146387</v>
      </c>
      <c r="I19" s="4">
        <v>-99.841380800212605</v>
      </c>
      <c r="J19" s="4">
        <v>-464.92192007215709</v>
      </c>
      <c r="K19" s="4">
        <v>-100.22852586427464</v>
      </c>
      <c r="L19" s="4">
        <v>-148.03019121058188</v>
      </c>
      <c r="M19" s="4">
        <v>-21.980891067887544</v>
      </c>
      <c r="N19" s="4">
        <v>-84.51864045359406</v>
      </c>
      <c r="O19" s="4">
        <v>-3.402460278937641</v>
      </c>
      <c r="P19" s="4">
        <v>9.1908476752077064</v>
      </c>
      <c r="Q19" s="4">
        <v>-5.3662279181145802</v>
      </c>
      <c r="R19" s="4">
        <v>-5.7719831495841207</v>
      </c>
      <c r="S19" s="4">
        <v>1.3704056923380881</v>
      </c>
      <c r="T19" s="4">
        <v>19.908551797318122</v>
      </c>
      <c r="U19" s="4">
        <v>1.8204253181979531</v>
      </c>
      <c r="V19" s="4">
        <v>6.2274739065010545</v>
      </c>
      <c r="W19" s="4">
        <v>0.58974069485093161</v>
      </c>
      <c r="X19" s="4">
        <v>1.3423439937236503</v>
      </c>
      <c r="Y19" s="4">
        <v>0.24658182252287555</v>
      </c>
      <c r="Z19" s="4">
        <v>0.24873751635577487</v>
      </c>
      <c r="AA19" s="4">
        <v>8.877570275428745E-2</v>
      </c>
      <c r="AB19" s="4">
        <v>2.2399314476550244E-2</v>
      </c>
      <c r="AC19" s="4">
        <v>3.0574615579725658E-3</v>
      </c>
      <c r="AD19" s="4">
        <v>8.5822147436254159E-3</v>
      </c>
      <c r="AE19" s="4">
        <v>2.0726680009076047E-4</v>
      </c>
      <c r="AF19" s="4">
        <v>2.863112774420642E-4</v>
      </c>
      <c r="AG19" s="4"/>
      <c r="AH19" s="4"/>
      <c r="AI19" s="4"/>
      <c r="AJ19" s="4"/>
      <c r="AK19" s="4"/>
      <c r="AL19" s="4"/>
      <c r="AM19" s="4"/>
      <c r="AN19" s="4"/>
      <c r="AO19" s="4"/>
      <c r="AP19" s="4"/>
      <c r="AQ19" s="4"/>
      <c r="AR19" s="4"/>
      <c r="AS19" s="4"/>
      <c r="AT19" s="4"/>
      <c r="AU19" s="4"/>
      <c r="AV19" s="4"/>
      <c r="AW19" s="4"/>
      <c r="AX19" s="4"/>
      <c r="AY19" s="4"/>
      <c r="AZ19" s="4"/>
      <c r="BA19" s="4"/>
      <c r="BB19" s="4"/>
    </row>
    <row r="20" spans="1:54" x14ac:dyDescent="0.25">
      <c r="A20" s="4">
        <v>4500</v>
      </c>
      <c r="B20" s="4"/>
      <c r="C20" s="4">
        <v>-950.1410084539441</v>
      </c>
      <c r="D20" s="4">
        <v>-217.08361847534087</v>
      </c>
      <c r="E20" s="4">
        <v>-71.150049318874707</v>
      </c>
      <c r="F20" s="4">
        <v>-296.50884788828188</v>
      </c>
      <c r="G20" s="4">
        <v>-58.166842670688403</v>
      </c>
      <c r="H20" s="4">
        <v>-347.88811431844215</v>
      </c>
      <c r="I20" s="4">
        <v>-99.002650901594365</v>
      </c>
      <c r="J20" s="4">
        <v>-469.69825087673161</v>
      </c>
      <c r="K20" s="4">
        <v>-103.17585558799618</v>
      </c>
      <c r="L20" s="4">
        <v>-155.28535466254593</v>
      </c>
      <c r="M20" s="4">
        <v>-23.499851338429771</v>
      </c>
      <c r="N20" s="4">
        <v>-92.099787841774898</v>
      </c>
      <c r="O20" s="4">
        <v>-3.7794857584722923</v>
      </c>
      <c r="P20" s="4">
        <v>10.408220796331982</v>
      </c>
      <c r="Q20" s="4">
        <v>-6.1961172713754662</v>
      </c>
      <c r="R20" s="4">
        <v>-6.7960102114289169</v>
      </c>
      <c r="S20" s="4">
        <v>1.645530790756571</v>
      </c>
      <c r="T20" s="4">
        <v>24.382286881270314</v>
      </c>
      <c r="U20" s="4">
        <v>2.274239247738651</v>
      </c>
      <c r="V20" s="4">
        <v>7.936973374325734</v>
      </c>
      <c r="W20" s="4">
        <v>0.76689454289054615</v>
      </c>
      <c r="X20" s="4">
        <v>1.781239673159148</v>
      </c>
      <c r="Y20" s="4">
        <v>0.33393093609815</v>
      </c>
      <c r="Z20" s="4">
        <v>0.34381725804976093</v>
      </c>
      <c r="AA20" s="4">
        <v>0.12526382188528251</v>
      </c>
      <c r="AB20" s="4">
        <v>3.2267585856288764E-2</v>
      </c>
      <c r="AC20" s="4">
        <v>4.4972671802139584E-3</v>
      </c>
      <c r="AD20" s="4">
        <v>1.2891380352799667E-2</v>
      </c>
      <c r="AE20" s="4">
        <v>3.179796151809501E-4</v>
      </c>
      <c r="AF20" s="4">
        <v>4.4867857872503696E-4</v>
      </c>
      <c r="AG20" s="4"/>
      <c r="AH20" s="4"/>
      <c r="AI20" s="4"/>
      <c r="AJ20" s="4"/>
      <c r="AK20" s="4"/>
      <c r="AL20" s="4"/>
      <c r="AM20" s="4"/>
      <c r="AN20" s="4"/>
      <c r="AO20" s="4"/>
      <c r="AP20" s="4"/>
      <c r="AQ20" s="4"/>
      <c r="AR20" s="4"/>
      <c r="AS20" s="4"/>
      <c r="AT20" s="4"/>
      <c r="AU20" s="4"/>
      <c r="AV20" s="4"/>
      <c r="AW20" s="4"/>
      <c r="AX20" s="4"/>
      <c r="AY20" s="4"/>
      <c r="AZ20" s="4"/>
      <c r="BA20" s="4"/>
      <c r="BB20" s="4"/>
    </row>
    <row r="21" spans="1:54" x14ac:dyDescent="0.25">
      <c r="A21" s="4">
        <v>4490</v>
      </c>
      <c r="B21" s="4"/>
      <c r="C21" s="4">
        <v>-922.92946705495535</v>
      </c>
      <c r="D21" s="4">
        <v>-194.87484690727814</v>
      </c>
      <c r="E21" s="4">
        <v>-65.043777257186946</v>
      </c>
      <c r="F21" s="4">
        <v>-276.06595234347083</v>
      </c>
      <c r="G21" s="4">
        <v>-55.161823997566408</v>
      </c>
      <c r="H21" s="4">
        <v>-336.07362134296875</v>
      </c>
      <c r="I21" s="4">
        <v>-97.435589475319361</v>
      </c>
      <c r="J21" s="4">
        <v>-470.98864591903242</v>
      </c>
      <c r="K21" s="4">
        <v>-105.42303529767142</v>
      </c>
      <c r="L21" s="4">
        <v>-161.69612992480856</v>
      </c>
      <c r="M21" s="4">
        <v>-24.939755729907048</v>
      </c>
      <c r="N21" s="4">
        <v>-99.630073628876247</v>
      </c>
      <c r="O21" s="4">
        <v>-4.167893338706782</v>
      </c>
      <c r="P21" s="4">
        <v>11.70200567615665</v>
      </c>
      <c r="Q21" s="4">
        <v>-7.103162925326715</v>
      </c>
      <c r="R21" s="4">
        <v>-7.9448094552661113</v>
      </c>
      <c r="S21" s="4">
        <v>1.9619247191497531</v>
      </c>
      <c r="T21" s="4">
        <v>29.651574155392382</v>
      </c>
      <c r="U21" s="4">
        <v>2.8213513874397824</v>
      </c>
      <c r="V21" s="4">
        <v>10.045579290021569</v>
      </c>
      <c r="W21" s="4">
        <v>0.99039098437104822</v>
      </c>
      <c r="X21" s="4">
        <v>2.3474530633202204</v>
      </c>
      <c r="Y21" s="4">
        <v>0.44914641101245417</v>
      </c>
      <c r="Z21" s="4">
        <v>0.47202990385750493</v>
      </c>
      <c r="AA21" s="4">
        <v>0.1755628244386935</v>
      </c>
      <c r="AB21" s="4">
        <v>4.6173586122035502E-2</v>
      </c>
      <c r="AC21" s="4">
        <v>6.5713092349697537E-3</v>
      </c>
      <c r="AD21" s="4">
        <v>1.9236908110173298E-2</v>
      </c>
      <c r="AE21" s="4">
        <v>4.8464643103653191E-4</v>
      </c>
      <c r="AF21" s="4">
        <v>6.9856841720826934E-4</v>
      </c>
      <c r="AG21" s="4"/>
      <c r="AH21" s="4"/>
      <c r="AI21" s="4"/>
      <c r="AJ21" s="4"/>
      <c r="AK21" s="4"/>
      <c r="AL21" s="4"/>
      <c r="AM21" s="4"/>
      <c r="AN21" s="4"/>
      <c r="AO21" s="4"/>
      <c r="AP21" s="4"/>
      <c r="AQ21" s="4"/>
      <c r="AR21" s="4"/>
      <c r="AS21" s="4"/>
      <c r="AT21" s="4"/>
      <c r="AU21" s="4"/>
      <c r="AV21" s="4"/>
      <c r="AW21" s="4"/>
      <c r="AX21" s="4"/>
      <c r="AY21" s="4"/>
      <c r="AZ21" s="4"/>
      <c r="BA21" s="4"/>
      <c r="BB21" s="4"/>
    </row>
    <row r="22" spans="1:54" x14ac:dyDescent="0.25">
      <c r="A22" s="4">
        <v>4480</v>
      </c>
      <c r="B22" s="4"/>
      <c r="C22" s="4">
        <v>-890.80654764804535</v>
      </c>
      <c r="D22" s="4">
        <v>-173.58339619684324</v>
      </c>
      <c r="E22" s="4">
        <v>-59.00347360850499</v>
      </c>
      <c r="F22" s="4">
        <v>-255.06274507900369</v>
      </c>
      <c r="G22" s="4">
        <v>-51.913289328807778</v>
      </c>
      <c r="H22" s="4">
        <v>-322.19883803096542</v>
      </c>
      <c r="I22" s="4">
        <v>-95.170231705924763</v>
      </c>
      <c r="J22" s="4">
        <v>-468.7407981963928</v>
      </c>
      <c r="K22" s="4">
        <v>-106.91582293504244</v>
      </c>
      <c r="L22" s="4">
        <v>-167.12294953249824</v>
      </c>
      <c r="M22" s="4">
        <v>-26.272719409299309</v>
      </c>
      <c r="N22" s="4">
        <v>-106.98589914799952</v>
      </c>
      <c r="O22" s="4">
        <v>-4.5627152892043767</v>
      </c>
      <c r="P22" s="4">
        <v>13.061279757465853</v>
      </c>
      <c r="Q22" s="4">
        <v>-8.0843364563065521</v>
      </c>
      <c r="R22" s="4">
        <v>-9.2213042423427574</v>
      </c>
      <c r="S22" s="4">
        <v>2.3225074940240344</v>
      </c>
      <c r="T22" s="4">
        <v>35.804589513968551</v>
      </c>
      <c r="U22" s="4">
        <v>3.4754825855063411</v>
      </c>
      <c r="V22" s="4">
        <v>12.62558043261502</v>
      </c>
      <c r="W22" s="4">
        <v>1.2701456504765143</v>
      </c>
      <c r="X22" s="4">
        <v>3.0723233417421976</v>
      </c>
      <c r="Y22" s="4">
        <v>0.5999767277197674</v>
      </c>
      <c r="Z22" s="4">
        <v>0.64364501945912167</v>
      </c>
      <c r="AA22" s="4">
        <v>0.24439623379244887</v>
      </c>
      <c r="AB22" s="4">
        <v>6.5629016843749013E-2</v>
      </c>
      <c r="AC22" s="4">
        <v>9.537850650857084E-3</v>
      </c>
      <c r="AD22" s="4">
        <v>2.8515886597343186E-2</v>
      </c>
      <c r="AE22" s="4">
        <v>7.3381571626943295E-4</v>
      </c>
      <c r="AF22" s="4">
        <v>1.0805364671105334E-3</v>
      </c>
      <c r="AG22" s="4"/>
      <c r="AH22" s="4"/>
      <c r="AI22" s="4"/>
      <c r="AJ22" s="4"/>
      <c r="AK22" s="4"/>
      <c r="AL22" s="4"/>
      <c r="AM22" s="4"/>
      <c r="AN22" s="4"/>
      <c r="AO22" s="4"/>
      <c r="AP22" s="4"/>
      <c r="AQ22" s="4"/>
      <c r="AR22" s="4"/>
      <c r="AS22" s="4"/>
      <c r="AT22" s="4"/>
      <c r="AU22" s="4"/>
      <c r="AV22" s="4"/>
      <c r="AW22" s="4"/>
      <c r="AX22" s="4"/>
      <c r="AY22" s="4"/>
      <c r="AZ22" s="4"/>
      <c r="BA22" s="4"/>
      <c r="BB22" s="4"/>
    </row>
    <row r="23" spans="1:54" x14ac:dyDescent="0.25">
      <c r="A23" s="4">
        <v>4470</v>
      </c>
      <c r="B23" s="4"/>
      <c r="C23" s="4">
        <v>-853.99859569781927</v>
      </c>
      <c r="D23" s="4">
        <v>-153.4128807825534</v>
      </c>
      <c r="E23" s="4">
        <v>-53.109027959576203</v>
      </c>
      <c r="F23" s="4">
        <v>-233.83954160919916</v>
      </c>
      <c r="G23" s="4">
        <v>-48.481171614467009</v>
      </c>
      <c r="H23" s="4">
        <v>-306.53927917009594</v>
      </c>
      <c r="I23" s="4">
        <v>-92.251904621461875</v>
      </c>
      <c r="J23" s="4">
        <v>-462.98184887614411</v>
      </c>
      <c r="K23" s="4">
        <v>-107.61569899685323</v>
      </c>
      <c r="L23" s="4">
        <v>-171.44235751475944</v>
      </c>
      <c r="M23" s="4">
        <v>-27.471471717218833</v>
      </c>
      <c r="N23" s="4">
        <v>-114.03687214795416</v>
      </c>
      <c r="O23" s="4">
        <v>-4.9582853285682535</v>
      </c>
      <c r="P23" s="4">
        <v>14.472092943591564</v>
      </c>
      <c r="Q23" s="4">
        <v>-9.1343171948264139</v>
      </c>
      <c r="R23" s="4">
        <v>-10.625744098347699</v>
      </c>
      <c r="S23" s="4">
        <v>2.7296639657655821</v>
      </c>
      <c r="T23" s="4">
        <v>42.926568767300495</v>
      </c>
      <c r="U23" s="4">
        <v>4.2509789435447125</v>
      </c>
      <c r="V23" s="4">
        <v>15.756621472505946</v>
      </c>
      <c r="W23" s="4">
        <v>1.6175412069941437</v>
      </c>
      <c r="X23" s="4">
        <v>3.9931131868796013</v>
      </c>
      <c r="Y23" s="4">
        <v>0.79593098049594135</v>
      </c>
      <c r="Z23" s="4">
        <v>0.87164130567413078</v>
      </c>
      <c r="AA23" s="4">
        <v>0.33790220561619932</v>
      </c>
      <c r="AB23" s="4">
        <v>9.2651607867401536E-2</v>
      </c>
      <c r="AC23" s="4">
        <v>1.3750681635077531E-2</v>
      </c>
      <c r="AD23" s="4">
        <v>4.1988855540559818E-2</v>
      </c>
      <c r="AE23" s="4">
        <v>1.1037358041889817E-3</v>
      </c>
      <c r="AF23" s="4">
        <v>1.6603771721542592E-3</v>
      </c>
      <c r="AG23" s="4"/>
      <c r="AH23" s="4"/>
      <c r="AI23" s="4"/>
      <c r="AJ23" s="4"/>
      <c r="AK23" s="4"/>
      <c r="AL23" s="4"/>
      <c r="AM23" s="4"/>
      <c r="AN23" s="4"/>
      <c r="AO23" s="4"/>
      <c r="AP23" s="4"/>
      <c r="AQ23" s="4"/>
      <c r="AR23" s="4"/>
      <c r="AS23" s="4"/>
      <c r="AT23" s="4"/>
      <c r="AU23" s="4"/>
      <c r="AV23" s="4"/>
      <c r="AW23" s="4"/>
      <c r="AX23" s="4"/>
      <c r="AY23" s="4"/>
      <c r="AZ23" s="4"/>
      <c r="BA23" s="4"/>
      <c r="BB23" s="4"/>
    </row>
    <row r="24" spans="1:54" x14ac:dyDescent="0.25">
      <c r="A24" s="4">
        <v>4460</v>
      </c>
      <c r="B24" s="4"/>
      <c r="C24" s="4">
        <v>-812.76528021440095</v>
      </c>
      <c r="D24" s="4">
        <v>-134.52225112262727</v>
      </c>
      <c r="E24" s="4">
        <v>-47.43026586102026</v>
      </c>
      <c r="F24" s="4">
        <v>-212.71747967534557</v>
      </c>
      <c r="G24" s="4">
        <v>-44.926226459382448</v>
      </c>
      <c r="H24" s="4">
        <v>-289.40007447640289</v>
      </c>
      <c r="I24" s="4">
        <v>-88.739723019809915</v>
      </c>
      <c r="J24" s="4">
        <v>-453.81824943949539</v>
      </c>
      <c r="K24" s="4">
        <v>-107.5014769221484</v>
      </c>
      <c r="L24" s="4">
        <v>-174.55158387753295</v>
      </c>
      <c r="M24" s="4">
        <v>-28.510250171463412</v>
      </c>
      <c r="N24" s="4">
        <v>-120.64933667517948</v>
      </c>
      <c r="O24" s="4">
        <v>-5.348344029405796</v>
      </c>
      <c r="P24" s="4">
        <v>15.917524481493386</v>
      </c>
      <c r="Q24" s="4">
        <v>-10.245316411141989</v>
      </c>
      <c r="R24" s="4">
        <v>-12.15522627518564</v>
      </c>
      <c r="S24" s="4">
        <v>3.1850567203340887</v>
      </c>
      <c r="T24" s="4">
        <v>51.096236553811245</v>
      </c>
      <c r="U24" s="4">
        <v>5.1624695948067991</v>
      </c>
      <c r="V24" s="4">
        <v>19.524914316991651</v>
      </c>
      <c r="W24" s="4">
        <v>2.0454607648773337</v>
      </c>
      <c r="X24" s="4">
        <v>5.1535927712946918</v>
      </c>
      <c r="Y24" s="4">
        <v>1.0485523442942994</v>
      </c>
      <c r="Z24" s="4">
        <v>1.1722572832890028</v>
      </c>
      <c r="AA24" s="4">
        <v>0.46398234978294728</v>
      </c>
      <c r="AB24" s="4">
        <v>0.12991049295757273</v>
      </c>
      <c r="AC24" s="4">
        <v>1.9690310415383206E-2</v>
      </c>
      <c r="AD24" s="4">
        <v>6.1412442104004518E-2</v>
      </c>
      <c r="AE24" s="4">
        <v>1.6490700283995955E-3</v>
      </c>
      <c r="AF24" s="4">
        <v>2.5344908590651119E-3</v>
      </c>
      <c r="AG24" s="4"/>
      <c r="AH24" s="4"/>
      <c r="AI24" s="4"/>
      <c r="AJ24" s="4"/>
      <c r="AK24" s="4"/>
      <c r="AL24" s="4"/>
      <c r="AM24" s="4"/>
      <c r="AN24" s="4"/>
      <c r="AO24" s="4"/>
      <c r="AP24" s="4"/>
      <c r="AQ24" s="4"/>
      <c r="AR24" s="4"/>
      <c r="AS24" s="4"/>
      <c r="AT24" s="4"/>
      <c r="AU24" s="4"/>
      <c r="AV24" s="4"/>
      <c r="AW24" s="4"/>
      <c r="AX24" s="4"/>
      <c r="AY24" s="4"/>
      <c r="AZ24" s="4"/>
      <c r="BA24" s="4"/>
      <c r="BB24" s="4"/>
    </row>
    <row r="25" spans="1:54" x14ac:dyDescent="0.25">
      <c r="A25" s="4">
        <v>4450</v>
      </c>
      <c r="B25" s="4"/>
      <c r="C25" s="4">
        <v>-767.39328568804592</v>
      </c>
      <c r="D25" s="4">
        <v>-117.02598533072087</v>
      </c>
      <c r="E25" s="4">
        <v>-42.02584946409285</v>
      </c>
      <c r="F25" s="4">
        <v>-191.99065692909301</v>
      </c>
      <c r="G25" s="4">
        <v>-41.308223313908101</v>
      </c>
      <c r="H25" s="4">
        <v>-271.10594042973611</v>
      </c>
      <c r="I25" s="4">
        <v>-84.70458804265381</v>
      </c>
      <c r="J25" s="4">
        <v>-441.43263428819608</v>
      </c>
      <c r="K25" s="4">
        <v>-106.57029622382099</v>
      </c>
      <c r="L25" s="4">
        <v>-176.37253467053492</v>
      </c>
      <c r="M25" s="4">
        <v>-29.365695379953664</v>
      </c>
      <c r="N25" s="4">
        <v>-126.69034134745654</v>
      </c>
      <c r="O25" s="4">
        <v>-5.7261794645391531</v>
      </c>
      <c r="P25" s="4">
        <v>17.37786789151297</v>
      </c>
      <c r="Q25" s="4">
        <v>-11.406976183907313</v>
      </c>
      <c r="R25" s="4">
        <v>-13.803264737706792</v>
      </c>
      <c r="S25" s="4">
        <v>3.6894322783406515</v>
      </c>
      <c r="T25" s="4">
        <v>60.381718224836149</v>
      </c>
      <c r="U25" s="4">
        <v>6.2244275574428212</v>
      </c>
      <c r="V25" s="4">
        <v>24.021945983665862</v>
      </c>
      <c r="W25" s="4">
        <v>2.5682644682571683</v>
      </c>
      <c r="X25" s="4">
        <v>6.6045199953242415</v>
      </c>
      <c r="Y25" s="4">
        <v>1.3716948850205575</v>
      </c>
      <c r="Z25" s="4">
        <v>1.5656003506199354</v>
      </c>
      <c r="AA25" s="4">
        <v>0.63271041774786807</v>
      </c>
      <c r="AB25" s="4">
        <v>0.18090433603369058</v>
      </c>
      <c r="AC25" s="4">
        <v>2.8003665637186533E-2</v>
      </c>
      <c r="AD25" s="4">
        <v>8.92140633952936E-2</v>
      </c>
      <c r="AE25" s="4">
        <v>2.447307017921712E-3</v>
      </c>
      <c r="AF25" s="4">
        <v>3.8430053759726814E-3</v>
      </c>
      <c r="AG25" s="4"/>
      <c r="AH25" s="4"/>
      <c r="AI25" s="4"/>
      <c r="AJ25" s="4"/>
      <c r="AK25" s="4"/>
      <c r="AL25" s="4"/>
      <c r="AM25" s="4"/>
      <c r="AN25" s="4"/>
      <c r="AO25" s="4"/>
      <c r="AP25" s="4"/>
      <c r="AQ25" s="4"/>
      <c r="AR25" s="4"/>
      <c r="AS25" s="4"/>
      <c r="AT25" s="4"/>
      <c r="AU25" s="4"/>
      <c r="AV25" s="4"/>
      <c r="AW25" s="4"/>
      <c r="AX25" s="4"/>
      <c r="AY25" s="4"/>
      <c r="AZ25" s="4"/>
      <c r="BA25" s="4"/>
      <c r="BB25" s="4"/>
    </row>
    <row r="26" spans="1:54" x14ac:dyDescent="0.25">
      <c r="A26" s="4">
        <v>4440</v>
      </c>
      <c r="B26" s="4"/>
      <c r="C26" s="4">
        <v>-718.1900159059669</v>
      </c>
      <c r="D26" s="4">
        <v>-100.99582022770413</v>
      </c>
      <c r="E26" s="4">
        <v>-36.942671022824086</v>
      </c>
      <c r="F26" s="4">
        <v>-171.91979897278767</v>
      </c>
      <c r="G26" s="4">
        <v>-37.684269980151569</v>
      </c>
      <c r="H26" s="4">
        <v>-251.99079498861639</v>
      </c>
      <c r="I26" s="4">
        <v>-80.226783332643578</v>
      </c>
      <c r="J26" s="4">
        <v>-426.07782242831331</v>
      </c>
      <c r="K26" s="4">
        <v>-104.83793634852293</v>
      </c>
      <c r="L26" s="4">
        <v>-176.85498553041236</v>
      </c>
      <c r="M26" s="4">
        <v>-30.017704915682728</v>
      </c>
      <c r="N26" s="4">
        <v>-132.03189559843625</v>
      </c>
      <c r="O26" s="4">
        <v>-6.0848001399378155</v>
      </c>
      <c r="P26" s="4">
        <v>18.830951566808569</v>
      </c>
      <c r="Q26" s="4">
        <v>-12.606359310333721</v>
      </c>
      <c r="R26" s="4">
        <v>-15.559436434252959</v>
      </c>
      <c r="S26" s="4">
        <v>4.2424290840621026</v>
      </c>
      <c r="T26" s="4">
        <v>70.836029676360781</v>
      </c>
      <c r="U26" s="4">
        <v>7.4506325777513185</v>
      </c>
      <c r="V26" s="4">
        <v>29.34261408471194</v>
      </c>
      <c r="W26" s="4">
        <v>3.2016935689078019</v>
      </c>
      <c r="X26" s="4">
        <v>8.4039572408950658</v>
      </c>
      <c r="Y26" s="4">
        <v>1.7817896853879966</v>
      </c>
      <c r="Z26" s="4">
        <v>2.0763024866727511</v>
      </c>
      <c r="AA26" s="4">
        <v>0.85680226230862599</v>
      </c>
      <c r="AB26" s="4">
        <v>0.25017637263211717</v>
      </c>
      <c r="AC26" s="4">
        <v>3.9553996925923166E-2</v>
      </c>
      <c r="AD26" s="4">
        <v>0.12871944977848412</v>
      </c>
      <c r="AE26" s="4">
        <v>3.6073856593434738E-3</v>
      </c>
      <c r="AF26" s="4">
        <v>5.7879798232406019E-3</v>
      </c>
      <c r="AG26" s="4"/>
      <c r="AH26" s="4"/>
      <c r="AI26" s="4"/>
      <c r="AJ26" s="4"/>
      <c r="AK26" s="4"/>
      <c r="AL26" s="4"/>
      <c r="AM26" s="4"/>
      <c r="AN26" s="4"/>
      <c r="AO26" s="4"/>
      <c r="AP26" s="4"/>
      <c r="AQ26" s="4"/>
      <c r="AR26" s="4"/>
      <c r="AS26" s="4"/>
      <c r="AT26" s="4"/>
      <c r="AU26" s="4"/>
      <c r="AV26" s="4"/>
      <c r="AW26" s="4"/>
      <c r="AX26" s="4"/>
      <c r="AY26" s="4"/>
      <c r="AZ26" s="4"/>
      <c r="BA26" s="4"/>
      <c r="BB26" s="4"/>
    </row>
    <row r="27" spans="1:54" x14ac:dyDescent="0.25">
      <c r="A27" s="4">
        <v>4430</v>
      </c>
      <c r="B27" s="4"/>
      <c r="C27" s="4">
        <v>-665.47753193397114</v>
      </c>
      <c r="D27" s="4">
        <v>-86.463787272676655</v>
      </c>
      <c r="E27" s="4">
        <v>-32.215721456527881</v>
      </c>
      <c r="F27" s="4">
        <v>-152.72762097333057</v>
      </c>
      <c r="G27" s="4">
        <v>-34.107336253149612</v>
      </c>
      <c r="H27" s="4">
        <v>-232.38748662717896</v>
      </c>
      <c r="I27" s="4">
        <v>-75.393283607520459</v>
      </c>
      <c r="J27" s="4">
        <v>-408.06821927941479</v>
      </c>
      <c r="K27" s="4">
        <v>-102.33842392324229</v>
      </c>
      <c r="L27" s="4">
        <v>-175.97879994868632</v>
      </c>
      <c r="M27" s="4">
        <v>-30.450203683805498</v>
      </c>
      <c r="N27" s="4">
        <v>-136.55533445755592</v>
      </c>
      <c r="O27" s="4">
        <v>-6.4171351272672466</v>
      </c>
      <c r="P27" s="4">
        <v>20.252595932225397</v>
      </c>
      <c r="Q27" s="4">
        <v>-13.828043850442766</v>
      </c>
      <c r="R27" s="4">
        <v>-17.409135408073098</v>
      </c>
      <c r="S27" s="4">
        <v>4.8423973517847854</v>
      </c>
      <c r="T27" s="4">
        <v>82.492286475274369</v>
      </c>
      <c r="U27" s="4">
        <v>8.8535405641248648</v>
      </c>
      <c r="V27" s="4">
        <v>35.582737508402886</v>
      </c>
      <c r="W27" s="4">
        <v>3.9626861485897544</v>
      </c>
      <c r="X27" s="4">
        <v>10.617355892603728</v>
      </c>
      <c r="Y27" s="4">
        <v>2.2980820095665551</v>
      </c>
      <c r="Z27" s="4">
        <v>2.7342033860138972</v>
      </c>
      <c r="AA27" s="4">
        <v>1.1521450122084584</v>
      </c>
      <c r="AB27" s="4">
        <v>0.34356988849203962</v>
      </c>
      <c r="AC27" s="4">
        <v>5.5482759111587815E-2</v>
      </c>
      <c r="AD27" s="4">
        <v>0.18444548785554296</v>
      </c>
      <c r="AE27" s="4">
        <v>5.2811761615030491E-3</v>
      </c>
      <c r="AF27" s="4">
        <v>8.6584085149290189E-3</v>
      </c>
      <c r="AG27" s="4"/>
      <c r="AH27" s="4"/>
      <c r="AI27" s="4"/>
      <c r="AJ27" s="4"/>
      <c r="AK27" s="4"/>
      <c r="AL27" s="4"/>
      <c r="AM27" s="4"/>
      <c r="AN27" s="4"/>
      <c r="AO27" s="4"/>
      <c r="AP27" s="4"/>
      <c r="AQ27" s="4"/>
      <c r="AR27" s="4"/>
      <c r="AS27" s="4"/>
      <c r="AT27" s="4"/>
      <c r="AU27" s="4"/>
      <c r="AV27" s="4"/>
      <c r="AW27" s="4"/>
      <c r="AX27" s="4"/>
      <c r="AY27" s="4"/>
      <c r="AZ27" s="4"/>
      <c r="BA27" s="4"/>
      <c r="BB27" s="4"/>
    </row>
    <row r="28" spans="1:54" x14ac:dyDescent="0.25">
      <c r="A28" s="4">
        <v>4420</v>
      </c>
      <c r="B28" s="4"/>
      <c r="C28" s="4">
        <v>-609.5869281912868</v>
      </c>
      <c r="D28" s="4">
        <v>-73.42627946877549</v>
      </c>
      <c r="E28" s="4">
        <v>-27.868394137647989</v>
      </c>
      <c r="F28" s="4">
        <v>-134.59594910772029</v>
      </c>
      <c r="G28" s="4">
        <v>-30.625028770271168</v>
      </c>
      <c r="H28" s="4">
        <v>-212.61808573585478</v>
      </c>
      <c r="I28" s="4">
        <v>-70.294903296066252</v>
      </c>
      <c r="J28" s="4">
        <v>-387.76902674962025</v>
      </c>
      <c r="K28" s="4">
        <v>-99.122943288119558</v>
      </c>
      <c r="L28" s="4">
        <v>-173.75503944588465</v>
      </c>
      <c r="M28" s="4">
        <v>-30.651790414767664</v>
      </c>
      <c r="N28" s="4">
        <v>-140.15559229692127</v>
      </c>
      <c r="O28" s="4">
        <v>-6.7162542742561726</v>
      </c>
      <c r="P28" s="4">
        <v>21.617200392489618</v>
      </c>
      <c r="Q28" s="4">
        <v>-15.054331818000545</v>
      </c>
      <c r="R28" s="4">
        <v>-19.33346408621944</v>
      </c>
      <c r="S28" s="4">
        <v>5.4862420416856272</v>
      </c>
      <c r="T28" s="4">
        <v>95.358820582989907</v>
      </c>
      <c r="U28" s="4">
        <v>10.443570977748399</v>
      </c>
      <c r="V28" s="4">
        <v>42.835914555230545</v>
      </c>
      <c r="W28" s="4">
        <v>4.8690895892349362</v>
      </c>
      <c r="X28" s="4">
        <v>13.317332886725913</v>
      </c>
      <c r="Y28" s="4">
        <v>2.9428168282112068</v>
      </c>
      <c r="Z28" s="4">
        <v>3.5750329125104758</v>
      </c>
      <c r="AA28" s="4">
        <v>1.5383786802449158</v>
      </c>
      <c r="AB28" s="4">
        <v>0.46852646369604761</v>
      </c>
      <c r="AC28" s="4">
        <v>7.728527250440774E-2</v>
      </c>
      <c r="AD28" s="4">
        <v>0.26247251463170779</v>
      </c>
      <c r="AE28" s="4">
        <v>7.6785942450172682E-3</v>
      </c>
      <c r="AF28" s="4">
        <v>1.2864215403125769E-2</v>
      </c>
      <c r="AG28" s="4"/>
      <c r="AH28" s="4"/>
      <c r="AI28" s="4"/>
      <c r="AJ28" s="4"/>
      <c r="AK28" s="4"/>
      <c r="AL28" s="4"/>
      <c r="AM28" s="4"/>
      <c r="AN28" s="4"/>
      <c r="AO28" s="4"/>
      <c r="AP28" s="4"/>
      <c r="AQ28" s="4"/>
      <c r="AR28" s="4"/>
      <c r="AS28" s="4"/>
      <c r="AT28" s="4"/>
      <c r="AU28" s="4"/>
      <c r="AV28" s="4"/>
      <c r="AW28" s="4"/>
      <c r="AX28" s="4"/>
      <c r="AY28" s="4"/>
      <c r="AZ28" s="4"/>
      <c r="BA28" s="4"/>
      <c r="BB28" s="4"/>
    </row>
    <row r="29" spans="1:54" x14ac:dyDescent="0.25">
      <c r="A29" s="4">
        <v>4410</v>
      </c>
      <c r="B29" s="4"/>
      <c r="C29" s="4">
        <v>-550.85332259691745</v>
      </c>
      <c r="D29" s="4">
        <v>-61.84885552997693</v>
      </c>
      <c r="E29" s="4">
        <v>-23.913166275627876</v>
      </c>
      <c r="F29" s="4">
        <v>-117.66457437154337</v>
      </c>
      <c r="G29" s="4">
        <v>-27.278653126330198</v>
      </c>
      <c r="H29" s="4">
        <v>-192.98513751964495</v>
      </c>
      <c r="I29" s="4">
        <v>-65.023417833147263</v>
      </c>
      <c r="J29" s="4">
        <v>-365.58378205753741</v>
      </c>
      <c r="K29" s="4">
        <v>-95.258097527036639</v>
      </c>
      <c r="L29" s="4">
        <v>-170.22588870945074</v>
      </c>
      <c r="M29" s="4">
        <v>-30.616224670037273</v>
      </c>
      <c r="N29" s="4">
        <v>-142.74517692389244</v>
      </c>
      <c r="O29" s="4">
        <v>-6.9755995918591465</v>
      </c>
      <c r="P29" s="4">
        <v>22.898445154953979</v>
      </c>
      <c r="Q29" s="4">
        <v>-16.26557624102443</v>
      </c>
      <c r="R29" s="4">
        <v>-21.309287702139173</v>
      </c>
      <c r="S29" s="4">
        <v>6.1693009076272673</v>
      </c>
      <c r="T29" s="4">
        <v>109.41443702275592</v>
      </c>
      <c r="U29" s="4">
        <v>12.228331127428621</v>
      </c>
      <c r="V29" s="4">
        <v>51.189733883200773</v>
      </c>
      <c r="W29" s="4">
        <v>5.9392571626708488</v>
      </c>
      <c r="X29" s="4">
        <v>16.58305983919146</v>
      </c>
      <c r="Y29" s="4">
        <v>3.7413457808368138</v>
      </c>
      <c r="Z29" s="4">
        <v>4.6410546573689242</v>
      </c>
      <c r="AA29" s="4">
        <v>2.0395173275943987</v>
      </c>
      <c r="AB29" s="4">
        <v>0.6344274283423158</v>
      </c>
      <c r="AC29" s="4">
        <v>0.10690182270510459</v>
      </c>
      <c r="AD29" s="4">
        <v>0.37091151512281778</v>
      </c>
      <c r="AE29" s="4">
        <v>1.1087269803778206E-2</v>
      </c>
      <c r="AF29" s="4">
        <v>1.8981985810106749E-2</v>
      </c>
      <c r="AG29" s="4"/>
      <c r="AH29" s="4"/>
      <c r="AI29" s="4"/>
      <c r="AJ29" s="4"/>
      <c r="AK29" s="4"/>
      <c r="AL29" s="4"/>
      <c r="AM29" s="4"/>
      <c r="AN29" s="4"/>
      <c r="AO29" s="4"/>
      <c r="AP29" s="4"/>
      <c r="AQ29" s="4"/>
      <c r="AR29" s="4"/>
      <c r="AS29" s="4"/>
      <c r="AT29" s="4"/>
      <c r="AU29" s="4"/>
      <c r="AV29" s="4"/>
      <c r="AW29" s="4"/>
      <c r="AX29" s="4"/>
      <c r="AY29" s="4"/>
      <c r="AZ29" s="4"/>
      <c r="BA29" s="4"/>
      <c r="BB29" s="4"/>
    </row>
    <row r="30" spans="1:54" x14ac:dyDescent="0.25">
      <c r="A30" s="4">
        <v>4400</v>
      </c>
      <c r="B30" s="4"/>
      <c r="C30" s="4">
        <v>-489.61159996351398</v>
      </c>
      <c r="D30" s="4">
        <v>-51.671486513684904</v>
      </c>
      <c r="E30" s="4">
        <v>-20.352587465879392</v>
      </c>
      <c r="F30" s="4">
        <v>-102.03172661603563</v>
      </c>
      <c r="G30" s="4">
        <v>-24.102582202151449</v>
      </c>
      <c r="H30" s="4">
        <v>-173.76420532769436</v>
      </c>
      <c r="I30" s="4">
        <v>-59.668787129736842</v>
      </c>
      <c r="J30" s="4">
        <v>-341.94082577685276</v>
      </c>
      <c r="K30" s="4">
        <v>-90.823602026302993</v>
      </c>
      <c r="L30" s="4">
        <v>-165.46338105292523</v>
      </c>
      <c r="M30" s="4">
        <v>-30.342725965059291</v>
      </c>
      <c r="N30" s="4">
        <v>-144.25763893226687</v>
      </c>
      <c r="O30" s="4">
        <v>-7.1892175472440405</v>
      </c>
      <c r="P30" s="4">
        <v>24.070084920575582</v>
      </c>
      <c r="Q30" s="4">
        <v>-17.440624535349933</v>
      </c>
      <c r="R30" s="4">
        <v>-23.309472165132867</v>
      </c>
      <c r="S30" s="4">
        <v>6.8852695430535986</v>
      </c>
      <c r="T30" s="4">
        <v>124.60407995425976</v>
      </c>
      <c r="U30" s="4">
        <v>14.211804313990285</v>
      </c>
      <c r="V30" s="4">
        <v>60.721384725839577</v>
      </c>
      <c r="W30" s="4">
        <v>7.1915199178128155</v>
      </c>
      <c r="X30" s="4">
        <v>20.499186202545953</v>
      </c>
      <c r="Y30" s="4">
        <v>4.7221249687173641</v>
      </c>
      <c r="Z30" s="4">
        <v>5.9816214830153003</v>
      </c>
      <c r="AA30" s="4">
        <v>2.6845894096287539</v>
      </c>
      <c r="AB30" s="4">
        <v>0.85297627151479305</v>
      </c>
      <c r="AC30" s="4">
        <v>0.14682554776991688</v>
      </c>
      <c r="AD30" s="4">
        <v>0.52048241495915515</v>
      </c>
      <c r="AE30" s="4">
        <v>1.5897836041059002E-2</v>
      </c>
      <c r="AF30" s="4">
        <v>2.7815819564622087E-2</v>
      </c>
      <c r="AG30" s="4"/>
      <c r="AH30" s="4"/>
      <c r="AI30" s="4"/>
      <c r="AJ30" s="4"/>
      <c r="AK30" s="4"/>
      <c r="AL30" s="4"/>
      <c r="AM30" s="4"/>
      <c r="AN30" s="4"/>
      <c r="AO30" s="4"/>
      <c r="AP30" s="4"/>
      <c r="AQ30" s="4"/>
      <c r="AR30" s="4"/>
      <c r="AS30" s="4"/>
      <c r="AT30" s="4"/>
      <c r="AU30" s="4"/>
      <c r="AV30" s="4"/>
      <c r="AW30" s="4"/>
      <c r="AX30" s="4"/>
      <c r="AY30" s="4"/>
      <c r="AZ30" s="4"/>
      <c r="BA30" s="4"/>
      <c r="BB30" s="4"/>
    </row>
    <row r="31" spans="1:54" x14ac:dyDescent="0.25">
      <c r="A31" s="4">
        <v>4390</v>
      </c>
      <c r="B31" s="4"/>
      <c r="C31" s="4">
        <v>-426.19300354410314</v>
      </c>
      <c r="D31" s="4">
        <v>-42.813965713042094</v>
      </c>
      <c r="E31" s="4">
        <v>-17.180497497492023</v>
      </c>
      <c r="F31" s="4">
        <v>-87.755985823712592</v>
      </c>
      <c r="G31" s="4">
        <v>-21.123932639702517</v>
      </c>
      <c r="H31" s="4">
        <v>-155.19794747579971</v>
      </c>
      <c r="I31" s="4">
        <v>-54.316600046183538</v>
      </c>
      <c r="J31" s="4">
        <v>-317.2793420903368</v>
      </c>
      <c r="K31" s="4">
        <v>-85.909522500123359</v>
      </c>
      <c r="L31" s="4">
        <v>-159.56697413191472</v>
      </c>
      <c r="M31" s="4">
        <v>-29.836065910450742</v>
      </c>
      <c r="N31" s="4">
        <v>-144.6503479706044</v>
      </c>
      <c r="O31" s="4">
        <v>-7.3519811669966719</v>
      </c>
      <c r="P31" s="4">
        <v>25.106803996354671</v>
      </c>
      <c r="Q31" s="4">
        <v>-18.557369198357502</v>
      </c>
      <c r="R31" s="4">
        <v>-25.303317853509078</v>
      </c>
      <c r="S31" s="4">
        <v>7.6261845264576387</v>
      </c>
      <c r="T31" s="4">
        <v>140.83520353935816</v>
      </c>
      <c r="U31" s="4">
        <v>16.39353665467916</v>
      </c>
      <c r="V31" s="4">
        <v>71.492760739585904</v>
      </c>
      <c r="W31" s="4">
        <v>8.6435305061682222</v>
      </c>
      <c r="X31" s="4">
        <v>25.154224742335828</v>
      </c>
      <c r="Y31" s="4">
        <v>5.9165703386431696</v>
      </c>
      <c r="Z31" s="4">
        <v>7.6535828513795963</v>
      </c>
      <c r="AA31" s="4">
        <v>3.5082681207608575</v>
      </c>
      <c r="AB31" s="4">
        <v>1.1386161084422088</v>
      </c>
      <c r="AC31" s="4">
        <v>0.20022790196384158</v>
      </c>
      <c r="AD31" s="4">
        <v>0.72521947331247893</v>
      </c>
      <c r="AE31" s="4">
        <v>2.2636037249085344E-2</v>
      </c>
      <c r="AF31" s="4">
        <v>4.0477393328859176E-2</v>
      </c>
      <c r="AG31" s="4"/>
      <c r="AH31" s="4"/>
      <c r="AI31" s="4"/>
      <c r="AJ31" s="4"/>
      <c r="AK31" s="4"/>
      <c r="AL31" s="4"/>
      <c r="AM31" s="4"/>
      <c r="AN31" s="4"/>
      <c r="AO31" s="4"/>
      <c r="AP31" s="4"/>
      <c r="AQ31" s="4"/>
      <c r="AR31" s="4"/>
      <c r="AS31" s="4"/>
      <c r="AT31" s="4"/>
      <c r="AU31" s="4"/>
      <c r="AV31" s="4"/>
      <c r="AW31" s="4"/>
      <c r="AX31" s="4"/>
      <c r="AY31" s="4"/>
      <c r="AZ31" s="4"/>
      <c r="BA31" s="4"/>
      <c r="BB31" s="4"/>
    </row>
    <row r="32" spans="1:54" x14ac:dyDescent="0.25">
      <c r="A32" s="4">
        <v>4380</v>
      </c>
      <c r="B32" s="4"/>
      <c r="C32" s="4">
        <v>-360.9226199565561</v>
      </c>
      <c r="D32" s="4">
        <v>-35.181231869053754</v>
      </c>
      <c r="E32" s="4">
        <v>-14.383393286508507</v>
      </c>
      <c r="F32" s="4">
        <v>-74.85939395874567</v>
      </c>
      <c r="G32" s="4">
        <v>-18.362535583885066</v>
      </c>
      <c r="H32" s="4">
        <v>-137.4918755950869</v>
      </c>
      <c r="I32" s="4">
        <v>-49.045841385681214</v>
      </c>
      <c r="J32" s="4">
        <v>-292.03561700631644</v>
      </c>
      <c r="K32" s="4">
        <v>-80.613192354516229</v>
      </c>
      <c r="L32" s="4">
        <v>-152.66008826720673</v>
      </c>
      <c r="M32" s="4">
        <v>-29.106445078558007</v>
      </c>
      <c r="N32" s="4">
        <v>-143.9064171635776</v>
      </c>
      <c r="O32" s="4">
        <v>-7.4597906801055336</v>
      </c>
      <c r="P32" s="4">
        <v>25.985096204850361</v>
      </c>
      <c r="Q32" s="4">
        <v>-19.59338966792507</v>
      </c>
      <c r="R32" s="4">
        <v>-27.257192041878909</v>
      </c>
      <c r="S32" s="4">
        <v>8.3824740589759674</v>
      </c>
      <c r="T32" s="4">
        <v>157.97515352717747</v>
      </c>
      <c r="U32" s="4">
        <v>18.767864549500441</v>
      </c>
      <c r="V32" s="4">
        <v>83.54520437966417</v>
      </c>
      <c r="W32" s="4">
        <v>10.311482714497519</v>
      </c>
      <c r="X32" s="4">
        <v>30.638341606716949</v>
      </c>
      <c r="Y32" s="4">
        <v>7.3587363923059694</v>
      </c>
      <c r="Z32" s="4">
        <v>9.7214733368142721</v>
      </c>
      <c r="AA32" s="4">
        <v>4.5514526879094319</v>
      </c>
      <c r="AB32" s="4">
        <v>1.5089716731531388</v>
      </c>
      <c r="AC32" s="4">
        <v>0.27110162607127308</v>
      </c>
      <c r="AD32" s="4">
        <v>1.0033182519551671</v>
      </c>
      <c r="AE32" s="4">
        <v>3.2002954957030434E-2</v>
      </c>
      <c r="AF32" s="4">
        <v>5.8490061383953101E-2</v>
      </c>
      <c r="AG32" s="4"/>
      <c r="AH32" s="4"/>
      <c r="AI32" s="4"/>
      <c r="AJ32" s="4"/>
      <c r="AK32" s="4"/>
      <c r="AL32" s="4"/>
      <c r="AM32" s="4"/>
      <c r="AN32" s="4"/>
      <c r="AO32" s="4"/>
      <c r="AP32" s="4"/>
      <c r="AQ32" s="4"/>
      <c r="AR32" s="4"/>
      <c r="AS32" s="4"/>
      <c r="AT32" s="4"/>
      <c r="AU32" s="4"/>
      <c r="AV32" s="4"/>
      <c r="AW32" s="4"/>
      <c r="AX32" s="4"/>
      <c r="AY32" s="4"/>
      <c r="AZ32" s="4"/>
      <c r="BA32" s="4"/>
      <c r="BB32" s="4"/>
    </row>
    <row r="33" spans="1:54" x14ac:dyDescent="0.25">
      <c r="A33" s="4">
        <v>4370</v>
      </c>
      <c r="B33" s="4"/>
      <c r="C33" s="4">
        <v>-294.11775031626695</v>
      </c>
      <c r="D33" s="4">
        <v>-28.668395114474958</v>
      </c>
      <c r="E33" s="4">
        <v>-11.941867381244704</v>
      </c>
      <c r="F33" s="4">
        <v>-63.331496076444282</v>
      </c>
      <c r="G33" s="4">
        <v>-15.831174140188711</v>
      </c>
      <c r="H33" s="4">
        <v>-120.81184519648019</v>
      </c>
      <c r="I33" s="4">
        <v>-43.927060430909876</v>
      </c>
      <c r="J33" s="4">
        <v>-266.63012408716025</v>
      </c>
      <c r="K33" s="4">
        <v>-75.035958683022656</v>
      </c>
      <c r="L33" s="4">
        <v>-144.88577560967451</v>
      </c>
      <c r="M33" s="4">
        <v>-28.169157908316127</v>
      </c>
      <c r="N33" s="4">
        <v>-142.03565791130509</v>
      </c>
      <c r="O33" s="4">
        <v>-7.5097419661639533</v>
      </c>
      <c r="P33" s="4">
        <v>26.684128623827913</v>
      </c>
      <c r="Q33" s="4">
        <v>-20.526662307832449</v>
      </c>
      <c r="R33" s="4">
        <v>-29.135351439697427</v>
      </c>
      <c r="S33" s="4">
        <v>9.1430828796750294</v>
      </c>
      <c r="T33" s="4">
        <v>175.84985698207851</v>
      </c>
      <c r="U33" s="4">
        <v>21.323230414363405</v>
      </c>
      <c r="V33" s="4">
        <v>96.894092831552115</v>
      </c>
      <c r="W33" s="4">
        <v>12.209219128744026</v>
      </c>
      <c r="X33" s="4">
        <v>37.04051530007424</v>
      </c>
      <c r="Y33" s="4">
        <v>9.0847851261486721</v>
      </c>
      <c r="Z33" s="4">
        <v>12.257403112658452</v>
      </c>
      <c r="AA33" s="4">
        <v>5.8617510787044687</v>
      </c>
      <c r="AB33" s="4">
        <v>1.9852996655109842</v>
      </c>
      <c r="AC33" s="4">
        <v>0.3644199404036223</v>
      </c>
      <c r="AD33" s="4">
        <v>1.3781352819920052</v>
      </c>
      <c r="AE33" s="4">
        <v>4.4924698982665566E-2</v>
      </c>
      <c r="AF33" s="4">
        <v>8.3922555664857623E-2</v>
      </c>
      <c r="AG33" s="4"/>
      <c r="AH33" s="4"/>
      <c r="AI33" s="4"/>
      <c r="AJ33" s="4"/>
      <c r="AK33" s="4"/>
      <c r="AL33" s="4"/>
      <c r="AM33" s="4"/>
      <c r="AN33" s="4"/>
      <c r="AO33" s="4"/>
      <c r="AP33" s="4"/>
      <c r="AQ33" s="4"/>
      <c r="AR33" s="4"/>
      <c r="AS33" s="4"/>
      <c r="AT33" s="4"/>
      <c r="AU33" s="4"/>
      <c r="AV33" s="4"/>
      <c r="AW33" s="4"/>
      <c r="AX33" s="4"/>
      <c r="AY33" s="4"/>
      <c r="AZ33" s="4"/>
      <c r="BA33" s="4"/>
      <c r="BB33" s="4"/>
    </row>
    <row r="34" spans="1:54" x14ac:dyDescent="0.25">
      <c r="A34" s="4">
        <v>4360</v>
      </c>
      <c r="B34" s="4"/>
      <c r="C34" s="4">
        <v>-226.08710851438161</v>
      </c>
      <c r="D34" s="4">
        <v>-23.165300660301568</v>
      </c>
      <c r="E34" s="4">
        <v>-9.8320471384401262</v>
      </c>
      <c r="F34" s="4">
        <v>-53.134024045131312</v>
      </c>
      <c r="G34" s="4">
        <v>-13.536049179889682</v>
      </c>
      <c r="H34" s="4">
        <v>-105.28323607676126</v>
      </c>
      <c r="I34" s="4">
        <v>-39.020994135032936</v>
      </c>
      <c r="J34" s="4">
        <v>-241.45597575877565</v>
      </c>
      <c r="K34" s="4">
        <v>-69.279911220605015</v>
      </c>
      <c r="L34" s="4">
        <v>-136.40173381488816</v>
      </c>
      <c r="M34" s="4">
        <v>-27.044060570998298</v>
      </c>
      <c r="N34" s="4">
        <v>-139.074497293143</v>
      </c>
      <c r="O34" s="4">
        <v>-7.5002533291808051</v>
      </c>
      <c r="P34" s="4">
        <v>27.186546159059571</v>
      </c>
      <c r="Q34" s="4">
        <v>-21.33630941503608</v>
      </c>
      <c r="R34" s="4">
        <v>-30.90093426776793</v>
      </c>
      <c r="S34" s="4">
        <v>9.8956747988119229</v>
      </c>
      <c r="T34" s="4">
        <v>194.24408729938514</v>
      </c>
      <c r="U34" s="4">
        <v>24.041637762691266</v>
      </c>
      <c r="V34" s="4">
        <v>111.52351831717785</v>
      </c>
      <c r="W34" s="4">
        <v>14.347249226077297</v>
      </c>
      <c r="X34" s="4">
        <v>44.445059405486433</v>
      </c>
      <c r="Y34" s="4">
        <v>11.132216043538437</v>
      </c>
      <c r="Z34" s="4">
        <v>15.340565688232555</v>
      </c>
      <c r="AA34" s="4">
        <v>7.4938041582720265</v>
      </c>
      <c r="AB34" s="4">
        <v>2.5929247376952991</v>
      </c>
      <c r="AC34" s="4">
        <v>0.48630906566739163</v>
      </c>
      <c r="AD34" s="4">
        <v>1.879345847919019</v>
      </c>
      <c r="AE34" s="4">
        <v>6.2612871479896581E-2</v>
      </c>
      <c r="AF34" s="4">
        <v>0.11955849569464896</v>
      </c>
      <c r="AG34" s="4"/>
      <c r="AH34" s="4"/>
      <c r="AI34" s="4"/>
      <c r="AJ34" s="4"/>
      <c r="AK34" s="4"/>
      <c r="AL34" s="4"/>
      <c r="AM34" s="4"/>
      <c r="AN34" s="4"/>
      <c r="AO34" s="4"/>
      <c r="AP34" s="4"/>
      <c r="AQ34" s="4"/>
      <c r="AR34" s="4"/>
      <c r="AS34" s="4"/>
      <c r="AT34" s="4"/>
      <c r="AU34" s="4"/>
      <c r="AV34" s="4"/>
      <c r="AW34" s="4"/>
      <c r="AX34" s="4"/>
      <c r="AY34" s="4"/>
      <c r="AZ34" s="4"/>
      <c r="BA34" s="4"/>
      <c r="BB34" s="4"/>
    </row>
    <row r="35" spans="1:54" x14ac:dyDescent="0.25">
      <c r="A35" s="4">
        <v>4350</v>
      </c>
      <c r="B35" s="4"/>
      <c r="C35" s="4">
        <v>-157.13073971983229</v>
      </c>
      <c r="D35" s="4">
        <v>-18.560513323315675</v>
      </c>
      <c r="E35" s="4">
        <v>-8.0269734585650863</v>
      </c>
      <c r="F35" s="4">
        <v>-44.205939104747671</v>
      </c>
      <c r="G35" s="4">
        <v>-11.477427603453256</v>
      </c>
      <c r="H35" s="4">
        <v>-90.99169723814731</v>
      </c>
      <c r="I35" s="4">
        <v>-34.377670678716505</v>
      </c>
      <c r="J35" s="4">
        <v>-216.86917774292979</v>
      </c>
      <c r="K35" s="4">
        <v>-63.444744077269547</v>
      </c>
      <c r="L35" s="4">
        <v>-127.37490974293681</v>
      </c>
      <c r="M35" s="4">
        <v>-25.754867516872515</v>
      </c>
      <c r="N35" s="4">
        <v>-135.08484609555026</v>
      </c>
      <c r="O35" s="4">
        <v>-7.4311430426915877</v>
      </c>
      <c r="P35" s="4">
        <v>27.479174566880467</v>
      </c>
      <c r="Q35" s="4">
        <v>-22.003353427459722</v>
      </c>
      <c r="R35" s="4">
        <v>-32.51708923483497</v>
      </c>
      <c r="S35" s="4">
        <v>10.626912045506224</v>
      </c>
      <c r="T35" s="4">
        <v>212.90351825851465</v>
      </c>
      <c r="U35" s="4">
        <v>26.898297273350362</v>
      </c>
      <c r="V35" s="4">
        <v>127.38136045021393</v>
      </c>
      <c r="W35" s="4">
        <v>16.73171078612507</v>
      </c>
      <c r="X35" s="4">
        <v>52.927542730730437</v>
      </c>
      <c r="Y35" s="4">
        <v>13.538835276470561</v>
      </c>
      <c r="Z35" s="4">
        <v>19.056277218184992</v>
      </c>
      <c r="AA35" s="4">
        <v>9.5093818487321062</v>
      </c>
      <c r="AB35" s="4">
        <v>3.3616311749688652</v>
      </c>
      <c r="AC35" s="4">
        <v>0.64422914683590227</v>
      </c>
      <c r="AD35" s="4">
        <v>2.5442567325060375</v>
      </c>
      <c r="AE35" s="4">
        <v>8.663695172769427E-2</v>
      </c>
      <c r="AF35" s="4">
        <v>0.16910838707877049</v>
      </c>
      <c r="AG35" s="4"/>
      <c r="AH35" s="4"/>
      <c r="AI35" s="4"/>
      <c r="AJ35" s="4"/>
      <c r="AK35" s="4"/>
      <c r="AL35" s="4"/>
      <c r="AM35" s="4"/>
      <c r="AN35" s="4"/>
      <c r="AO35" s="4"/>
      <c r="AP35" s="4"/>
      <c r="AQ35" s="4"/>
      <c r="AR35" s="4"/>
      <c r="AS35" s="4"/>
      <c r="AT35" s="4"/>
      <c r="AU35" s="4"/>
      <c r="AV35" s="4"/>
      <c r="AW35" s="4"/>
      <c r="AX35" s="4"/>
      <c r="AY35" s="4"/>
      <c r="AZ35" s="4"/>
      <c r="BA35" s="4"/>
      <c r="BB35" s="4"/>
    </row>
    <row r="36" spans="1:54" x14ac:dyDescent="0.25">
      <c r="A36" s="4">
        <v>4340</v>
      </c>
      <c r="B36" s="4"/>
      <c r="C36" s="4">
        <v>-87.540511935747475</v>
      </c>
      <c r="D36" s="4">
        <v>-14.74465317078684</v>
      </c>
      <c r="E36" s="4">
        <v>-6.4978698555169387</v>
      </c>
      <c r="F36" s="4">
        <v>-36.468568258113031</v>
      </c>
      <c r="G36" s="4">
        <v>-9.6504231109118894</v>
      </c>
      <c r="H36" s="4">
        <v>-77.985262795774531</v>
      </c>
      <c r="I36" s="4">
        <v>-30.035992146265482</v>
      </c>
      <c r="J36" s="4">
        <v>-193.18100274884347</v>
      </c>
      <c r="K36" s="4">
        <v>-57.624886610957752</v>
      </c>
      <c r="L36" s="4">
        <v>-117.97595488214404</v>
      </c>
      <c r="M36" s="4">
        <v>-24.328311641489698</v>
      </c>
      <c r="N36" s="4">
        <v>-130.15196327004301</v>
      </c>
      <c r="O36" s="4">
        <v>-7.3036526022496266</v>
      </c>
      <c r="P36" s="4">
        <v>27.553582942756236</v>
      </c>
      <c r="Q36" s="4">
        <v>-22.511439616460169</v>
      </c>
      <c r="R36" s="4">
        <v>-33.948197599736289</v>
      </c>
      <c r="S36" s="4">
        <v>11.322806002791005</v>
      </c>
      <c r="T36" s="4">
        <v>231.5387047597857</v>
      </c>
      <c r="U36" s="4">
        <v>29.861512562021655</v>
      </c>
      <c r="V36" s="4">
        <v>144.37508124557405</v>
      </c>
      <c r="W36" s="4">
        <v>19.363318148027002</v>
      </c>
      <c r="X36" s="4">
        <v>62.550186674067049</v>
      </c>
      <c r="Y36" s="4">
        <v>16.34145264535255</v>
      </c>
      <c r="Z36" s="4">
        <v>23.494466812851993</v>
      </c>
      <c r="AA36" s="4">
        <v>11.977174445252077</v>
      </c>
      <c r="AB36" s="4">
        <v>4.3259727763285181</v>
      </c>
      <c r="AC36" s="4">
        <v>0.8471562158570507</v>
      </c>
      <c r="AD36" s="4">
        <v>3.4192588403989124</v>
      </c>
      <c r="AE36" s="4">
        <v>0.11900942543897759</v>
      </c>
      <c r="AF36" s="4">
        <v>0.23747094129503851</v>
      </c>
      <c r="AG36" s="4"/>
      <c r="AH36" s="4"/>
      <c r="AI36" s="4"/>
      <c r="AJ36" s="4"/>
      <c r="AK36" s="4"/>
      <c r="AL36" s="4"/>
      <c r="AM36" s="4"/>
      <c r="AN36" s="4"/>
      <c r="AO36" s="4"/>
      <c r="AP36" s="4"/>
      <c r="AQ36" s="4"/>
      <c r="AR36" s="4"/>
      <c r="AS36" s="4"/>
      <c r="AT36" s="4"/>
      <c r="AU36" s="4"/>
      <c r="AV36" s="4"/>
      <c r="AW36" s="4"/>
      <c r="AX36" s="4"/>
      <c r="AY36" s="4"/>
      <c r="AZ36" s="4"/>
      <c r="BA36" s="4"/>
      <c r="BB36" s="4"/>
    </row>
    <row r="37" spans="1:54" x14ac:dyDescent="0.25">
      <c r="A37" s="4">
        <v>4330</v>
      </c>
      <c r="B37" s="4"/>
      <c r="C37" s="4">
        <v>-17.601004103013977</v>
      </c>
      <c r="D37" s="4">
        <v>-11.613055997709209</v>
      </c>
      <c r="E37" s="4">
        <v>-5.2152655701751911</v>
      </c>
      <c r="F37" s="4">
        <v>-29.830600990271513</v>
      </c>
      <c r="G37" s="4">
        <v>-8.0458588206944359</v>
      </c>
      <c r="H37" s="4">
        <v>-66.277595083363067</v>
      </c>
      <c r="I37" s="4">
        <v>-26.023770325986124</v>
      </c>
      <c r="J37" s="4">
        <v>-170.65266662785257</v>
      </c>
      <c r="K37" s="4">
        <v>-51.907018626302509</v>
      </c>
      <c r="L37" s="4">
        <v>-108.37379386467271</v>
      </c>
      <c r="M37" s="4">
        <v>-22.793210000084301</v>
      </c>
      <c r="N37" s="4">
        <v>-124.38141834071531</v>
      </c>
      <c r="O37" s="4">
        <v>-7.1204135211367943</v>
      </c>
      <c r="P37" s="4">
        <v>27.406472804297884</v>
      </c>
      <c r="Q37" s="4">
        <v>-22.847489842753475</v>
      </c>
      <c r="R37" s="4">
        <v>-35.161135146626421</v>
      </c>
      <c r="S37" s="4">
        <v>11.969129089164019</v>
      </c>
      <c r="T37" s="4">
        <v>249.83103149462764</v>
      </c>
      <c r="U37" s="4">
        <v>32.892847594787206</v>
      </c>
      <c r="V37" s="4">
        <v>162.36858941848956</v>
      </c>
      <c r="W37" s="4">
        <v>22.236350674763766</v>
      </c>
      <c r="X37" s="4">
        <v>73.356871097514684</v>
      </c>
      <c r="Y37" s="4">
        <v>19.574309977553487</v>
      </c>
      <c r="Z37" s="4">
        <v>28.747549857783362</v>
      </c>
      <c r="AA37" s="4">
        <v>14.9721982358442</v>
      </c>
      <c r="AB37" s="4">
        <v>5.5254561056636611</v>
      </c>
      <c r="AC37" s="4">
        <v>1.1057550336958859</v>
      </c>
      <c r="AD37" s="4">
        <v>4.5613889935563847</v>
      </c>
      <c r="AE37" s="4">
        <v>0.1622839501981117</v>
      </c>
      <c r="AF37" s="4">
        <v>0.33105022437586973</v>
      </c>
      <c r="AG37" s="4"/>
      <c r="AH37" s="4"/>
      <c r="AI37" s="4"/>
      <c r="AJ37" s="4"/>
      <c r="AK37" s="4"/>
      <c r="AL37" s="4"/>
      <c r="AM37" s="4"/>
      <c r="AN37" s="4"/>
      <c r="AO37" s="4"/>
      <c r="AP37" s="4"/>
      <c r="AQ37" s="4"/>
      <c r="AR37" s="4"/>
      <c r="AS37" s="4"/>
      <c r="AT37" s="4"/>
      <c r="AU37" s="4"/>
      <c r="AV37" s="4"/>
      <c r="AW37" s="4"/>
      <c r="AX37" s="4"/>
      <c r="AY37" s="4"/>
      <c r="AZ37" s="4"/>
      <c r="BA37" s="4"/>
      <c r="BB37" s="4"/>
    </row>
    <row r="38" spans="1:54" x14ac:dyDescent="0.25">
      <c r="A38" s="4">
        <v>4320</v>
      </c>
      <c r="B38" s="4"/>
      <c r="C38" s="4">
        <v>52.409401506085672</v>
      </c>
      <c r="D38" s="4">
        <v>-9.0677699272438517</v>
      </c>
      <c r="E38" s="4">
        <v>-4.1499494418960658</v>
      </c>
      <c r="F38" s="4">
        <v>-24.192753347798877</v>
      </c>
      <c r="G38" s="4">
        <v>-6.6511633890974995</v>
      </c>
      <c r="H38" s="4">
        <v>-55.852080410666872</v>
      </c>
      <c r="I38" s="4">
        <v>-22.358168578851942</v>
      </c>
      <c r="J38" s="4">
        <v>-149.49235543775771</v>
      </c>
      <c r="K38" s="4">
        <v>-46.368057989278476</v>
      </c>
      <c r="L38" s="4">
        <v>-98.730551036162396</v>
      </c>
      <c r="M38" s="4">
        <v>-21.179481282287682</v>
      </c>
      <c r="N38" s="4">
        <v>-117.89530293357495</v>
      </c>
      <c r="O38" s="4">
        <v>-6.8853586193493257</v>
      </c>
      <c r="P38" s="4">
        <v>27.039869423791032</v>
      </c>
      <c r="Q38" s="4">
        <v>-23.002251655950047</v>
      </c>
      <c r="R38" s="4">
        <v>-36.126514238838361</v>
      </c>
      <c r="S38" s="4">
        <v>12.551872883745267</v>
      </c>
      <c r="T38" s="4">
        <v>267.44055862242266</v>
      </c>
      <c r="U38" s="4">
        <v>35.947606933754358</v>
      </c>
      <c r="V38" s="4">
        <v>181.18051525741521</v>
      </c>
      <c r="W38" s="4">
        <v>25.337742861166241</v>
      </c>
      <c r="X38" s="4">
        <v>85.367933971730594</v>
      </c>
      <c r="Y38" s="4">
        <v>23.267261993512598</v>
      </c>
      <c r="Z38" s="4">
        <v>34.907637547808008</v>
      </c>
      <c r="AA38" s="4">
        <v>18.574735388190351</v>
      </c>
      <c r="AB38" s="4">
        <v>7.0045458675595382</v>
      </c>
      <c r="AC38" s="4">
        <v>1.4325296092567723</v>
      </c>
      <c r="AD38" s="4">
        <v>6.0399507348390191</v>
      </c>
      <c r="AE38" s="4">
        <v>0.21966606438837738</v>
      </c>
      <c r="AF38" s="4">
        <v>0.45813414134539043</v>
      </c>
      <c r="AG38" s="4"/>
      <c r="AH38" s="4"/>
      <c r="AI38" s="4"/>
      <c r="AJ38" s="4"/>
      <c r="AK38" s="4"/>
      <c r="AL38" s="4"/>
      <c r="AM38" s="4"/>
      <c r="AN38" s="4"/>
      <c r="AO38" s="4"/>
      <c r="AP38" s="4"/>
      <c r="AQ38" s="4"/>
      <c r="AR38" s="4"/>
      <c r="AS38" s="4"/>
      <c r="AT38" s="4"/>
      <c r="AU38" s="4"/>
      <c r="AV38" s="4"/>
      <c r="AW38" s="4"/>
      <c r="AX38" s="4"/>
      <c r="AY38" s="4"/>
      <c r="AZ38" s="4"/>
      <c r="BA38" s="4"/>
      <c r="BB38" s="4"/>
    </row>
    <row r="39" spans="1:54" x14ac:dyDescent="0.25">
      <c r="A39" s="4">
        <v>4310</v>
      </c>
      <c r="B39" s="4"/>
      <c r="C39" s="4">
        <v>122.21741528743746</v>
      </c>
      <c r="D39" s="4">
        <v>-7.0189297672135034</v>
      </c>
      <c r="E39" s="4">
        <v>-3.273743488943154</v>
      </c>
      <c r="F39" s="4">
        <v>-19.451952129366038</v>
      </c>
      <c r="G39" s="4">
        <v>-5.45125709467876</v>
      </c>
      <c r="H39" s="4">
        <v>-46.666491666640717</v>
      </c>
      <c r="I39" s="4">
        <v>-19.046486429393887</v>
      </c>
      <c r="J39" s="4">
        <v>-129.85452451374985</v>
      </c>
      <c r="K39" s="4">
        <v>-41.073677886169911</v>
      </c>
      <c r="L39" s="4">
        <v>-89.197049226134126</v>
      </c>
      <c r="M39" s="4">
        <v>-19.517162574188749</v>
      </c>
      <c r="N39" s="4">
        <v>-110.82788263111854</v>
      </c>
      <c r="O39" s="4">
        <v>-6.6035818660539469</v>
      </c>
      <c r="P39" s="4">
        <v>26.461101496600619</v>
      </c>
      <c r="Q39" s="4">
        <v>-22.970711162263608</v>
      </c>
      <c r="R39" s="4">
        <v>-36.819842889006772</v>
      </c>
      <c r="S39" s="4">
        <v>13.057733452139056</v>
      </c>
      <c r="T39" s="4">
        <v>284.01557207247794</v>
      </c>
      <c r="U39" s="4">
        <v>38.975645497028694</v>
      </c>
      <c r="V39" s="4">
        <v>200.58420716757311</v>
      </c>
      <c r="W39" s="4">
        <v>28.646342828796982</v>
      </c>
      <c r="X39" s="4">
        <v>98.575002716620972</v>
      </c>
      <c r="Y39" s="4">
        <v>27.443751974321273</v>
      </c>
      <c r="Z39" s="4">
        <v>42.063066337513938</v>
      </c>
      <c r="AA39" s="4">
        <v>22.868735139559494</v>
      </c>
      <c r="AB39" s="4">
        <v>8.8124365263306714</v>
      </c>
      <c r="AC39" s="4">
        <v>1.8419350755254231</v>
      </c>
      <c r="AD39" s="4">
        <v>7.9381208763321869</v>
      </c>
      <c r="AE39" s="4">
        <v>0.29513487260879656</v>
      </c>
      <c r="AF39" s="4">
        <v>0.6293378663674386</v>
      </c>
      <c r="AG39" s="4"/>
      <c r="AH39" s="4"/>
      <c r="AI39" s="4"/>
      <c r="AJ39" s="4"/>
      <c r="AK39" s="4"/>
      <c r="AL39" s="4"/>
      <c r="AM39" s="4"/>
      <c r="AN39" s="4"/>
      <c r="AO39" s="4"/>
      <c r="AP39" s="4"/>
      <c r="AQ39" s="4"/>
      <c r="AR39" s="4"/>
      <c r="AS39" s="4"/>
      <c r="AT39" s="4"/>
      <c r="AU39" s="4"/>
      <c r="AV39" s="4"/>
      <c r="AW39" s="4"/>
      <c r="AX39" s="4"/>
      <c r="AY39" s="4"/>
      <c r="AZ39" s="4"/>
      <c r="BA39" s="4"/>
      <c r="BB39" s="4"/>
    </row>
    <row r="40" spans="1:54" x14ac:dyDescent="0.25">
      <c r="A40" s="4">
        <v>4300</v>
      </c>
      <c r="B40" s="4"/>
      <c r="C40" s="4">
        <v>191.55390195140768</v>
      </c>
      <c r="D40" s="4">
        <v>-5.3855732334988637</v>
      </c>
      <c r="E40" s="4">
        <v>-2.5600959635860989</v>
      </c>
      <c r="F40" s="4">
        <v>-15.504939149473694</v>
      </c>
      <c r="G40" s="4">
        <v>-4.4293910305312725</v>
      </c>
      <c r="H40" s="4">
        <v>-38.657938761455256</v>
      </c>
      <c r="I40" s="4">
        <v>-16.087212648272125</v>
      </c>
      <c r="J40" s="4">
        <v>-111.84127872819482</v>
      </c>
      <c r="K40" s="4">
        <v>-36.077378661039319</v>
      </c>
      <c r="L40" s="4">
        <v>-79.909052360080892</v>
      </c>
      <c r="M40" s="4">
        <v>-17.835471253126119</v>
      </c>
      <c r="N40" s="4">
        <v>-103.32090794592403</v>
      </c>
      <c r="O40" s="4">
        <v>-6.2811537180872588</v>
      </c>
      <c r="P40" s="4">
        <v>25.682566880467029</v>
      </c>
      <c r="Q40" s="4">
        <v>-22.752344510738503</v>
      </c>
      <c r="R40" s="4">
        <v>-37.222538506785803</v>
      </c>
      <c r="S40" s="4">
        <v>13.474601579213727</v>
      </c>
      <c r="T40" s="4">
        <v>299.20352351692253</v>
      </c>
      <c r="U40" s="4">
        <v>41.922506819658267</v>
      </c>
      <c r="V40" s="4">
        <v>220.3097040565909</v>
      </c>
      <c r="W40" s="4">
        <v>32.132407520175491</v>
      </c>
      <c r="X40" s="4">
        <v>112.93614194537969</v>
      </c>
      <c r="Y40" s="4">
        <v>32.118647252661354</v>
      </c>
      <c r="Z40" s="4">
        <v>50.294270818850478</v>
      </c>
      <c r="AA40" s="4">
        <v>27.939617947287477</v>
      </c>
      <c r="AB40" s="4">
        <v>11.002532417583092</v>
      </c>
      <c r="AC40" s="4">
        <v>2.3504316562285474</v>
      </c>
      <c r="AD40" s="4">
        <v>10.354442408102695</v>
      </c>
      <c r="AE40" s="4">
        <v>0.39357275063260422</v>
      </c>
      <c r="AF40" s="4">
        <v>0.85811280385551969</v>
      </c>
      <c r="AG40" s="4"/>
      <c r="AH40" s="4"/>
      <c r="AI40" s="4"/>
      <c r="AJ40" s="4"/>
      <c r="AK40" s="4"/>
      <c r="AL40" s="4"/>
      <c r="AM40" s="4"/>
      <c r="AN40" s="4"/>
      <c r="AO40" s="4"/>
      <c r="AP40" s="4"/>
      <c r="AQ40" s="4"/>
      <c r="AR40" s="4"/>
      <c r="AS40" s="4"/>
      <c r="AT40" s="4"/>
      <c r="AU40" s="4"/>
      <c r="AV40" s="4"/>
      <c r="AW40" s="4"/>
      <c r="AX40" s="4"/>
      <c r="AY40" s="4"/>
      <c r="AZ40" s="4"/>
      <c r="BA40" s="4"/>
      <c r="BB40" s="4"/>
    </row>
    <row r="41" spans="1:54" x14ac:dyDescent="0.25">
      <c r="A41" s="4">
        <v>4290</v>
      </c>
      <c r="B41" s="4"/>
      <c r="C41" s="4">
        <v>260.15325462067608</v>
      </c>
      <c r="D41" s="4">
        <v>-4.095977794635747</v>
      </c>
      <c r="E41" s="4">
        <v>-1.984502591758051</v>
      </c>
      <c r="F41" s="4">
        <v>-12.251240977577261</v>
      </c>
      <c r="G41" s="4">
        <v>-3.5679104047632704</v>
      </c>
      <c r="H41" s="4">
        <v>-31.747850159377418</v>
      </c>
      <c r="I41" s="4">
        <v>-13.471267290801245</v>
      </c>
      <c r="J41" s="4">
        <v>-95.505552887385463</v>
      </c>
      <c r="K41" s="4">
        <v>-31.4201077409435</v>
      </c>
      <c r="L41" s="4">
        <v>-70.984372864182831</v>
      </c>
      <c r="M41" s="4">
        <v>-16.161953388929167</v>
      </c>
      <c r="N41" s="4">
        <v>-95.518816527280677</v>
      </c>
      <c r="O41" s="4">
        <v>-5.9249013424108785</v>
      </c>
      <c r="P41" s="4">
        <v>24.721294195175563</v>
      </c>
      <c r="Q41" s="4">
        <v>-22.351191197247442</v>
      </c>
      <c r="R41" s="4">
        <v>-37.322738891551573</v>
      </c>
      <c r="S41" s="4">
        <v>13.792033582924892</v>
      </c>
      <c r="T41" s="4">
        <v>312.66293064248191</v>
      </c>
      <c r="U41" s="4">
        <v>44.730868848739853</v>
      </c>
      <c r="V41" s="4">
        <v>240.0478541859562</v>
      </c>
      <c r="W41" s="4">
        <v>35.75739990897597</v>
      </c>
      <c r="X41" s="4">
        <v>128.37163818606902</v>
      </c>
      <c r="Y41" s="4">
        <v>37.296022903942436</v>
      </c>
      <c r="Z41" s="4">
        <v>59.669071811824054</v>
      </c>
      <c r="AA41" s="4">
        <v>33.8714473995609</v>
      </c>
      <c r="AB41" s="4">
        <v>13.631580545006516</v>
      </c>
      <c r="AC41" s="4">
        <v>2.9764589950019351</v>
      </c>
      <c r="AD41" s="4">
        <v>13.404076400544284</v>
      </c>
      <c r="AE41" s="4">
        <v>0.52089840269825338</v>
      </c>
      <c r="AF41" s="4">
        <v>1.1613172912949501</v>
      </c>
      <c r="AG41" s="4"/>
      <c r="AH41" s="4"/>
      <c r="AI41" s="4"/>
      <c r="AJ41" s="4"/>
      <c r="AK41" s="4"/>
      <c r="AL41" s="4"/>
      <c r="AM41" s="4"/>
      <c r="AN41" s="4"/>
      <c r="AO41" s="4"/>
      <c r="AP41" s="4"/>
      <c r="AQ41" s="4"/>
      <c r="AR41" s="4"/>
      <c r="AS41" s="4"/>
      <c r="AT41" s="4"/>
      <c r="AU41" s="4"/>
      <c r="AV41" s="4"/>
      <c r="AW41" s="4"/>
      <c r="AX41" s="4"/>
      <c r="AY41" s="4"/>
      <c r="AZ41" s="4"/>
      <c r="BA41" s="4"/>
      <c r="BB41" s="4"/>
    </row>
    <row r="42" spans="1:54" x14ac:dyDescent="0.25">
      <c r="A42" s="4">
        <v>4280</v>
      </c>
      <c r="B42" s="4"/>
      <c r="C42" s="4">
        <v>327.75318496099084</v>
      </c>
      <c r="D42" s="4">
        <v>-3.0876042716995884</v>
      </c>
      <c r="E42" s="4">
        <v>-1.5247715398989576</v>
      </c>
      <c r="F42" s="4">
        <v>-9.5954905873107776</v>
      </c>
      <c r="G42" s="4">
        <v>-2.8489213062444114</v>
      </c>
      <c r="H42" s="4">
        <v>-25.846763053806207</v>
      </c>
      <c r="I42" s="4">
        <v>-11.183353172163995</v>
      </c>
      <c r="J42" s="4">
        <v>-80.855746746438854</v>
      </c>
      <c r="K42" s="4">
        <v>-27.130392683357332</v>
      </c>
      <c r="L42" s="4">
        <v>-62.520909903078248</v>
      </c>
      <c r="M42" s="4">
        <v>-14.521753181099328</v>
      </c>
      <c r="N42" s="4">
        <v>-87.564057080837898</v>
      </c>
      <c r="O42" s="4">
        <v>-5.5421649425020831</v>
      </c>
      <c r="P42" s="4">
        <v>23.598321664284981</v>
      </c>
      <c r="Q42" s="4">
        <v>-21.775742123786983</v>
      </c>
      <c r="R42" s="4">
        <v>-37.115862025740618</v>
      </c>
      <c r="S42" s="4">
        <v>14.001677827944768</v>
      </c>
      <c r="T42" s="4">
        <v>324.0757117383971</v>
      </c>
      <c r="U42" s="4">
        <v>47.342255349677096</v>
      </c>
      <c r="V42" s="4">
        <v>259.45664340789932</v>
      </c>
      <c r="W42" s="4">
        <v>39.474145404727523</v>
      </c>
      <c r="X42" s="4">
        <v>144.76076197588577</v>
      </c>
      <c r="Y42" s="4">
        <v>42.967004057250868</v>
      </c>
      <c r="Z42" s="4">
        <v>70.237506342396927</v>
      </c>
      <c r="AA42" s="4">
        <v>40.743466805200562</v>
      </c>
      <c r="AB42" s="4">
        <v>16.758407029114473</v>
      </c>
      <c r="AC42" s="4">
        <v>3.7403075221191333</v>
      </c>
      <c r="AD42" s="4">
        <v>17.219657469633461</v>
      </c>
      <c r="AE42" s="4">
        <v>0.68419659855105475</v>
      </c>
      <c r="AF42" s="4">
        <v>1.5598393468639866</v>
      </c>
      <c r="AG42" s="4"/>
      <c r="AH42" s="4"/>
      <c r="AI42" s="4"/>
      <c r="AJ42" s="4"/>
      <c r="AK42" s="4"/>
      <c r="AL42" s="4"/>
      <c r="AM42" s="4"/>
      <c r="AN42" s="4"/>
      <c r="AO42" s="4"/>
      <c r="AP42" s="4"/>
      <c r="AQ42" s="4"/>
      <c r="AR42" s="4"/>
      <c r="AS42" s="4"/>
      <c r="AT42" s="4"/>
      <c r="AU42" s="4"/>
      <c r="AV42" s="4"/>
      <c r="AW42" s="4"/>
      <c r="AX42" s="4"/>
      <c r="AY42" s="4"/>
      <c r="AZ42" s="4"/>
      <c r="BA42" s="4"/>
      <c r="BB42" s="4"/>
    </row>
    <row r="43" spans="1:54" x14ac:dyDescent="0.25">
      <c r="A43" s="4">
        <v>4270</v>
      </c>
      <c r="B43" s="4"/>
      <c r="C43" s="4">
        <v>394.09498047811212</v>
      </c>
      <c r="D43" s="4">
        <v>-2.306734412106155</v>
      </c>
      <c r="E43" s="4">
        <v>-1.1611523232894927</v>
      </c>
      <c r="F43" s="4">
        <v>-7.4491220734980352</v>
      </c>
      <c r="G43" s="4">
        <v>-2.2548485308741903</v>
      </c>
      <c r="H43" s="4">
        <v>-20.858742209791384</v>
      </c>
      <c r="I43" s="4">
        <v>-9.203341974980594</v>
      </c>
      <c r="J43" s="4">
        <v>-67.861432200170128</v>
      </c>
      <c r="K43" s="4">
        <v>-23.224928556567953</v>
      </c>
      <c r="L43" s="4">
        <v>-54.595629423049068</v>
      </c>
      <c r="M43" s="4">
        <v>-12.937029330813948</v>
      </c>
      <c r="N43" s="4">
        <v>-79.59274940010144</v>
      </c>
      <c r="O43" s="4">
        <v>-5.1405425000252487</v>
      </c>
      <c r="P43" s="4">
        <v>22.337924861598516</v>
      </c>
      <c r="Q43" s="4">
        <v>-21.038645808394662</v>
      </c>
      <c r="R43" s="4">
        <v>-36.60487884973692</v>
      </c>
      <c r="S43" s="4">
        <v>14.097633134836393</v>
      </c>
      <c r="T43" s="4">
        <v>333.15935898411271</v>
      </c>
      <c r="U43" s="4">
        <v>49.698950546634485</v>
      </c>
      <c r="V43" s="4">
        <v>278.16966880763374</v>
      </c>
      <c r="W43" s="4">
        <v>43.2273911265466</v>
      </c>
      <c r="X43" s="4">
        <v>161.93984677270473</v>
      </c>
      <c r="Y43" s="4">
        <v>49.107795903368157</v>
      </c>
      <c r="Z43" s="4">
        <v>82.026384744426466</v>
      </c>
      <c r="AA43" s="4">
        <v>48.626038218832967</v>
      </c>
      <c r="AB43" s="4">
        <v>20.442220652890036</v>
      </c>
      <c r="AC43" s="4">
        <v>4.6638632246222791</v>
      </c>
      <c r="AD43" s="4">
        <v>21.951571672941256</v>
      </c>
      <c r="AE43" s="4">
        <v>0.89183568175565875</v>
      </c>
      <c r="AF43" s="4">
        <v>2.0792542167196224</v>
      </c>
      <c r="AG43" s="4"/>
      <c r="AH43" s="4"/>
      <c r="AI43" s="4"/>
      <c r="AJ43" s="4"/>
      <c r="AK43" s="4"/>
      <c r="AL43" s="4"/>
      <c r="AM43" s="4"/>
      <c r="AN43" s="4"/>
      <c r="AO43" s="4"/>
      <c r="AP43" s="4"/>
      <c r="AQ43" s="4"/>
      <c r="AR43" s="4"/>
      <c r="AS43" s="4"/>
      <c r="AT43" s="4"/>
      <c r="AU43" s="4"/>
      <c r="AV43" s="4"/>
      <c r="AW43" s="4"/>
      <c r="AX43" s="4"/>
      <c r="AY43" s="4"/>
      <c r="AZ43" s="4"/>
      <c r="BA43" s="4"/>
      <c r="BB43" s="4"/>
    </row>
    <row r="44" spans="1:54" x14ac:dyDescent="0.25">
      <c r="A44" s="4">
        <v>4260</v>
      </c>
      <c r="B44" s="4"/>
      <c r="C44" s="4">
        <v>458.9242230514119</v>
      </c>
      <c r="D44" s="4">
        <v>-1.7078856609262369</v>
      </c>
      <c r="E44" s="4">
        <v>-0.87635149257174827</v>
      </c>
      <c r="F44" s="4">
        <v>-5.7314868736840809</v>
      </c>
      <c r="G44" s="4">
        <v>-1.768879667101394</v>
      </c>
      <c r="H44" s="4">
        <v>-16.68529420446044</v>
      </c>
      <c r="I44" s="4">
        <v>-7.5076287007027132</v>
      </c>
      <c r="J44" s="4">
        <v>-56.459740363440304</v>
      </c>
      <c r="K44" s="4">
        <v>-19.70954289892121</v>
      </c>
      <c r="L44" s="4">
        <v>-47.264445560404525</v>
      </c>
      <c r="M44" s="4">
        <v>-11.426534527825865</v>
      </c>
      <c r="N44" s="4">
        <v>-71.730866011668397</v>
      </c>
      <c r="O44" s="4">
        <v>-4.7276355263712411</v>
      </c>
      <c r="P44" s="4">
        <v>20.966733240972211</v>
      </c>
      <c r="Q44" s="4">
        <v>-20.156246567192838</v>
      </c>
      <c r="R44" s="4">
        <v>-35.800278690312616</v>
      </c>
      <c r="S44" s="4">
        <v>14.076718020141543</v>
      </c>
      <c r="T44" s="4">
        <v>339.67831994045736</v>
      </c>
      <c r="U44" s="4">
        <v>51.746036313057438</v>
      </c>
      <c r="V44" s="4">
        <v>295.80655503506398</v>
      </c>
      <c r="W44" s="4">
        <v>46.954793065115396</v>
      </c>
      <c r="X44" s="4">
        <v>179.70199863187588</v>
      </c>
      <c r="Y44" s="4">
        <v>55.678043506201902</v>
      </c>
      <c r="Z44" s="4">
        <v>95.033818359911308</v>
      </c>
      <c r="AA44" s="4">
        <v>57.576070068066635</v>
      </c>
      <c r="AB44" s="4">
        <v>24.74046572491034</v>
      </c>
      <c r="AC44" s="4">
        <v>5.7702036024395591</v>
      </c>
      <c r="AD44" s="4">
        <v>27.767455452136844</v>
      </c>
      <c r="AE44" s="4">
        <v>1.1535615869404334</v>
      </c>
      <c r="AF44" s="4">
        <v>2.7504903011166189</v>
      </c>
      <c r="AG44" s="4"/>
      <c r="AH44" s="4"/>
      <c r="AI44" s="4"/>
      <c r="AJ44" s="4"/>
      <c r="AK44" s="4"/>
      <c r="AL44" s="4"/>
      <c r="AM44" s="4"/>
      <c r="AN44" s="4"/>
      <c r="AO44" s="4"/>
      <c r="AP44" s="4"/>
      <c r="AQ44" s="4"/>
      <c r="AR44" s="4"/>
      <c r="AS44" s="4"/>
      <c r="AT44" s="4"/>
      <c r="AU44" s="4"/>
      <c r="AV44" s="4"/>
      <c r="AW44" s="4"/>
      <c r="AX44" s="4"/>
      <c r="AY44" s="4"/>
      <c r="AZ44" s="4"/>
      <c r="BA44" s="4"/>
      <c r="BB44" s="4"/>
    </row>
    <row r="45" spans="1:54" x14ac:dyDescent="0.25">
      <c r="A45" s="4">
        <v>4250</v>
      </c>
      <c r="B45" s="4"/>
      <c r="C45" s="4">
        <v>521.99190639528103</v>
      </c>
      <c r="D45" s="4">
        <v>-1.2530785994039417</v>
      </c>
      <c r="E45" s="4">
        <v>-0.65545874322879594</v>
      </c>
      <c r="F45" s="4">
        <v>-4.3704593594919352</v>
      </c>
      <c r="G45" s="4">
        <v>-1.3752972192955311</v>
      </c>
      <c r="H45" s="4">
        <v>-13.228691037735619</v>
      </c>
      <c r="I45" s="4">
        <v>-6.0703994265282715</v>
      </c>
      <c r="J45" s="4">
        <v>-46.562051047730002</v>
      </c>
      <c r="K45" s="4">
        <v>-16.580450051554209</v>
      </c>
      <c r="L45" s="4">
        <v>-40.562918475142069</v>
      </c>
      <c r="M45" s="4">
        <v>-10.005364170565931</v>
      </c>
      <c r="N45" s="4">
        <v>-64.091081806467884</v>
      </c>
      <c r="O45" s="4">
        <v>-4.3108078917901906</v>
      </c>
      <c r="P45" s="4">
        <v>19.512780888215048</v>
      </c>
      <c r="Q45" s="4">
        <v>-19.14797811718735</v>
      </c>
      <c r="R45" s="4">
        <v>-34.719724327247839</v>
      </c>
      <c r="S45" s="4">
        <v>13.938633997748587</v>
      </c>
      <c r="T45" s="4">
        <v>343.45396213922896</v>
      </c>
      <c r="U45" s="4">
        <v>53.433456712376412</v>
      </c>
      <c r="V45" s="4">
        <v>311.98496943409833</v>
      </c>
      <c r="W45" s="4">
        <v>50.5883330510337</v>
      </c>
      <c r="X45" s="4">
        <v>197.79869828808285</v>
      </c>
      <c r="Y45" s="4">
        <v>62.619668722709697</v>
      </c>
      <c r="Z45" s="4">
        <v>109.22401430950876</v>
      </c>
      <c r="AA45" s="4">
        <v>67.63207337459373</v>
      </c>
      <c r="AB45" s="4">
        <v>29.706231720033831</v>
      </c>
      <c r="AC45" s="4">
        <v>7.0830261471667058</v>
      </c>
      <c r="AD45" s="4">
        <v>34.850703062626884</v>
      </c>
      <c r="AE45" s="4">
        <v>1.4805547986338952</v>
      </c>
      <c r="AF45" s="4">
        <v>3.6104664178742154</v>
      </c>
      <c r="AG45" s="4"/>
      <c r="AH45" s="4"/>
      <c r="AI45" s="4"/>
      <c r="AJ45" s="4"/>
      <c r="AK45" s="4"/>
      <c r="AL45" s="4"/>
      <c r="AM45" s="4"/>
      <c r="AN45" s="4"/>
      <c r="AO45" s="4"/>
      <c r="AP45" s="4"/>
      <c r="AQ45" s="4"/>
      <c r="AR45" s="4"/>
      <c r="AS45" s="4"/>
      <c r="AT45" s="4"/>
      <c r="AU45" s="4"/>
      <c r="AV45" s="4"/>
      <c r="AW45" s="4"/>
      <c r="AX45" s="4"/>
      <c r="AY45" s="4"/>
      <c r="AZ45" s="4"/>
      <c r="BA45" s="4"/>
      <c r="BB45" s="4"/>
    </row>
    <row r="46" spans="1:54" x14ac:dyDescent="0.25">
      <c r="A46" s="4">
        <v>4240</v>
      </c>
      <c r="B46" s="4"/>
      <c r="C46" s="4">
        <v>583.05583996210544</v>
      </c>
      <c r="D46" s="4">
        <v>-0.91102231058455907</v>
      </c>
      <c r="E46" s="4">
        <v>-0.48580640311768136</v>
      </c>
      <c r="F46" s="4">
        <v>-3.3026114675006588</v>
      </c>
      <c r="G46" s="4">
        <v>-1.059705852977793</v>
      </c>
      <c r="H46" s="4">
        <v>-10.394661681227262</v>
      </c>
      <c r="I46" s="4">
        <v>-4.8647701868117341</v>
      </c>
      <c r="J46" s="4">
        <v>-38.060642569017389</v>
      </c>
      <c r="K46" s="4">
        <v>-13.825701819163431</v>
      </c>
      <c r="L46" s="4">
        <v>-34.5076485501151</v>
      </c>
      <c r="M46" s="4">
        <v>-8.6848707590600931</v>
      </c>
      <c r="N46" s="4">
        <v>-56.770391944701963</v>
      </c>
      <c r="O46" s="4">
        <v>-3.8969685254828019</v>
      </c>
      <c r="P46" s="4">
        <v>18.00453946396339</v>
      </c>
      <c r="Q46" s="4">
        <v>-18.035644161447109</v>
      </c>
      <c r="R46" s="4">
        <v>-33.387411582264896</v>
      </c>
      <c r="S46" s="4">
        <v>13.686011778083227</v>
      </c>
      <c r="T46" s="4">
        <v>344.37254386890766</v>
      </c>
      <c r="U46" s="4">
        <v>54.718005453284235</v>
      </c>
      <c r="V46" s="4">
        <v>326.33375926548183</v>
      </c>
      <c r="W46" s="4">
        <v>54.056141106904136</v>
      </c>
      <c r="X46" s="4">
        <v>215.9434779075398</v>
      </c>
      <c r="Y46" s="4">
        <v>69.856326974233042</v>
      </c>
      <c r="Z46" s="4">
        <v>124.5226760187837</v>
      </c>
      <c r="AA46" s="4">
        <v>78.809042589999862</v>
      </c>
      <c r="AB46" s="4">
        <v>35.385258460050615</v>
      </c>
      <c r="AC46" s="4">
        <v>8.6258967040094614</v>
      </c>
      <c r="AD46" s="4">
        <v>43.397771797990366</v>
      </c>
      <c r="AE46" s="4">
        <v>1.8854346515143401</v>
      </c>
      <c r="AF46" s="4">
        <v>4.7026516969377496</v>
      </c>
      <c r="AG46" s="4"/>
      <c r="AH46" s="4"/>
      <c r="AI46" s="4"/>
      <c r="AJ46" s="4"/>
      <c r="AK46" s="4"/>
      <c r="AL46" s="4"/>
      <c r="AM46" s="4"/>
      <c r="AN46" s="4"/>
      <c r="AO46" s="4"/>
      <c r="AP46" s="4"/>
      <c r="AQ46" s="4"/>
      <c r="AR46" s="4"/>
      <c r="AS46" s="4"/>
      <c r="AT46" s="4"/>
      <c r="AU46" s="4"/>
      <c r="AV46" s="4"/>
      <c r="AW46" s="4"/>
      <c r="AX46" s="4"/>
      <c r="AY46" s="4"/>
      <c r="AZ46" s="4"/>
      <c r="BA46" s="4"/>
      <c r="BB46" s="4"/>
    </row>
    <row r="47" spans="1:54" x14ac:dyDescent="0.25">
      <c r="A47" s="4">
        <v>4230</v>
      </c>
      <c r="B47" s="4"/>
      <c r="C47" s="4">
        <v>641.88218804382393</v>
      </c>
      <c r="D47" s="4">
        <v>-0.65627145565598899</v>
      </c>
      <c r="E47" s="4">
        <v>-0.356783423273761</v>
      </c>
      <c r="F47" s="4">
        <v>-2.4730409460042044</v>
      </c>
      <c r="G47" s="4">
        <v>-0.80916576103055049</v>
      </c>
      <c r="H47" s="4">
        <v>-8.094449589033486</v>
      </c>
      <c r="I47" s="4">
        <v>-3.8637681736978395</v>
      </c>
      <c r="J47" s="4">
        <v>-30.835010831893172</v>
      </c>
      <c r="K47" s="4">
        <v>-11.426742771430941</v>
      </c>
      <c r="L47" s="4">
        <v>-29.098222688284196</v>
      </c>
      <c r="M47" s="4">
        <v>-7.4727317506235043</v>
      </c>
      <c r="N47" s="4">
        <v>-49.848548941064088</v>
      </c>
      <c r="O47" s="4">
        <v>-3.4923868782926863</v>
      </c>
      <c r="P47" s="4">
        <v>16.469980680910581</v>
      </c>
      <c r="Q47" s="4">
        <v>-16.842623519645851</v>
      </c>
      <c r="R47" s="4">
        <v>-31.833165481306946</v>
      </c>
      <c r="S47" s="4">
        <v>13.324335752459277</v>
      </c>
      <c r="T47" s="4">
        <v>342.39070435399759</v>
      </c>
      <c r="U47" s="4">
        <v>55.565129043572199</v>
      </c>
      <c r="V47" s="4">
        <v>338.50662122159861</v>
      </c>
      <c r="W47" s="4">
        <v>57.284670844254144</v>
      </c>
      <c r="X47" s="4">
        <v>233.81775046808158</v>
      </c>
      <c r="Y47" s="4">
        <v>77.293610877553022</v>
      </c>
      <c r="Z47" s="4">
        <v>140.81337386168579</v>
      </c>
      <c r="AA47" s="4">
        <v>91.093411098846659</v>
      </c>
      <c r="AB47" s="4">
        <v>41.812611875979748</v>
      </c>
      <c r="AC47" s="4">
        <v>10.421313764626525</v>
      </c>
      <c r="AD47" s="4">
        <v>53.614093215547882</v>
      </c>
      <c r="AE47" s="4">
        <v>2.3821938873342128</v>
      </c>
      <c r="AF47" s="4">
        <v>6.077487352437247</v>
      </c>
      <c r="AG47" s="4"/>
      <c r="AH47" s="4"/>
      <c r="AI47" s="4"/>
      <c r="AJ47" s="4"/>
      <c r="AK47" s="4"/>
      <c r="AL47" s="4"/>
      <c r="AM47" s="4"/>
      <c r="AN47" s="4"/>
      <c r="AO47" s="4"/>
      <c r="AP47" s="4"/>
      <c r="AQ47" s="4"/>
      <c r="AR47" s="4"/>
      <c r="AS47" s="4"/>
      <c r="AT47" s="4"/>
      <c r="AU47" s="4"/>
      <c r="AV47" s="4"/>
      <c r="AW47" s="4"/>
      <c r="AX47" s="4"/>
      <c r="AY47" s="4"/>
      <c r="AZ47" s="4"/>
      <c r="BA47" s="4"/>
      <c r="BB47" s="4"/>
    </row>
    <row r="48" spans="1:54" x14ac:dyDescent="0.25">
      <c r="A48" s="4">
        <v>4220</v>
      </c>
      <c r="B48" s="4"/>
      <c r="C48" s="4">
        <v>698.24696989051381</v>
      </c>
      <c r="D48" s="4">
        <v>-0.46839711138047813</v>
      </c>
      <c r="E48" s="4">
        <v>-0.2596223896511955</v>
      </c>
      <c r="F48" s="4">
        <v>-1.834936878370224</v>
      </c>
      <c r="G48" s="4">
        <v>-0.61224567985041345</v>
      </c>
      <c r="H48" s="4">
        <v>-6.2462667990722291</v>
      </c>
      <c r="I48" s="4">
        <v>-3.0411393791508119</v>
      </c>
      <c r="J48" s="4">
        <v>-24.757627666997813</v>
      </c>
      <c r="K48" s="4">
        <v>-9.3599852189351278</v>
      </c>
      <c r="L48" s="4">
        <v>-24.3195556959508</v>
      </c>
      <c r="M48" s="4">
        <v>-6.3731515640674443</v>
      </c>
      <c r="N48" s="4">
        <v>-43.387320862506776</v>
      </c>
      <c r="O48" s="4">
        <v>-3.1025476758752628</v>
      </c>
      <c r="P48" s="4">
        <v>14.935712008819406</v>
      </c>
      <c r="Q48" s="4">
        <v>-15.593040831329944</v>
      </c>
      <c r="R48" s="4">
        <v>-30.091320188862039</v>
      </c>
      <c r="S48" s="4">
        <v>12.86174918411619</v>
      </c>
      <c r="T48" s="4">
        <v>337.53811398969981</v>
      </c>
      <c r="U48" s="4">
        <v>55.950442822389284</v>
      </c>
      <c r="V48" s="4">
        <v>348.19563092036083</v>
      </c>
      <c r="W48" s="4">
        <v>60.201148099519315</v>
      </c>
      <c r="X48" s="4">
        <v>251.07874518943598</v>
      </c>
      <c r="Y48" s="4">
        <v>84.820100184837116</v>
      </c>
      <c r="Z48" s="4">
        <v>157.93525399863125</v>
      </c>
      <c r="AA48" s="4">
        <v>104.43837847898135</v>
      </c>
      <c r="AB48" s="4">
        <v>49.009144807937169</v>
      </c>
      <c r="AC48" s="4">
        <v>12.489596082424496</v>
      </c>
      <c r="AD48" s="4">
        <v>65.708438092176806</v>
      </c>
      <c r="AE48" s="4">
        <v>2.9860457651186727</v>
      </c>
      <c r="AF48" s="4">
        <v>7.792598098580636</v>
      </c>
      <c r="AG48" s="4"/>
      <c r="AH48" s="4"/>
      <c r="AI48" s="4"/>
      <c r="AJ48" s="4"/>
      <c r="AK48" s="4"/>
      <c r="AL48" s="4"/>
      <c r="AM48" s="4"/>
      <c r="AN48" s="4"/>
      <c r="AO48" s="4"/>
      <c r="AP48" s="4"/>
      <c r="AQ48" s="4"/>
      <c r="AR48" s="4"/>
      <c r="AS48" s="4"/>
      <c r="AT48" s="4"/>
      <c r="AU48" s="4"/>
      <c r="AV48" s="4"/>
      <c r="AW48" s="4"/>
      <c r="AX48" s="4"/>
      <c r="AY48" s="4"/>
      <c r="AZ48" s="4"/>
      <c r="BA48" s="4"/>
      <c r="BB48" s="4"/>
    </row>
    <row r="49" spans="1:54" x14ac:dyDescent="0.25">
      <c r="A49" s="4">
        <v>4210</v>
      </c>
      <c r="B49" s="4"/>
      <c r="C49" s="4">
        <v>751.9373426511163</v>
      </c>
      <c r="D49" s="4">
        <v>-0.33120222211806888</v>
      </c>
      <c r="E49" s="4">
        <v>-0.18717502664348337</v>
      </c>
      <c r="F49" s="4">
        <v>-1.3489606777116094</v>
      </c>
      <c r="G49" s="4">
        <v>-0.45901033273791636</v>
      </c>
      <c r="H49" s="4">
        <v>-4.7762000870850398</v>
      </c>
      <c r="I49" s="4">
        <v>-2.3719784951671037</v>
      </c>
      <c r="J49" s="4">
        <v>-19.698973911342478</v>
      </c>
      <c r="K49" s="4">
        <v>-7.5983298420835768</v>
      </c>
      <c r="L49" s="4">
        <v>-20.144468075299891</v>
      </c>
      <c r="M49" s="4">
        <v>-5.3871732121528533</v>
      </c>
      <c r="N49" s="4">
        <v>-37.430527428980731</v>
      </c>
      <c r="O49" s="4">
        <v>-2.7320488586104603</v>
      </c>
      <c r="P49" s="4">
        <v>13.426222997415687</v>
      </c>
      <c r="Q49" s="4">
        <v>-14.31094457169465</v>
      </c>
      <c r="R49" s="4">
        <v>-28.199441905515101</v>
      </c>
      <c r="S49" s="4">
        <v>12.308749527784263</v>
      </c>
      <c r="T49" s="4">
        <v>329.91708216655462</v>
      </c>
      <c r="U49" s="4">
        <v>55.860868782293856</v>
      </c>
      <c r="V49" s="4">
        <v>355.14391743565375</v>
      </c>
      <c r="W49" s="4">
        <v>62.736188221991334</v>
      </c>
      <c r="X49" s="4">
        <v>267.36936488929911</v>
      </c>
      <c r="Y49" s="4">
        <v>92.309318408392087</v>
      </c>
      <c r="Z49" s="4">
        <v>175.68243076922323</v>
      </c>
      <c r="AA49" s="4">
        <v>118.75994118679837</v>
      </c>
      <c r="AB49" s="4">
        <v>56.977897244869183</v>
      </c>
      <c r="AC49" s="4">
        <v>14.84761473768191</v>
      </c>
      <c r="AD49" s="4">
        <v>79.885645669559736</v>
      </c>
      <c r="AE49" s="4">
        <v>3.7131666073036174</v>
      </c>
      <c r="AF49" s="4">
        <v>9.9127113045546089</v>
      </c>
      <c r="AG49" s="4"/>
      <c r="AH49" s="4"/>
      <c r="AI49" s="4"/>
      <c r="AJ49" s="4"/>
      <c r="AK49" s="4"/>
      <c r="AL49" s="4"/>
      <c r="AM49" s="4"/>
      <c r="AN49" s="4"/>
      <c r="AO49" s="4"/>
      <c r="AP49" s="4"/>
      <c r="AQ49" s="4"/>
      <c r="AR49" s="4"/>
      <c r="AS49" s="4"/>
      <c r="AT49" s="4"/>
      <c r="AU49" s="4"/>
      <c r="AV49" s="4"/>
      <c r="AW49" s="4"/>
      <c r="AX49" s="4"/>
      <c r="AY49" s="4"/>
      <c r="AZ49" s="4"/>
      <c r="BA49" s="4"/>
      <c r="BB49" s="4"/>
    </row>
    <row r="50" spans="1:54" x14ac:dyDescent="0.25">
      <c r="A50" s="4">
        <v>4200</v>
      </c>
      <c r="B50" s="4"/>
      <c r="C50" s="4">
        <v>802.752505301675</v>
      </c>
      <c r="D50" s="4">
        <v>-0.23200242611050534</v>
      </c>
      <c r="E50" s="4">
        <v>-0.13368847053602823</v>
      </c>
      <c r="F50" s="4">
        <v>-0.98251206037609939</v>
      </c>
      <c r="G50" s="4">
        <v>-0.34095722038264853</v>
      </c>
      <c r="H50" s="4">
        <v>-3.6186415062451003</v>
      </c>
      <c r="I50" s="4">
        <v>-1.8331867838491067</v>
      </c>
      <c r="J50" s="4">
        <v>-15.531747641779623</v>
      </c>
      <c r="K50" s="4">
        <v>-6.1125718072421202</v>
      </c>
      <c r="L50" s="4">
        <v>-16.536349777464547</v>
      </c>
      <c r="M50" s="4">
        <v>-4.5130719073960828</v>
      </c>
      <c r="N50" s="4">
        <v>-32.004772368841401</v>
      </c>
      <c r="O50" s="4">
        <v>-2.3845439098067698</v>
      </c>
      <c r="P50" s="4">
        <v>11.963271221762476</v>
      </c>
      <c r="Q50" s="4">
        <v>-13.019532092939116</v>
      </c>
      <c r="R50" s="4">
        <v>-26.196961877040472</v>
      </c>
      <c r="S50" s="4">
        <v>11.677789738568745</v>
      </c>
      <c r="T50" s="4">
        <v>319.69909567842751</v>
      </c>
      <c r="U50" s="4">
        <v>55.295322699116227</v>
      </c>
      <c r="V50" s="4">
        <v>359.1567718440964</v>
      </c>
      <c r="W50" s="4">
        <v>64.826457586628834</v>
      </c>
      <c r="X50" s="4">
        <v>282.32963996770815</v>
      </c>
      <c r="Y50" s="4">
        <v>99.622607326350803</v>
      </c>
      <c r="Z50" s="4">
        <v>193.8053559672324</v>
      </c>
      <c r="AA50" s="4">
        <v>133.93397497799782</v>
      </c>
      <c r="AB50" s="4">
        <v>65.700627602340447</v>
      </c>
      <c r="AC50" s="4">
        <v>17.50740634174208</v>
      </c>
      <c r="AD50" s="4">
        <v>96.337715091731795</v>
      </c>
      <c r="AE50" s="4">
        <v>4.5803187854846996</v>
      </c>
      <c r="AF50" s="4">
        <v>12.509195624171003</v>
      </c>
      <c r="AG50" s="4"/>
      <c r="AH50" s="4"/>
      <c r="AI50" s="4"/>
      <c r="AJ50" s="4"/>
      <c r="AK50" s="4"/>
      <c r="AL50" s="4"/>
      <c r="AM50" s="4"/>
      <c r="AN50" s="4"/>
      <c r="AO50" s="4"/>
      <c r="AP50" s="4"/>
      <c r="AQ50" s="4"/>
      <c r="AR50" s="4"/>
      <c r="AS50" s="4"/>
      <c r="AT50" s="4"/>
      <c r="AU50" s="4"/>
      <c r="AV50" s="4"/>
      <c r="AW50" s="4"/>
      <c r="AX50" s="4"/>
      <c r="AY50" s="4"/>
      <c r="AZ50" s="4"/>
      <c r="BA50" s="4"/>
      <c r="BB50" s="4"/>
    </row>
    <row r="51" spans="1:54" x14ac:dyDescent="0.25">
      <c r="A51" s="4">
        <v>4190</v>
      </c>
      <c r="B51" s="4"/>
      <c r="C51" s="4">
        <v>850.50409802226466</v>
      </c>
      <c r="D51" s="4">
        <v>-0.1609843760168605</v>
      </c>
      <c r="E51" s="4">
        <v>-9.4591488334704765E-2</v>
      </c>
      <c r="F51" s="4">
        <v>-0.70893886789679639</v>
      </c>
      <c r="G51" s="4">
        <v>-0.25091693499548778</v>
      </c>
      <c r="H51" s="4">
        <v>-2.7163249762938184</v>
      </c>
      <c r="I51" s="4">
        <v>-1.4037713855276104</v>
      </c>
      <c r="J51" s="4">
        <v>-12.13420804620945</v>
      </c>
      <c r="K51" s="4">
        <v>-4.8726476165610189</v>
      </c>
      <c r="L51" s="4">
        <v>-13.451775784716064</v>
      </c>
      <c r="M51" s="4">
        <v>-3.7468019185945471</v>
      </c>
      <c r="N51" s="4">
        <v>-27.12076075474668</v>
      </c>
      <c r="O51" s="4">
        <v>-2.0627272126731415</v>
      </c>
      <c r="P51" s="4">
        <v>10.565427100481774</v>
      </c>
      <c r="Q51" s="4">
        <v>-11.740456874095624</v>
      </c>
      <c r="R51" s="4">
        <v>-24.123790041634567</v>
      </c>
      <c r="S51" s="4">
        <v>10.982806819152323</v>
      </c>
      <c r="T51" s="4">
        <v>307.11844194006602</v>
      </c>
      <c r="U51" s="4">
        <v>54.264902490430913</v>
      </c>
      <c r="V51" s="4">
        <v>360.11053240877112</v>
      </c>
      <c r="W51" s="4">
        <v>66.417242064307828</v>
      </c>
      <c r="X51" s="4">
        <v>295.60931985017857</v>
      </c>
      <c r="Y51" s="4">
        <v>106.61287382172702</v>
      </c>
      <c r="Z51" s="4">
        <v>212.01437627908319</v>
      </c>
      <c r="AA51" s="4">
        <v>149.79471115790335</v>
      </c>
      <c r="AB51" s="4">
        <v>75.134697298340626</v>
      </c>
      <c r="AC51" s="4">
        <v>20.474720568996069</v>
      </c>
      <c r="AD51" s="4">
        <v>115.23336795616402</v>
      </c>
      <c r="AE51" s="4">
        <v>5.6043430881738114</v>
      </c>
      <c r="AF51" s="4">
        <v>15.659129479049426</v>
      </c>
      <c r="AG51" s="4"/>
      <c r="AH51" s="4"/>
      <c r="AI51" s="4"/>
      <c r="AJ51" s="4"/>
      <c r="AK51" s="4"/>
      <c r="AL51" s="4"/>
      <c r="AM51" s="4"/>
      <c r="AN51" s="4"/>
      <c r="AO51" s="4"/>
      <c r="AP51" s="4"/>
      <c r="AQ51" s="4"/>
      <c r="AR51" s="4"/>
      <c r="AS51" s="4"/>
      <c r="AT51" s="4"/>
      <c r="AU51" s="4"/>
      <c r="AV51" s="4"/>
      <c r="AW51" s="4"/>
      <c r="AX51" s="4"/>
      <c r="AY51" s="4"/>
      <c r="AZ51" s="4"/>
      <c r="BA51" s="4"/>
      <c r="BB51" s="4"/>
    </row>
    <row r="52" spans="1:54" x14ac:dyDescent="0.25">
      <c r="A52" s="4">
        <v>4180</v>
      </c>
      <c r="B52" s="4"/>
      <c r="C52" s="4">
        <v>895.01602532963864</v>
      </c>
      <c r="D52" s="4">
        <v>-0.11064665002166343</v>
      </c>
      <c r="E52" s="4">
        <v>-6.6296978135160459E-2</v>
      </c>
      <c r="F52" s="4">
        <v>-0.50673814396925376</v>
      </c>
      <c r="G52" s="4">
        <v>-0.18292978320740425</v>
      </c>
      <c r="H52" s="4">
        <v>-2.0200532665731576</v>
      </c>
      <c r="I52" s="4">
        <v>-1.0650050295312268</v>
      </c>
      <c r="J52" s="4">
        <v>-9.3926674315205787</v>
      </c>
      <c r="K52" s="4">
        <v>-3.8486936291934106</v>
      </c>
      <c r="L52" s="4">
        <v>-10.842961603719703</v>
      </c>
      <c r="M52" s="4">
        <v>-3.0824687908141266</v>
      </c>
      <c r="N52" s="4">
        <v>-22.775070462761811</v>
      </c>
      <c r="O52" s="4">
        <v>-1.7683588212390511</v>
      </c>
      <c r="P52" s="4">
        <v>9.2477865003978454</v>
      </c>
      <c r="Q52" s="4">
        <v>-10.493246560380761</v>
      </c>
      <c r="R52" s="4">
        <v>-22.018978482283178</v>
      </c>
      <c r="S52" s="4">
        <v>10.238702786178555</v>
      </c>
      <c r="T52" s="4">
        <v>292.4632445676371</v>
      </c>
      <c r="U52" s="4">
        <v>52.792558290090746</v>
      </c>
      <c r="V52" s="4">
        <v>357.95869145233945</v>
      </c>
      <c r="W52" s="4">
        <v>67.464780981476068</v>
      </c>
      <c r="X52" s="4">
        <v>306.88102774161928</v>
      </c>
      <c r="Y52" s="4">
        <v>113.12910279754547</v>
      </c>
      <c r="Z52" s="4">
        <v>229.985580051753</v>
      </c>
      <c r="AA52" s="4">
        <v>166.13491592527402</v>
      </c>
      <c r="AB52" s="4">
        <v>85.210551008649801</v>
      </c>
      <c r="AC52" s="4">
        <v>23.7475714421535</v>
      </c>
      <c r="AD52" s="4">
        <v>136.70632221224525</v>
      </c>
      <c r="AE52" s="4">
        <v>6.8015153589465642</v>
      </c>
      <c r="AF52" s="4">
        <v>19.443815176321181</v>
      </c>
      <c r="AG52" s="4"/>
      <c r="AH52" s="4"/>
      <c r="AI52" s="4"/>
      <c r="AJ52" s="4"/>
      <c r="AK52" s="4"/>
      <c r="AL52" s="4"/>
      <c r="AM52" s="4"/>
      <c r="AN52" s="4"/>
      <c r="AO52" s="4"/>
      <c r="AP52" s="4"/>
      <c r="AQ52" s="4"/>
      <c r="AR52" s="4"/>
      <c r="AS52" s="4"/>
      <c r="AT52" s="4"/>
      <c r="AU52" s="4"/>
      <c r="AV52" s="4"/>
      <c r="AW52" s="4"/>
      <c r="AX52" s="4"/>
      <c r="AY52" s="4"/>
      <c r="AZ52" s="4"/>
      <c r="BA52" s="4"/>
      <c r="BB52" s="4"/>
    </row>
    <row r="53" spans="1:54" x14ac:dyDescent="0.25">
      <c r="A53" s="4">
        <v>4170</v>
      </c>
      <c r="B53" s="4"/>
      <c r="C53" s="4">
        <v>936.12369845172714</v>
      </c>
      <c r="D53" s="4">
        <v>-7.5322950317171553E-2</v>
      </c>
      <c r="E53" s="4">
        <v>-4.6024623904862227E-2</v>
      </c>
      <c r="F53" s="4">
        <v>-0.35878450975128057</v>
      </c>
      <c r="G53" s="4">
        <v>-0.13210969641701573</v>
      </c>
      <c r="H53" s="4">
        <v>-1.4881969417609977</v>
      </c>
      <c r="I53" s="4">
        <v>-0.80046841517585654</v>
      </c>
      <c r="J53" s="4">
        <v>-7.2031857452603445</v>
      </c>
      <c r="K53" s="4">
        <v>-3.011902055248318</v>
      </c>
      <c r="L53" s="4">
        <v>-8.659972510520177</v>
      </c>
      <c r="M53" s="4">
        <v>-2.5128014882653842</v>
      </c>
      <c r="N53" s="4">
        <v>-18.95223768088028</v>
      </c>
      <c r="O53" s="4">
        <v>-1.5023232151292365</v>
      </c>
      <c r="P53" s="4">
        <v>8.0218499073495959</v>
      </c>
      <c r="Q53" s="4">
        <v>-9.2948522822989617</v>
      </c>
      <c r="R53" s="4">
        <v>-19.919497988542911</v>
      </c>
      <c r="S53" s="4">
        <v>9.4608054282967977</v>
      </c>
      <c r="T53" s="4">
        <v>276.0643909993928</v>
      </c>
      <c r="U53" s="4">
        <v>50.912255397518059</v>
      </c>
      <c r="V53" s="4">
        <v>352.73481496202146</v>
      </c>
      <c r="W53" s="4">
        <v>67.938230562590292</v>
      </c>
      <c r="X53" s="4">
        <v>315.8533196540443</v>
      </c>
      <c r="Y53" s="4">
        <v>119.02146968099471</v>
      </c>
      <c r="Z53" s="4">
        <v>247.36890121129503</v>
      </c>
      <c r="AA53" s="4">
        <v>182.70802065935254</v>
      </c>
      <c r="AB53" s="4">
        <v>95.830040704682219</v>
      </c>
      <c r="AC53" s="4">
        <v>27.314876307557601</v>
      </c>
      <c r="AD53" s="4">
        <v>160.84266298442469</v>
      </c>
      <c r="AE53" s="4">
        <v>8.1867702937740674</v>
      </c>
      <c r="AF53" s="4">
        <v>23.946668253633089</v>
      </c>
      <c r="AG53" s="4"/>
      <c r="AH53" s="4"/>
      <c r="AI53" s="4"/>
      <c r="AJ53" s="4"/>
      <c r="AK53" s="4"/>
      <c r="AL53" s="4"/>
      <c r="AM53" s="4"/>
      <c r="AN53" s="4"/>
      <c r="AO53" s="4"/>
      <c r="AP53" s="4"/>
      <c r="AQ53" s="4"/>
      <c r="AR53" s="4"/>
      <c r="AS53" s="4"/>
      <c r="AT53" s="4"/>
      <c r="AU53" s="4"/>
      <c r="AV53" s="4"/>
      <c r="AW53" s="4"/>
      <c r="AX53" s="4"/>
      <c r="AY53" s="4"/>
      <c r="AZ53" s="4"/>
      <c r="BA53" s="4"/>
      <c r="BB53" s="4"/>
    </row>
    <row r="54" spans="1:54" x14ac:dyDescent="0.25">
      <c r="A54" s="4">
        <v>4160</v>
      </c>
      <c r="B54" s="4"/>
      <c r="C54" s="4">
        <v>973.67276718027301</v>
      </c>
      <c r="D54" s="4">
        <v>-5.0783404140134825E-2</v>
      </c>
      <c r="E54" s="4">
        <v>-3.1645548188810095E-2</v>
      </c>
      <c r="F54" s="4">
        <v>-0.25161131606379167</v>
      </c>
      <c r="G54" s="4">
        <v>-9.4504396926501866E-2</v>
      </c>
      <c r="H54" s="4">
        <v>-1.0860399509284315</v>
      </c>
      <c r="I54" s="4">
        <v>-0.59599885504387551</v>
      </c>
      <c r="J54" s="4">
        <v>-5.4725527691585762</v>
      </c>
      <c r="K54" s="4">
        <v>-2.3351733906576597</v>
      </c>
      <c r="L54" s="4">
        <v>-6.8526274028388343</v>
      </c>
      <c r="M54" s="4">
        <v>-2.0296026973868471</v>
      </c>
      <c r="N54" s="4">
        <v>-15.62701702262045</v>
      </c>
      <c r="O54" s="4">
        <v>-1.2647153205348853</v>
      </c>
      <c r="P54" s="4">
        <v>6.8955577276449462</v>
      </c>
      <c r="Q54" s="4">
        <v>-8.1593408401468039</v>
      </c>
      <c r="R54" s="4">
        <v>-17.859181265009525</v>
      </c>
      <c r="S54" s="4">
        <v>8.6643365435106663</v>
      </c>
      <c r="T54" s="4">
        <v>258.28295108469121</v>
      </c>
      <c r="U54" s="4">
        <v>48.667671726466182</v>
      </c>
      <c r="V54" s="4">
        <v>344.55204620405459</v>
      </c>
      <c r="W54" s="4">
        <v>67.821136223591665</v>
      </c>
      <c r="X54" s="4">
        <v>322.2829435247944</v>
      </c>
      <c r="Y54" s="4">
        <v>124.14683124479318</v>
      </c>
      <c r="Z54" s="4">
        <v>263.79829928623957</v>
      </c>
      <c r="AA54" s="4">
        <v>199.23236134842386</v>
      </c>
      <c r="AB54" s="4">
        <v>106.86582961664195</v>
      </c>
      <c r="AC54" s="4">
        <v>31.155277589506809</v>
      </c>
      <c r="AD54" s="4">
        <v>187.66784602803872</v>
      </c>
      <c r="AE54" s="4">
        <v>9.7728051987301736</v>
      </c>
      <c r="AF54" s="4">
        <v>29.250435193063055</v>
      </c>
      <c r="AG54" s="4"/>
      <c r="AH54" s="4"/>
      <c r="AI54" s="4"/>
      <c r="AJ54" s="4"/>
      <c r="AK54" s="4"/>
      <c r="AL54" s="4"/>
      <c r="AM54" s="4"/>
      <c r="AN54" s="4"/>
      <c r="AO54" s="4"/>
      <c r="AP54" s="4"/>
      <c r="AQ54" s="4"/>
      <c r="AR54" s="4"/>
      <c r="AS54" s="4"/>
      <c r="AT54" s="4"/>
      <c r="AU54" s="4"/>
      <c r="AV54" s="4"/>
      <c r="AW54" s="4"/>
      <c r="AX54" s="4"/>
      <c r="AY54" s="4"/>
      <c r="AZ54" s="4"/>
      <c r="BA54" s="4"/>
      <c r="BB54" s="4"/>
    </row>
    <row r="55" spans="1:54" x14ac:dyDescent="0.25">
      <c r="A55" s="4">
        <v>4150</v>
      </c>
      <c r="B55" s="4"/>
      <c r="C55" s="4">
        <v>1007.5174868861277</v>
      </c>
      <c r="D55" s="4">
        <v>-3.3907236741391365E-2</v>
      </c>
      <c r="E55" s="4">
        <v>-2.1549223472393176E-2</v>
      </c>
      <c r="F55" s="4">
        <v>-0.17476075675186117</v>
      </c>
      <c r="G55" s="4">
        <v>-6.6958751302869865E-2</v>
      </c>
      <c r="H55" s="4">
        <v>-0.78503689389019959</v>
      </c>
      <c r="I55" s="4">
        <v>-0.4395684361268154</v>
      </c>
      <c r="J55" s="4">
        <v>-4.1186628652371304</v>
      </c>
      <c r="K55" s="4">
        <v>-1.7935751333721293</v>
      </c>
      <c r="L55" s="4">
        <v>-5.3720643417138998</v>
      </c>
      <c r="M55" s="4">
        <v>-1.6241600113961561</v>
      </c>
      <c r="N55" s="4">
        <v>-12.766686046056597</v>
      </c>
      <c r="O55" s="4">
        <v>-1.0549463574637887</v>
      </c>
      <c r="P55" s="4">
        <v>5.873463575171872</v>
      </c>
      <c r="Q55" s="4">
        <v>-7.0977323239419903</v>
      </c>
      <c r="R55" s="4">
        <v>-15.867873550264134</v>
      </c>
      <c r="S55" s="4">
        <v>7.8639138047899664</v>
      </c>
      <c r="T55" s="4">
        <v>239.49676301222073</v>
      </c>
      <c r="U55" s="4">
        <v>46.110499288036067</v>
      </c>
      <c r="V55" s="4">
        <v>333.59916637629073</v>
      </c>
      <c r="W55" s="4">
        <v>67.112317768939491</v>
      </c>
      <c r="X55" s="4">
        <v>325.98559584302581</v>
      </c>
      <c r="Y55" s="4">
        <v>128.37432918816063</v>
      </c>
      <c r="Z55" s="4">
        <v>278.90368032747364</v>
      </c>
      <c r="AA55" s="4">
        <v>215.3975705054589</v>
      </c>
      <c r="AB55" s="4">
        <v>118.16208037962893</v>
      </c>
      <c r="AC55" s="4">
        <v>35.236248534978174</v>
      </c>
      <c r="AD55" s="4">
        <v>217.13401244526662</v>
      </c>
      <c r="AE55" s="4">
        <v>11.569087963013441</v>
      </c>
      <c r="AF55" s="4">
        <v>35.433726687531852</v>
      </c>
      <c r="AG55" s="4"/>
      <c r="AH55" s="4"/>
      <c r="AI55" s="4"/>
      <c r="AJ55" s="4"/>
      <c r="AK55" s="4"/>
      <c r="AL55" s="4"/>
      <c r="AM55" s="4"/>
      <c r="AN55" s="4"/>
      <c r="AO55" s="4"/>
      <c r="AP55" s="4"/>
      <c r="AQ55" s="4"/>
      <c r="AR55" s="4"/>
      <c r="AS55" s="4"/>
      <c r="AT55" s="4"/>
      <c r="AU55" s="4"/>
      <c r="AV55" s="4"/>
      <c r="AW55" s="4"/>
      <c r="AX55" s="4"/>
      <c r="AY55" s="4"/>
      <c r="AZ55" s="4"/>
      <c r="BA55" s="4"/>
      <c r="BB55" s="4"/>
    </row>
    <row r="56" spans="1:54" x14ac:dyDescent="0.25">
      <c r="A56" s="4">
        <v>4140</v>
      </c>
      <c r="B56" s="4"/>
      <c r="C56" s="4">
        <v>1037.5189350949779</v>
      </c>
      <c r="D56" s="4">
        <v>-2.2418652328744765E-2</v>
      </c>
      <c r="E56" s="4">
        <v>-1.4531744865012594E-2</v>
      </c>
      <c r="F56" s="4">
        <v>-0.12021136728042459</v>
      </c>
      <c r="G56" s="4">
        <v>-4.6986316322619626E-2</v>
      </c>
      <c r="H56" s="4">
        <v>-0.56203584844880761</v>
      </c>
      <c r="I56" s="4">
        <v>-0.32111333092703442</v>
      </c>
      <c r="J56" s="4">
        <v>-3.0703966708724613</v>
      </c>
      <c r="K56" s="4">
        <v>-1.3646248769306788</v>
      </c>
      <c r="L56" s="4">
        <v>-4.1719586371753952</v>
      </c>
      <c r="M56" s="4">
        <v>-1.2876055793746706</v>
      </c>
      <c r="N56" s="4">
        <v>-10.333280084796082</v>
      </c>
      <c r="O56" s="4">
        <v>-0.87186190542044717</v>
      </c>
      <c r="P56" s="4">
        <v>4.957021612626578</v>
      </c>
      <c r="Q56" s="4">
        <v>-6.1179772779936039</v>
      </c>
      <c r="R56" s="4">
        <v>-13.970816734171335</v>
      </c>
      <c r="S56" s="4">
        <v>7.0731091868989244</v>
      </c>
      <c r="T56" s="4">
        <v>220.08689321991579</v>
      </c>
      <c r="U56" s="4">
        <v>43.298442425825343</v>
      </c>
      <c r="V56" s="4">
        <v>320.13339350689665</v>
      </c>
      <c r="W56" s="4">
        <v>65.826104078131763</v>
      </c>
      <c r="X56" s="4">
        <v>326.84452497361764</v>
      </c>
      <c r="Y56" s="4">
        <v>131.59081178284194</v>
      </c>
      <c r="Z56" s="4">
        <v>292.32407612563173</v>
      </c>
      <c r="AA56" s="4">
        <v>230.8730307240086</v>
      </c>
      <c r="AB56" s="4">
        <v>129.53657903680931</v>
      </c>
      <c r="AC56" s="4">
        <v>39.513583712947835</v>
      </c>
      <c r="AD56" s="4">
        <v>249.10841484876278</v>
      </c>
      <c r="AE56" s="4">
        <v>13.580805875974216</v>
      </c>
      <c r="AF56" s="4">
        <v>42.566898105973841</v>
      </c>
      <c r="AG56" s="4"/>
      <c r="AH56" s="4"/>
      <c r="AI56" s="4"/>
      <c r="AJ56" s="4"/>
      <c r="AK56" s="4"/>
      <c r="AL56" s="4"/>
      <c r="AM56" s="4"/>
      <c r="AN56" s="4"/>
      <c r="AO56" s="4"/>
      <c r="AP56" s="4"/>
      <c r="AQ56" s="4"/>
      <c r="AR56" s="4"/>
      <c r="AS56" s="4"/>
      <c r="AT56" s="4"/>
      <c r="AU56" s="4"/>
      <c r="AV56" s="4"/>
      <c r="AW56" s="4"/>
      <c r="AX56" s="4"/>
      <c r="AY56" s="4"/>
      <c r="AZ56" s="4"/>
      <c r="BA56" s="4"/>
      <c r="BB56" s="4"/>
    </row>
    <row r="57" spans="1:54" x14ac:dyDescent="0.25">
      <c r="A57" s="4">
        <v>4130</v>
      </c>
      <c r="B57" s="4"/>
      <c r="C57" s="4">
        <v>1063.5433466274585</v>
      </c>
      <c r="D57" s="4">
        <v>-1.46772020276015E-2</v>
      </c>
      <c r="E57" s="4">
        <v>-9.7037878636731401E-3</v>
      </c>
      <c r="F57" s="4">
        <v>-8.1885194069184708E-2</v>
      </c>
      <c r="G57" s="4">
        <v>-3.2652363675030306E-2</v>
      </c>
      <c r="H57" s="4">
        <v>-0.39850906543963732</v>
      </c>
      <c r="I57" s="4">
        <v>-0.23233336889674458</v>
      </c>
      <c r="J57" s="4">
        <v>-2.2671248884943473</v>
      </c>
      <c r="K57" s="4">
        <v>-1.0284214489635273</v>
      </c>
      <c r="L57" s="4">
        <v>-3.2094044453687558</v>
      </c>
      <c r="M57" s="4">
        <v>-1.0112166481153362</v>
      </c>
      <c r="N57" s="4">
        <v>-8.2856642024975837</v>
      </c>
      <c r="O57" s="4">
        <v>-0.71386491252544526</v>
      </c>
      <c r="P57" s="4">
        <v>4.1449603763181768</v>
      </c>
      <c r="Q57" s="4">
        <v>-5.2250601853185668</v>
      </c>
      <c r="R57" s="4">
        <v>-12.188277683956271</v>
      </c>
      <c r="S57" s="4">
        <v>6.3040823042939858</v>
      </c>
      <c r="T57" s="4">
        <v>200.42465871895251</v>
      </c>
      <c r="U57" s="4">
        <v>40.293022193221908</v>
      </c>
      <c r="V57" s="4">
        <v>304.47029932039948</v>
      </c>
      <c r="W57" s="4">
        <v>63.991892023504235</v>
      </c>
      <c r="X57" s="4">
        <v>324.81643151551219</v>
      </c>
      <c r="Y57" s="4">
        <v>133.70576864071202</v>
      </c>
      <c r="Z57" s="4">
        <v>303.72147144112887</v>
      </c>
      <c r="AA57" s="4">
        <v>245.31815402503079</v>
      </c>
      <c r="AB57" s="4">
        <v>140.78437433831402</v>
      </c>
      <c r="AC57" s="4">
        <v>43.931366796637377</v>
      </c>
      <c r="AD57" s="4">
        <v>283.36384006835783</v>
      </c>
      <c r="AE57" s="4">
        <v>15.807804339593451</v>
      </c>
      <c r="AF57" s="4">
        <v>50.707362550151856</v>
      </c>
      <c r="AG57" s="4"/>
      <c r="AH57" s="4"/>
      <c r="AI57" s="4"/>
      <c r="AJ57" s="4"/>
      <c r="AK57" s="4"/>
      <c r="AL57" s="4"/>
      <c r="AM57" s="4"/>
      <c r="AN57" s="4"/>
      <c r="AO57" s="4"/>
      <c r="AP57" s="4"/>
      <c r="AQ57" s="4"/>
      <c r="AR57" s="4"/>
      <c r="AS57" s="4"/>
      <c r="AT57" s="4"/>
      <c r="AU57" s="4"/>
      <c r="AV57" s="4"/>
      <c r="AW57" s="4"/>
      <c r="AX57" s="4"/>
      <c r="AY57" s="4"/>
      <c r="AZ57" s="4"/>
      <c r="BA57" s="4"/>
      <c r="BB57" s="4"/>
    </row>
    <row r="58" spans="1:54" x14ac:dyDescent="0.25">
      <c r="A58" s="4">
        <v>4120</v>
      </c>
      <c r="B58" s="4"/>
      <c r="C58" s="4">
        <v>1085.4608701443724</v>
      </c>
      <c r="D58" s="4">
        <v>-9.5140099208465643E-3</v>
      </c>
      <c r="E58" s="4">
        <v>-6.4161159585300262E-3</v>
      </c>
      <c r="F58" s="4">
        <v>-5.5232353098839941E-2</v>
      </c>
      <c r="G58" s="4">
        <v>-2.247021459589426E-2</v>
      </c>
      <c r="H58" s="4">
        <v>-0.27982269038735125</v>
      </c>
      <c r="I58" s="4">
        <v>-0.16647792765743485</v>
      </c>
      <c r="J58" s="4">
        <v>-1.6579430945772879</v>
      </c>
      <c r="K58" s="4">
        <v>-0.7676507960441179</v>
      </c>
      <c r="L58" s="4">
        <v>-2.4454865757087081</v>
      </c>
      <c r="M58" s="4">
        <v>-0.78665392112011057</v>
      </c>
      <c r="N58" s="4">
        <v>-6.5813726322404822</v>
      </c>
      <c r="O58" s="4">
        <v>-0.57903712002826613</v>
      </c>
      <c r="P58" s="4">
        <v>3.4337140529215757</v>
      </c>
      <c r="Q58" s="4">
        <v>-4.4212102739362882</v>
      </c>
      <c r="R58" s="4">
        <v>-10.535416594331277</v>
      </c>
      <c r="S58" s="4">
        <v>5.5673014706245691</v>
      </c>
      <c r="T58" s="4">
        <v>180.85983637870493</v>
      </c>
      <c r="U58" s="4">
        <v>37.157305197835015</v>
      </c>
      <c r="V58" s="4">
        <v>286.97139704535863</v>
      </c>
      <c r="W58" s="4">
        <v>61.653045322461217</v>
      </c>
      <c r="X58" s="4">
        <v>319.93426130972114</v>
      </c>
      <c r="Y58" s="4">
        <v>134.65548466596971</v>
      </c>
      <c r="Z58" s="4">
        <v>312.79457357864533</v>
      </c>
      <c r="AA58" s="4">
        <v>258.39410605012034</v>
      </c>
      <c r="AB58" s="4">
        <v>151.68292295939736</v>
      </c>
      <c r="AC58" s="4">
        <v>48.422491426641031</v>
      </c>
      <c r="AD58" s="4">
        <v>319.57194669115745</v>
      </c>
      <c r="AE58" s="4">
        <v>18.243575909907779</v>
      </c>
      <c r="AF58" s="4">
        <v>59.894482548884426</v>
      </c>
      <c r="AG58" s="4"/>
      <c r="AH58" s="4"/>
      <c r="AI58" s="4"/>
      <c r="AJ58" s="4"/>
      <c r="AK58" s="4"/>
      <c r="AL58" s="4"/>
      <c r="AM58" s="4"/>
      <c r="AN58" s="4"/>
      <c r="AO58" s="4"/>
      <c r="AP58" s="4"/>
      <c r="AQ58" s="4"/>
      <c r="AR58" s="4"/>
      <c r="AS58" s="4"/>
      <c r="AT58" s="4"/>
      <c r="AU58" s="4"/>
      <c r="AV58" s="4"/>
      <c r="AW58" s="4"/>
      <c r="AX58" s="4"/>
      <c r="AY58" s="4"/>
      <c r="AZ58" s="4"/>
      <c r="BA58" s="4"/>
      <c r="BB58" s="4"/>
    </row>
    <row r="59" spans="1:54" x14ac:dyDescent="0.25">
      <c r="A59" s="4">
        <v>4110</v>
      </c>
      <c r="B59" s="4"/>
      <c r="C59" s="4">
        <v>1103.1450566752601</v>
      </c>
      <c r="D59" s="4">
        <v>-6.1057653609215964E-3</v>
      </c>
      <c r="E59" s="4">
        <v>-4.2002991543001154E-3</v>
      </c>
      <c r="F59" s="4">
        <v>-3.6887553796092987E-2</v>
      </c>
      <c r="G59" s="4">
        <v>-1.5311548501011647E-2</v>
      </c>
      <c r="H59" s="4">
        <v>-0.1945665680237714</v>
      </c>
      <c r="I59" s="4">
        <v>-0.11813094723940563</v>
      </c>
      <c r="J59" s="4">
        <v>-1.2007352334512436</v>
      </c>
      <c r="K59" s="4">
        <v>-0.56749412048887504</v>
      </c>
      <c r="L59" s="4">
        <v>-1.8455802960879701</v>
      </c>
      <c r="M59" s="4">
        <v>-0.60613855454040488</v>
      </c>
      <c r="N59" s="4">
        <v>-5.1781702077060778</v>
      </c>
      <c r="O59" s="4">
        <v>-0.46525342683843202</v>
      </c>
      <c r="P59" s="4">
        <v>2.8178827464624225</v>
      </c>
      <c r="Q59" s="4">
        <v>-3.7061967035172927</v>
      </c>
      <c r="R59" s="4">
        <v>-9.0223778250542974</v>
      </c>
      <c r="S59" s="4">
        <v>4.8713592644183743</v>
      </c>
      <c r="T59" s="4">
        <v>161.71058072859091</v>
      </c>
      <c r="U59" s="4">
        <v>33.953675881916254</v>
      </c>
      <c r="V59" s="4">
        <v>268.03008753352083</v>
      </c>
      <c r="W59" s="4">
        <v>58.865189634191957</v>
      </c>
      <c r="X59" s="4">
        <v>312.30666664632332</v>
      </c>
      <c r="Y59" s="4">
        <v>134.40615215512807</v>
      </c>
      <c r="Z59" s="4">
        <v>319.29176651202158</v>
      </c>
      <c r="AA59" s="4">
        <v>269.77646107914217</v>
      </c>
      <c r="AB59" s="4">
        <v>161.99863097659258</v>
      </c>
      <c r="AC59" s="4">
        <v>52.909785707127163</v>
      </c>
      <c r="AD59" s="4">
        <v>357.30040403787677</v>
      </c>
      <c r="AE59" s="4">
        <v>20.87436919847956</v>
      </c>
      <c r="AF59" s="4">
        <v>70.144250298488473</v>
      </c>
      <c r="AG59" s="4"/>
      <c r="AH59" s="4"/>
      <c r="AI59" s="4"/>
      <c r="AJ59" s="4"/>
      <c r="AK59" s="4"/>
      <c r="AL59" s="4"/>
      <c r="AM59" s="4"/>
      <c r="AN59" s="4"/>
      <c r="AO59" s="4"/>
      <c r="AP59" s="4"/>
      <c r="AQ59" s="4"/>
      <c r="AR59" s="4"/>
      <c r="AS59" s="4"/>
      <c r="AT59" s="4"/>
      <c r="AU59" s="4"/>
      <c r="AV59" s="4"/>
      <c r="AW59" s="4"/>
      <c r="AX59" s="4"/>
      <c r="AY59" s="4"/>
      <c r="AZ59" s="4"/>
      <c r="BA59" s="4"/>
      <c r="BB59" s="4"/>
    </row>
    <row r="60" spans="1:54" x14ac:dyDescent="0.25">
      <c r="A60" s="4">
        <v>4100</v>
      </c>
      <c r="B60" s="4"/>
      <c r="C60" s="4">
        <v>1116.4733689038317</v>
      </c>
      <c r="D60" s="4">
        <v>-3.8791999212490769E-3</v>
      </c>
      <c r="E60" s="4">
        <v>-2.7222926400627544E-3</v>
      </c>
      <c r="F60" s="4">
        <v>-2.4391239691826837E-2</v>
      </c>
      <c r="G60" s="4">
        <v>-1.0330467437452534E-2</v>
      </c>
      <c r="H60" s="4">
        <v>-0.13395651667246761</v>
      </c>
      <c r="I60" s="4">
        <v>-8.3004672209376115E-2</v>
      </c>
      <c r="J60" s="4">
        <v>-0.86114904653141322</v>
      </c>
      <c r="K60" s="4">
        <v>-0.41546476168654428</v>
      </c>
      <c r="L60" s="4">
        <v>-1.3794235120606548</v>
      </c>
      <c r="M60" s="4">
        <v>-0.46257174156688491</v>
      </c>
      <c r="N60" s="4">
        <v>-4.0353132516011421</v>
      </c>
      <c r="O60" s="4">
        <v>-0.37028495923105176</v>
      </c>
      <c r="P60" s="4">
        <v>2.2906955828184481</v>
      </c>
      <c r="Q60" s="4">
        <v>-3.0776831714521138</v>
      </c>
      <c r="R60" s="4">
        <v>-7.654574731742267</v>
      </c>
      <c r="S60" s="4">
        <v>4.222883355289567</v>
      </c>
      <c r="T60" s="4">
        <v>143.25543934443527</v>
      </c>
      <c r="U60" s="4">
        <v>30.741763723943368</v>
      </c>
      <c r="V60" s="4">
        <v>248.05673631649461</v>
      </c>
      <c r="W60" s="4">
        <v>55.693997254212896</v>
      </c>
      <c r="X60" s="4">
        <v>302.11411279727906</v>
      </c>
      <c r="Y60" s="4">
        <v>132.95573351027448</v>
      </c>
      <c r="Z60" s="4">
        <v>323.02249093493731</v>
      </c>
      <c r="AA60" s="4">
        <v>279.16816523421113</v>
      </c>
      <c r="AB60" s="4">
        <v>171.49457711752493</v>
      </c>
      <c r="AC60" s="4">
        <v>57.307757915680341</v>
      </c>
      <c r="AD60" s="4">
        <v>396.01461312909402</v>
      </c>
      <c r="AE60" s="4">
        <v>23.678492679123096</v>
      </c>
      <c r="AF60" s="4">
        <v>81.44402847678964</v>
      </c>
      <c r="AG60" s="4"/>
      <c r="AH60" s="4"/>
      <c r="AI60" s="4"/>
      <c r="AJ60" s="4"/>
      <c r="AK60" s="4"/>
      <c r="AL60" s="4"/>
      <c r="AM60" s="4"/>
      <c r="AN60" s="4"/>
      <c r="AO60" s="4"/>
      <c r="AP60" s="4"/>
      <c r="AQ60" s="4"/>
      <c r="AR60" s="4"/>
      <c r="AS60" s="4"/>
      <c r="AT60" s="4"/>
      <c r="AU60" s="4"/>
      <c r="AV60" s="4"/>
      <c r="AW60" s="4"/>
      <c r="AX60" s="4"/>
      <c r="AY60" s="4"/>
      <c r="AZ60" s="4"/>
      <c r="BA60" s="4"/>
      <c r="BB60" s="4"/>
    </row>
    <row r="61" spans="1:54" x14ac:dyDescent="0.25">
      <c r="A61" s="4">
        <v>4090</v>
      </c>
      <c r="B61" s="4"/>
      <c r="C61" s="4">
        <v>1125.3289475173922</v>
      </c>
      <c r="D61" s="4">
        <v>-2.4397135682594313E-3</v>
      </c>
      <c r="E61" s="4">
        <v>-1.7466470403886421E-3</v>
      </c>
      <c r="F61" s="4">
        <v>-1.5967057651982062E-2</v>
      </c>
      <c r="G61" s="4">
        <v>-6.9004782749322591E-3</v>
      </c>
      <c r="H61" s="4">
        <v>-9.131440871043757E-2</v>
      </c>
      <c r="I61" s="4">
        <v>-5.7748781420379453E-2</v>
      </c>
      <c r="J61" s="4">
        <v>-0.61155080711653209</v>
      </c>
      <c r="K61" s="4">
        <v>-0.30119794606120925</v>
      </c>
      <c r="L61" s="4">
        <v>-1.021008236181693</v>
      </c>
      <c r="M61" s="4">
        <v>-0.34960312928561521</v>
      </c>
      <c r="N61" s="4">
        <v>-3.1145077524960345</v>
      </c>
      <c r="O61" s="4">
        <v>-0.29188792341229158</v>
      </c>
      <c r="P61" s="4">
        <v>1.8444541528150553</v>
      </c>
      <c r="Q61" s="4">
        <v>-2.5316168111927762</v>
      </c>
      <c r="R61" s="4">
        <v>-6.433132013658593</v>
      </c>
      <c r="S61" s="4">
        <v>3.6265377607115421</v>
      </c>
      <c r="T61" s="4">
        <v>125.72770453729851</v>
      </c>
      <c r="U61" s="4">
        <v>27.576622087564608</v>
      </c>
      <c r="V61" s="4">
        <v>227.46368436321703</v>
      </c>
      <c r="W61" s="4">
        <v>52.21258528993426</v>
      </c>
      <c r="X61" s="4">
        <v>289.60181477935436</v>
      </c>
      <c r="Y61" s="4">
        <v>130.33443790622411</v>
      </c>
      <c r="Z61" s="4">
        <v>323.86634611385648</v>
      </c>
      <c r="AA61" s="4">
        <v>286.31211262330311</v>
      </c>
      <c r="AB61" s="4">
        <v>179.93910223498159</v>
      </c>
      <c r="AC61" s="4">
        <v>61.524941964456836</v>
      </c>
      <c r="AD61" s="4">
        <v>435.08460573184817</v>
      </c>
      <c r="AE61" s="4">
        <v>26.62588914966118</v>
      </c>
      <c r="AF61" s="4">
        <v>93.747678045627978</v>
      </c>
      <c r="AG61" s="4"/>
      <c r="AH61" s="4"/>
      <c r="AI61" s="4"/>
      <c r="AJ61" s="4"/>
      <c r="AK61" s="4"/>
      <c r="AL61" s="4"/>
      <c r="AM61" s="4"/>
      <c r="AN61" s="4"/>
      <c r="AO61" s="4"/>
      <c r="AP61" s="4"/>
      <c r="AQ61" s="4"/>
      <c r="AR61" s="4"/>
      <c r="AS61" s="4"/>
      <c r="AT61" s="4"/>
      <c r="AU61" s="4"/>
      <c r="AV61" s="4"/>
      <c r="AW61" s="4"/>
      <c r="AX61" s="4"/>
      <c r="AY61" s="4"/>
      <c r="AZ61" s="4"/>
      <c r="BA61" s="4"/>
      <c r="BB61" s="4"/>
    </row>
    <row r="62" spans="1:54" x14ac:dyDescent="0.25">
      <c r="A62" s="4">
        <v>4080</v>
      </c>
      <c r="B62" s="4"/>
      <c r="C62" s="4">
        <v>1129.6037892887616</v>
      </c>
      <c r="D62" s="4">
        <v>-1.5187943098433747E-3</v>
      </c>
      <c r="E62" s="4">
        <v>-1.1093284964775714E-3</v>
      </c>
      <c r="F62" s="4">
        <v>-1.034717834063109E-2</v>
      </c>
      <c r="G62" s="4">
        <v>-4.5631621220108614E-3</v>
      </c>
      <c r="H62" s="4">
        <v>-6.1625980874917795E-2</v>
      </c>
      <c r="I62" s="4">
        <v>-3.9779001637861897E-2</v>
      </c>
      <c r="J62" s="4">
        <v>-0.43001078934769255</v>
      </c>
      <c r="K62" s="4">
        <v>-0.21621426847038194</v>
      </c>
      <c r="L62" s="4">
        <v>-0.74833742513101376</v>
      </c>
      <c r="M62" s="4">
        <v>-0.261655768073631</v>
      </c>
      <c r="N62" s="4">
        <v>-2.3805794656765911</v>
      </c>
      <c r="O62" s="4">
        <v>-0.22787659904303553</v>
      </c>
      <c r="P62" s="4">
        <v>1.4709383443372626</v>
      </c>
      <c r="Q62" s="4">
        <v>-2.0626277302276641</v>
      </c>
      <c r="R62" s="4">
        <v>-5.355444378042951</v>
      </c>
      <c r="S62" s="4">
        <v>3.0851049442877212</v>
      </c>
      <c r="T62" s="4">
        <v>109.31218434130071</v>
      </c>
      <c r="U62" s="4">
        <v>24.507234852014392</v>
      </c>
      <c r="V62" s="4">
        <v>206.65096918528428</v>
      </c>
      <c r="W62" s="4">
        <v>48.498672814917825</v>
      </c>
      <c r="X62" s="4">
        <v>275.06988677216594</v>
      </c>
      <c r="Y62" s="4">
        <v>126.60375853529267</v>
      </c>
      <c r="Z62" s="4">
        <v>321.77931854178445</v>
      </c>
      <c r="AA62" s="4">
        <v>291.00261194674556</v>
      </c>
      <c r="AB62" s="4">
        <v>187.11486113483588</v>
      </c>
      <c r="AC62" s="4">
        <v>65.466778520829152</v>
      </c>
      <c r="AD62" s="4">
        <v>473.79745752207111</v>
      </c>
      <c r="AE62" s="4">
        <v>29.678051488794786</v>
      </c>
      <c r="AF62" s="4">
        <v>106.97143950265615</v>
      </c>
      <c r="AG62" s="4"/>
      <c r="AH62" s="4"/>
      <c r="AI62" s="4"/>
      <c r="AJ62" s="4"/>
      <c r="AK62" s="4"/>
      <c r="AL62" s="4"/>
      <c r="AM62" s="4"/>
      <c r="AN62" s="4"/>
      <c r="AO62" s="4"/>
      <c r="AP62" s="4"/>
      <c r="AQ62" s="4"/>
      <c r="AR62" s="4"/>
      <c r="AS62" s="4"/>
      <c r="AT62" s="4"/>
      <c r="AU62" s="4"/>
      <c r="AV62" s="4"/>
      <c r="AW62" s="4"/>
      <c r="AX62" s="4"/>
      <c r="AY62" s="4"/>
      <c r="AZ62" s="4"/>
      <c r="BA62" s="4"/>
      <c r="BB62" s="4"/>
    </row>
    <row r="63" spans="1:54" x14ac:dyDescent="0.25">
      <c r="A63" s="4">
        <v>4070</v>
      </c>
      <c r="B63" s="4"/>
      <c r="C63" s="4">
        <v>1129.2033849422971</v>
      </c>
      <c r="D63" s="4">
        <v>-9.3581727553281675E-4</v>
      </c>
      <c r="E63" s="4">
        <v>-6.9737841378269302E-4</v>
      </c>
      <c r="F63" s="4">
        <v>-6.6373350704630445E-3</v>
      </c>
      <c r="G63" s="4">
        <v>-2.9870943573430302E-3</v>
      </c>
      <c r="H63" s="4">
        <v>-4.1172420817627321E-2</v>
      </c>
      <c r="I63" s="4">
        <v>-2.7127187291303378E-2</v>
      </c>
      <c r="J63" s="4">
        <v>-0.29935596867890368</v>
      </c>
      <c r="K63" s="4">
        <v>-0.15367403902540069</v>
      </c>
      <c r="L63" s="4">
        <v>-0.54308982951269125</v>
      </c>
      <c r="M63" s="4">
        <v>-0.1939159794651229</v>
      </c>
      <c r="N63" s="4">
        <v>-1.8018832941852885</v>
      </c>
      <c r="O63" s="4">
        <v>-0.17617999497786646</v>
      </c>
      <c r="P63" s="4">
        <v>1.1617616012495995</v>
      </c>
      <c r="Q63" s="4">
        <v>-1.6644183313964591</v>
      </c>
      <c r="R63" s="4">
        <v>-4.4158088413876557</v>
      </c>
      <c r="S63" s="4">
        <v>2.5996355115868912</v>
      </c>
      <c r="T63" s="4">
        <v>94.14432684443058</v>
      </c>
      <c r="U63" s="4">
        <v>21.575402408560478</v>
      </c>
      <c r="V63" s="4">
        <v>185.99345431338404</v>
      </c>
      <c r="W63" s="4">
        <v>44.631653579691175</v>
      </c>
      <c r="X63" s="4">
        <v>258.86125798896393</v>
      </c>
      <c r="Y63" s="4">
        <v>121.85410644558588</v>
      </c>
      <c r="Z63" s="4">
        <v>316.79670038917601</v>
      </c>
      <c r="AA63" s="4">
        <v>293.09504526230165</v>
      </c>
      <c r="AB63" s="4">
        <v>192.827866142163</v>
      </c>
      <c r="AC63" s="4">
        <v>69.038924658132416</v>
      </c>
      <c r="AD63" s="4">
        <v>511.37522636316112</v>
      </c>
      <c r="AE63" s="4">
        <v>32.788338794733647</v>
      </c>
      <c r="AF63" s="4">
        <v>120.99095309332927</v>
      </c>
      <c r="AG63" s="4"/>
      <c r="AH63" s="4"/>
      <c r="AI63" s="4"/>
      <c r="AJ63" s="4"/>
      <c r="AK63" s="4"/>
      <c r="AL63" s="4"/>
      <c r="AM63" s="4"/>
      <c r="AN63" s="4"/>
      <c r="AO63" s="4"/>
      <c r="AP63" s="4"/>
      <c r="AQ63" s="4"/>
      <c r="AR63" s="4"/>
      <c r="AS63" s="4"/>
      <c r="AT63" s="4"/>
      <c r="AU63" s="4"/>
      <c r="AV63" s="4"/>
      <c r="AW63" s="4"/>
      <c r="AX63" s="4"/>
      <c r="AY63" s="4"/>
      <c r="AZ63" s="4"/>
      <c r="BA63" s="4"/>
      <c r="BB63" s="4"/>
    </row>
    <row r="64" spans="1:54" x14ac:dyDescent="0.25">
      <c r="A64" s="4">
        <v>4060</v>
      </c>
      <c r="B64" s="4"/>
      <c r="C64" s="4">
        <v>1124.0527400443502</v>
      </c>
      <c r="D64" s="4">
        <v>-5.7066782622309002E-4</v>
      </c>
      <c r="E64" s="4">
        <v>-4.3390884864772029E-4</v>
      </c>
      <c r="F64" s="4">
        <v>-4.2141383004803672E-3</v>
      </c>
      <c r="G64" s="4">
        <v>-1.9355165698569576E-3</v>
      </c>
      <c r="H64" s="4">
        <v>-2.7229249124727312E-2</v>
      </c>
      <c r="I64" s="4">
        <v>-1.8313201396963238E-2</v>
      </c>
      <c r="J64" s="4">
        <v>-0.20631326211798282</v>
      </c>
      <c r="K64" s="4">
        <v>-0.10813579448129916</v>
      </c>
      <c r="L64" s="4">
        <v>-0.39023028523233472</v>
      </c>
      <c r="M64" s="4">
        <v>-0.1422965560040067</v>
      </c>
      <c r="N64" s="4">
        <v>-1.3504878324654999</v>
      </c>
      <c r="O64" s="4">
        <v>-0.13488267256902345</v>
      </c>
      <c r="P64" s="4">
        <v>0.90866764775159059</v>
      </c>
      <c r="Q64" s="4">
        <v>-1.3301252955006315</v>
      </c>
      <c r="R64" s="4">
        <v>-3.6060894774221479</v>
      </c>
      <c r="S64" s="4">
        <v>2.1696498709261842</v>
      </c>
      <c r="T64" s="4">
        <v>80.311500415022735</v>
      </c>
      <c r="U64" s="4">
        <v>18.815032214744285</v>
      </c>
      <c r="V64" s="4">
        <v>165.82994219213265</v>
      </c>
      <c r="W64" s="4">
        <v>40.689740721234514</v>
      </c>
      <c r="X64" s="4">
        <v>241.34804025900391</v>
      </c>
      <c r="Y64" s="4">
        <v>116.20116542369838</v>
      </c>
      <c r="Z64" s="4">
        <v>309.03245708553624</v>
      </c>
      <c r="AA64" s="4">
        <v>292.5130979395957</v>
      </c>
      <c r="AB64" s="4">
        <v>196.91601436702109</v>
      </c>
      <c r="AC64" s="4">
        <v>72.150845098283256</v>
      </c>
      <c r="AD64" s="4">
        <v>546.99805525859961</v>
      </c>
      <c r="AE64" s="4">
        <v>35.902733881643911</v>
      </c>
      <c r="AF64" s="4">
        <v>135.63979557136636</v>
      </c>
      <c r="AG64" s="4"/>
      <c r="AH64" s="4"/>
      <c r="AI64" s="4"/>
      <c r="AJ64" s="4"/>
      <c r="AK64" s="4"/>
      <c r="AL64" s="4"/>
      <c r="AM64" s="4"/>
      <c r="AN64" s="4"/>
      <c r="AO64" s="4"/>
      <c r="AP64" s="4"/>
      <c r="AQ64" s="4"/>
      <c r="AR64" s="4"/>
      <c r="AS64" s="4"/>
      <c r="AT64" s="4"/>
      <c r="AU64" s="4"/>
      <c r="AV64" s="4"/>
      <c r="AW64" s="4"/>
      <c r="AX64" s="4"/>
      <c r="AY64" s="4"/>
      <c r="AZ64" s="4"/>
      <c r="BA64" s="4"/>
      <c r="BB64" s="4"/>
    </row>
    <row r="65" spans="1:54" x14ac:dyDescent="0.25">
      <c r="A65" s="4">
        <v>4050</v>
      </c>
      <c r="B65" s="4"/>
      <c r="C65" s="4">
        <v>1114.1035681848034</v>
      </c>
      <c r="D65" s="4">
        <v>-3.4438475989968077E-4</v>
      </c>
      <c r="E65" s="4">
        <v>-2.6718881100963842E-4</v>
      </c>
      <c r="F65" s="4">
        <v>-2.6481052662600535E-3</v>
      </c>
      <c r="G65" s="4">
        <v>-1.2413036933774759E-3</v>
      </c>
      <c r="H65" s="4">
        <v>-1.7824609809091261E-2</v>
      </c>
      <c r="I65" s="4">
        <v>-1.2237731036025564E-2</v>
      </c>
      <c r="J65" s="4">
        <v>-0.14075558683096939</v>
      </c>
      <c r="K65" s="4">
        <v>-7.5328615344162048E-2</v>
      </c>
      <c r="L65" s="4">
        <v>-0.27759664029559883</v>
      </c>
      <c r="M65" s="4">
        <v>-0.1033812149236266</v>
      </c>
      <c r="N65" s="4">
        <v>-1.0021755221408672</v>
      </c>
      <c r="O65" s="4">
        <v>-0.102251009868858</v>
      </c>
      <c r="P65" s="4">
        <v>0.70376537172967923</v>
      </c>
      <c r="Q65" s="4">
        <v>-1.052641368878074</v>
      </c>
      <c r="R65" s="4">
        <v>-2.9163773938168811</v>
      </c>
      <c r="S65" s="4">
        <v>1.7933751449653921</v>
      </c>
      <c r="T65" s="4">
        <v>67.856126710485952</v>
      </c>
      <c r="U65" s="4">
        <v>16.251833004415445</v>
      </c>
      <c r="V65" s="4">
        <v>146.45468986152844</v>
      </c>
      <c r="W65" s="4">
        <v>36.747328872533302</v>
      </c>
      <c r="X65" s="4">
        <v>222.91711386125289</v>
      </c>
      <c r="Y65" s="4">
        <v>109.78117269010517</v>
      </c>
      <c r="Z65" s="4">
        <v>298.67502349887621</v>
      </c>
      <c r="AA65" s="4">
        <v>289.25306630423802</v>
      </c>
      <c r="AB65" s="4">
        <v>199.25658827754415</v>
      </c>
      <c r="AC65" s="4">
        <v>74.719505301529836</v>
      </c>
      <c r="AD65" s="4">
        <v>579.8316874944029</v>
      </c>
      <c r="AE65" s="4">
        <v>38.961058952076016</v>
      </c>
      <c r="AF65" s="4">
        <v>150.70987169939775</v>
      </c>
      <c r="AG65" s="4"/>
      <c r="AH65" s="4"/>
      <c r="AI65" s="4"/>
      <c r="AJ65" s="4"/>
      <c r="AK65" s="4"/>
      <c r="AL65" s="4"/>
      <c r="AM65" s="4"/>
      <c r="AN65" s="4"/>
      <c r="AO65" s="4"/>
      <c r="AP65" s="4"/>
      <c r="AQ65" s="4"/>
      <c r="AR65" s="4"/>
      <c r="AS65" s="4"/>
      <c r="AT65" s="4"/>
      <c r="AU65" s="4"/>
      <c r="AV65" s="4"/>
      <c r="AW65" s="4"/>
      <c r="AX65" s="4"/>
      <c r="AY65" s="4"/>
      <c r="AZ65" s="4"/>
      <c r="BA65" s="4"/>
      <c r="BB65" s="4"/>
    </row>
    <row r="66" spans="1:54" x14ac:dyDescent="0.25">
      <c r="A66" s="4">
        <v>4040</v>
      </c>
      <c r="B66" s="4"/>
      <c r="C66" s="4">
        <v>1099.3423132934754</v>
      </c>
      <c r="D66" s="4">
        <v>-2.0565551194351968E-4</v>
      </c>
      <c r="E66" s="4">
        <v>-1.6281543571093572E-4</v>
      </c>
      <c r="F66" s="4">
        <v>-1.646800633260068E-3</v>
      </c>
      <c r="G66" s="4">
        <v>-7.8788060851474404E-4</v>
      </c>
      <c r="H66" s="4">
        <v>-1.1548554242393342E-2</v>
      </c>
      <c r="I66" s="4">
        <v>-8.0943669461009081E-3</v>
      </c>
      <c r="J66" s="4">
        <v>-9.5054294789031907E-2</v>
      </c>
      <c r="K66" s="4">
        <v>-5.1944608633582426E-2</v>
      </c>
      <c r="L66" s="4">
        <v>-0.19548792122224692</v>
      </c>
      <c r="M66" s="4">
        <v>-7.4357365340078252E-2</v>
      </c>
      <c r="N66" s="4">
        <v>-0.7362999721317196</v>
      </c>
      <c r="O66" s="4">
        <v>-7.6746718545322265E-2</v>
      </c>
      <c r="P66" s="4">
        <v>0.53970259669284637</v>
      </c>
      <c r="Q66" s="4">
        <v>-0.82488850696316185</v>
      </c>
      <c r="R66" s="4">
        <v>-2.3356145487897368</v>
      </c>
      <c r="S66" s="4">
        <v>1.4680007731619102</v>
      </c>
      <c r="T66" s="4">
        <v>56.780288968433155</v>
      </c>
      <c r="U66" s="4">
        <v>13.903387925201367</v>
      </c>
      <c r="V66" s="4">
        <v>128.11157230615746</v>
      </c>
      <c r="W66" s="4">
        <v>32.872698381879452</v>
      </c>
      <c r="X66" s="4">
        <v>203.95572348311137</v>
      </c>
      <c r="Y66" s="4">
        <v>102.74539582626474</v>
      </c>
      <c r="Z66" s="4">
        <v>285.97973482759642</v>
      </c>
      <c r="AA66" s="4">
        <v>283.38491922575429</v>
      </c>
      <c r="AB66" s="4">
        <v>199.77225486491403</v>
      </c>
      <c r="AC66" s="4">
        <v>76.672964386385814</v>
      </c>
      <c r="AD66" s="4">
        <v>609.05826021050484</v>
      </c>
      <c r="AE66" s="4">
        <v>41.898637244851294</v>
      </c>
      <c r="AF66" s="4">
        <v>165.95392557583523</v>
      </c>
      <c r="AG66" s="4"/>
      <c r="AH66" s="4"/>
      <c r="AI66" s="4"/>
      <c r="AJ66" s="4"/>
      <c r="AK66" s="4"/>
      <c r="AL66" s="4"/>
      <c r="AM66" s="4"/>
      <c r="AN66" s="4"/>
      <c r="AO66" s="4"/>
      <c r="AP66" s="4"/>
      <c r="AQ66" s="4"/>
      <c r="AR66" s="4"/>
      <c r="AS66" s="4"/>
      <c r="AT66" s="4"/>
      <c r="AU66" s="4"/>
      <c r="AV66" s="4"/>
      <c r="AW66" s="4"/>
      <c r="AX66" s="4"/>
      <c r="AY66" s="4"/>
      <c r="AZ66" s="4"/>
      <c r="BA66" s="4"/>
      <c r="BB66" s="4"/>
    </row>
    <row r="67" spans="1:54" x14ac:dyDescent="0.25">
      <c r="A67" s="4">
        <v>4030</v>
      </c>
      <c r="B67" s="4"/>
      <c r="C67" s="4">
        <v>1079.7985386827434</v>
      </c>
      <c r="D67" s="4">
        <v>-1.2151784925985029E-4</v>
      </c>
      <c r="E67" s="4">
        <v>-9.8174327928732833E-5</v>
      </c>
      <c r="F67" s="4">
        <v>-1.0134299575703175E-3</v>
      </c>
      <c r="G67" s="4">
        <v>-4.9489345148323572E-4</v>
      </c>
      <c r="H67" s="4">
        <v>-7.4050203501908858E-3</v>
      </c>
      <c r="I67" s="4">
        <v>-5.2988077844145975E-3</v>
      </c>
      <c r="J67" s="4">
        <v>-6.3535068656163901E-2</v>
      </c>
      <c r="K67" s="4">
        <v>-3.5455132992908159E-2</v>
      </c>
      <c r="L67" s="4">
        <v>-0.13627193185089004</v>
      </c>
      <c r="M67" s="4">
        <v>-5.2943159959827672E-2</v>
      </c>
      <c r="N67" s="4">
        <v>-0.53554029393493374</v>
      </c>
      <c r="O67" s="4">
        <v>-5.7029741399572391E-2</v>
      </c>
      <c r="P67" s="4">
        <v>0.40978271196856281</v>
      </c>
      <c r="Q67" s="4">
        <v>-0.64003813268321763</v>
      </c>
      <c r="R67" s="4">
        <v>-1.8521570126857916</v>
      </c>
      <c r="S67" s="4">
        <v>1.1899374699607015</v>
      </c>
      <c r="T67" s="4">
        <v>47.051397278866631</v>
      </c>
      <c r="U67" s="4">
        <v>11.779561938960784</v>
      </c>
      <c r="V67" s="4">
        <v>110.99095977237562</v>
      </c>
      <c r="W67" s="4">
        <v>29.12615805868198</v>
      </c>
      <c r="X67" s="4">
        <v>184.83784483091816</v>
      </c>
      <c r="Y67" s="4">
        <v>95.254122054945924</v>
      </c>
      <c r="Z67" s="4">
        <v>271.25831308435409</v>
      </c>
      <c r="AA67" s="4">
        <v>275.04998976691218</v>
      </c>
      <c r="AB67" s="4">
        <v>198.43516202281262</v>
      </c>
      <c r="AC67" s="4">
        <v>77.953657018492933</v>
      </c>
      <c r="AD67" s="4">
        <v>633.90890648155209</v>
      </c>
      <c r="AE67" s="4">
        <v>44.648356424512357</v>
      </c>
      <c r="AF67" s="4">
        <v>181.09033076805611</v>
      </c>
      <c r="AG67" s="4"/>
      <c r="AH67" s="4"/>
      <c r="AI67" s="4"/>
      <c r="AJ67" s="4"/>
      <c r="AK67" s="4"/>
      <c r="AL67" s="4"/>
      <c r="AM67" s="4"/>
      <c r="AN67" s="4"/>
      <c r="AO67" s="4"/>
      <c r="AP67" s="4"/>
      <c r="AQ67" s="4"/>
      <c r="AR67" s="4"/>
      <c r="AS67" s="4"/>
      <c r="AT67" s="4"/>
      <c r="AU67" s="4"/>
      <c r="AV67" s="4"/>
      <c r="AW67" s="4"/>
      <c r="AX67" s="4"/>
      <c r="AY67" s="4"/>
      <c r="AZ67" s="4"/>
      <c r="BA67" s="4"/>
      <c r="BB67" s="4"/>
    </row>
    <row r="68" spans="1:54" x14ac:dyDescent="0.25">
      <c r="A68" s="4">
        <v>4020</v>
      </c>
      <c r="B68" s="4"/>
      <c r="C68" s="4">
        <v>1055.5531259104864</v>
      </c>
      <c r="D68" s="4">
        <v>-7.1041183954421831E-5</v>
      </c>
      <c r="E68" s="4">
        <v>-5.8572338531886274E-5</v>
      </c>
      <c r="F68" s="4">
        <v>-6.1710733029019145E-4</v>
      </c>
      <c r="G68" s="4">
        <v>-3.0760923189562263E-4</v>
      </c>
      <c r="H68" s="4">
        <v>-4.6987624150260782E-3</v>
      </c>
      <c r="I68" s="4">
        <v>-3.4328465181172204E-3</v>
      </c>
      <c r="J68" s="4">
        <v>-4.2029931543302958E-2</v>
      </c>
      <c r="K68" s="4">
        <v>-2.3952110118900707E-2</v>
      </c>
      <c r="L68" s="4">
        <v>-9.4024632625633958E-2</v>
      </c>
      <c r="M68" s="4">
        <v>-3.731361520441847E-2</v>
      </c>
      <c r="N68" s="4">
        <v>-0.38558853320034381</v>
      </c>
      <c r="O68" s="4">
        <v>-4.1952775129382176E-2</v>
      </c>
      <c r="P68" s="4">
        <v>0.30803049280171491</v>
      </c>
      <c r="Q68" s="4">
        <v>-0.49167800696252539</v>
      </c>
      <c r="R68" s="4">
        <v>-1.4542607508445327</v>
      </c>
      <c r="S68" s="4">
        <v>0.9550662663876941</v>
      </c>
      <c r="T68" s="4">
        <v>38.608484573613865</v>
      </c>
      <c r="U68" s="4">
        <v>9.8831839281266038</v>
      </c>
      <c r="V68" s="4">
        <v>95.229206772510139</v>
      </c>
      <c r="W68" s="4">
        <v>25.558689587539877</v>
      </c>
      <c r="X68" s="4">
        <v>165.91199868213656</v>
      </c>
      <c r="Y68" s="4">
        <v>87.470498264714024</v>
      </c>
      <c r="Z68" s="4">
        <v>254.86601523290244</v>
      </c>
      <c r="AA68" s="4">
        <v>264.45538749527054</v>
      </c>
      <c r="AB68" s="4">
        <v>195.26883784443274</v>
      </c>
      <c r="AC68" s="4">
        <v>78.521159878579127</v>
      </c>
      <c r="AD68" s="4">
        <v>653.69643902400139</v>
      </c>
      <c r="AE68" s="4">
        <v>47.143056838659895</v>
      </c>
      <c r="AF68" s="4">
        <v>195.81018323394295</v>
      </c>
      <c r="AG68" s="4"/>
      <c r="AH68" s="4"/>
      <c r="AI68" s="4"/>
      <c r="AJ68" s="4"/>
      <c r="AK68" s="4"/>
      <c r="AL68" s="4"/>
      <c r="AM68" s="4"/>
      <c r="AN68" s="4"/>
      <c r="AO68" s="4"/>
      <c r="AP68" s="4"/>
      <c r="AQ68" s="4"/>
      <c r="AR68" s="4"/>
      <c r="AS68" s="4"/>
      <c r="AT68" s="4"/>
      <c r="AU68" s="4"/>
      <c r="AV68" s="4"/>
      <c r="AW68" s="4"/>
      <c r="AX68" s="4"/>
      <c r="AY68" s="4"/>
      <c r="AZ68" s="4"/>
      <c r="BA68" s="4"/>
      <c r="BB68" s="4"/>
    </row>
    <row r="69" spans="1:54" x14ac:dyDescent="0.25">
      <c r="A69" s="4">
        <v>4010</v>
      </c>
      <c r="B69" s="4"/>
      <c r="C69" s="4">
        <v>1026.7456673190761</v>
      </c>
      <c r="D69" s="4">
        <v>-4.1088237446413081E-5</v>
      </c>
      <c r="E69" s="4">
        <v>-3.4573741013003477E-5</v>
      </c>
      <c r="F69" s="4">
        <v>-3.7179963062891483E-4</v>
      </c>
      <c r="G69" s="4">
        <v>-1.8918666587544711E-4</v>
      </c>
      <c r="H69" s="4">
        <v>-2.9503025618218032E-3</v>
      </c>
      <c r="I69" s="4">
        <v>-2.2007915566613265E-3</v>
      </c>
      <c r="J69" s="4">
        <v>-2.7515331725092643E-2</v>
      </c>
      <c r="K69" s="4">
        <v>-1.6014081905250107E-2</v>
      </c>
      <c r="L69" s="4">
        <v>-6.4208618138691942E-2</v>
      </c>
      <c r="M69" s="4">
        <v>-2.6029403351784691E-2</v>
      </c>
      <c r="N69" s="4">
        <v>-0.27480117319880543</v>
      </c>
      <c r="O69" s="4">
        <v>-3.0549614345724015E-2</v>
      </c>
      <c r="P69" s="4">
        <v>0.22921492853739575</v>
      </c>
      <c r="Q69" s="4">
        <v>-0.37392829122794546</v>
      </c>
      <c r="R69" s="4">
        <v>-1.1304803309429465</v>
      </c>
      <c r="S69" s="4">
        <v>0.75896699283767577</v>
      </c>
      <c r="T69" s="4">
        <v>31.368728543614754</v>
      </c>
      <c r="U69" s="4">
        <v>8.2109347186066017</v>
      </c>
      <c r="V69" s="4">
        <v>80.91050409638693</v>
      </c>
      <c r="W69" s="4">
        <v>22.211121406456982</v>
      </c>
      <c r="X69" s="4">
        <v>147.49106181639493</v>
      </c>
      <c r="Y69" s="4">
        <v>79.554557656335618</v>
      </c>
      <c r="Z69" s="4">
        <v>237.18718941461168</v>
      </c>
      <c r="AA69" s="4">
        <v>251.86543378300129</v>
      </c>
      <c r="AB69" s="4">
        <v>190.34773205954878</v>
      </c>
      <c r="AC69" s="4">
        <v>78.354260699051778</v>
      </c>
      <c r="AD69" s="4">
        <v>667.84624103188548</v>
      </c>
      <c r="AE69" s="4">
        <v>49.318137315384099</v>
      </c>
      <c r="AF69" s="4">
        <v>209.78656476272761</v>
      </c>
      <c r="AG69" s="4"/>
      <c r="AH69" s="4"/>
      <c r="AI69" s="4"/>
      <c r="AJ69" s="4"/>
      <c r="AK69" s="4"/>
      <c r="AL69" s="4"/>
      <c r="AM69" s="4"/>
      <c r="AN69" s="4"/>
      <c r="AO69" s="4"/>
      <c r="AP69" s="4"/>
      <c r="AQ69" s="4"/>
      <c r="AR69" s="4"/>
      <c r="AS69" s="4"/>
      <c r="AT69" s="4"/>
      <c r="AU69" s="4"/>
      <c r="AV69" s="4"/>
      <c r="AW69" s="4"/>
      <c r="AX69" s="4"/>
      <c r="AY69" s="4"/>
      <c r="AZ69" s="4"/>
      <c r="BA69" s="4"/>
      <c r="BB69" s="4"/>
    </row>
    <row r="70" spans="1:54" x14ac:dyDescent="0.25">
      <c r="A70" s="4">
        <v>4000</v>
      </c>
      <c r="B70" s="4"/>
      <c r="C70" s="4">
        <v>993.58042048667892</v>
      </c>
      <c r="D70" s="4">
        <v>-2.3508696408528429E-5</v>
      </c>
      <c r="E70" s="4">
        <v>-2.018951974018533E-5</v>
      </c>
      <c r="F70" s="4">
        <v>-2.2161809341548136E-4</v>
      </c>
      <c r="G70" s="4">
        <v>-1.1512032915340106E-4</v>
      </c>
      <c r="H70" s="4">
        <v>-1.832915396166698E-3</v>
      </c>
      <c r="I70" s="4">
        <v>-1.396107319151566E-3</v>
      </c>
      <c r="J70" s="4">
        <v>-1.7824973466870821E-2</v>
      </c>
      <c r="K70" s="4">
        <v>-1.0595493923992045E-2</v>
      </c>
      <c r="L70" s="4">
        <v>-4.3393916804230055E-2</v>
      </c>
      <c r="M70" s="4">
        <v>-1.7970825728916291E-2</v>
      </c>
      <c r="N70" s="4">
        <v>-0.19383991222207511</v>
      </c>
      <c r="O70" s="4">
        <v>-2.2019338454010995E-2</v>
      </c>
      <c r="P70" s="4">
        <v>0.16883755954430379</v>
      </c>
      <c r="Q70" s="4">
        <v>-0.2815117079228292</v>
      </c>
      <c r="R70" s="4">
        <v>-0.86997762995616013</v>
      </c>
      <c r="S70" s="4">
        <v>0.59711847930553841</v>
      </c>
      <c r="T70" s="4">
        <v>25.233840166308784</v>
      </c>
      <c r="U70" s="4">
        <v>6.7543687327448731</v>
      </c>
      <c r="V70" s="4">
        <v>68.070730200525702</v>
      </c>
      <c r="W70" s="4">
        <v>19.113825336990935</v>
      </c>
      <c r="X70" s="4">
        <v>129.84446554850362</v>
      </c>
      <c r="Y70" s="4">
        <v>71.657742486664262</v>
      </c>
      <c r="Z70" s="4">
        <v>218.62007007549002</v>
      </c>
      <c r="AA70" s="4">
        <v>237.59061382005504</v>
      </c>
      <c r="AB70" s="4">
        <v>183.79438865979742</v>
      </c>
      <c r="AC70" s="4">
        <v>77.452185274153237</v>
      </c>
      <c r="AD70" s="4">
        <v>675.92347399441496</v>
      </c>
      <c r="AE70" s="4">
        <v>51.114245831525082</v>
      </c>
      <c r="AF70" s="4">
        <v>222.68567806516717</v>
      </c>
      <c r="AG70" s="4"/>
      <c r="AH70" s="4"/>
      <c r="AI70" s="4"/>
      <c r="AJ70" s="4"/>
      <c r="AK70" s="4"/>
      <c r="AL70" s="4"/>
      <c r="AM70" s="4"/>
      <c r="AN70" s="4"/>
      <c r="AO70" s="4"/>
      <c r="AP70" s="4"/>
      <c r="AQ70" s="4"/>
      <c r="AR70" s="4"/>
      <c r="AS70" s="4"/>
      <c r="AT70" s="4"/>
      <c r="AU70" s="4"/>
      <c r="AV70" s="4"/>
      <c r="AW70" s="4"/>
      <c r="AX70" s="4"/>
      <c r="AY70" s="4"/>
      <c r="AZ70" s="4"/>
      <c r="BA70" s="4"/>
      <c r="BB70" s="4"/>
    </row>
    <row r="71" spans="1:54" x14ac:dyDescent="0.25">
      <c r="A71" s="4">
        <v>3990</v>
      </c>
      <c r="B71" s="4"/>
      <c r="C71" s="4">
        <v>956.33022606483814</v>
      </c>
      <c r="D71" s="4">
        <v>-1.3304835363511554E-5</v>
      </c>
      <c r="E71" s="4">
        <v>-1.1662662901527781E-5</v>
      </c>
      <c r="F71" s="4">
        <v>-1.30682042911096E-4</v>
      </c>
      <c r="G71" s="4">
        <v>-6.9302739664611944E-5</v>
      </c>
      <c r="H71" s="4">
        <v>-1.1266207033467411E-3</v>
      </c>
      <c r="I71" s="4">
        <v>-8.7627582574907473E-4</v>
      </c>
      <c r="J71" s="4">
        <v>-1.1425835822580735E-2</v>
      </c>
      <c r="K71" s="4">
        <v>-6.9369451043422544E-3</v>
      </c>
      <c r="L71" s="4">
        <v>-2.9021198252706413E-2</v>
      </c>
      <c r="M71" s="4">
        <v>-1.2278519693893172E-2</v>
      </c>
      <c r="N71" s="4">
        <v>-0.13532103683946492</v>
      </c>
      <c r="O71" s="4">
        <v>-1.5708103573927275E-2</v>
      </c>
      <c r="P71" s="4">
        <v>0.12309482230473626</v>
      </c>
      <c r="Q71" s="4">
        <v>-0.20978425316108473</v>
      </c>
      <c r="R71" s="4">
        <v>-0.66274326125078298</v>
      </c>
      <c r="S71" s="4">
        <v>0.46506569519104263</v>
      </c>
      <c r="T71" s="4">
        <v>20.096022267833664</v>
      </c>
      <c r="U71" s="4">
        <v>5.5009988056701884</v>
      </c>
      <c r="V71" s="4">
        <v>56.70286056579662</v>
      </c>
      <c r="W71" s="4">
        <v>16.286898211773664</v>
      </c>
      <c r="X71" s="4">
        <v>113.19299690966798</v>
      </c>
      <c r="Y71" s="4">
        <v>63.918185096408727</v>
      </c>
      <c r="Z71" s="4">
        <v>199.56166513100084</v>
      </c>
      <c r="AA71" s="4">
        <v>221.97469415391026</v>
      </c>
      <c r="AB71" s="4">
        <v>175.7743928346469</v>
      </c>
      <c r="AC71" s="4">
        <v>75.834887948455091</v>
      </c>
      <c r="AD71" s="4">
        <v>677.65484061078416</v>
      </c>
      <c r="AE71" s="4">
        <v>52.479904917765687</v>
      </c>
      <c r="AF71" s="4">
        <v>234.17939116097546</v>
      </c>
      <c r="AG71" s="4"/>
      <c r="AH71" s="4"/>
      <c r="AI71" s="4"/>
      <c r="AJ71" s="4"/>
      <c r="AK71" s="4"/>
      <c r="AL71" s="4"/>
      <c r="AM71" s="4"/>
      <c r="AN71" s="4"/>
      <c r="AO71" s="4"/>
      <c r="AP71" s="4"/>
      <c r="AQ71" s="4"/>
      <c r="AR71" s="4"/>
      <c r="AS71" s="4"/>
      <c r="AT71" s="4"/>
      <c r="AU71" s="4"/>
      <c r="AV71" s="4"/>
      <c r="AW71" s="4"/>
      <c r="AX71" s="4"/>
      <c r="AY71" s="4"/>
      <c r="AZ71" s="4"/>
      <c r="BA71" s="4"/>
      <c r="BB71" s="4"/>
    </row>
    <row r="72" spans="1:54" x14ac:dyDescent="0.25">
      <c r="A72" s="4">
        <v>3980</v>
      </c>
      <c r="B72" s="4"/>
      <c r="C72" s="4">
        <v>915.33787390856526</v>
      </c>
      <c r="D72" s="4">
        <v>-7.4477704881153809E-6</v>
      </c>
      <c r="E72" s="4">
        <v>-6.6638864903377736E-6</v>
      </c>
      <c r="F72" s="4">
        <v>-7.622671086074822E-5</v>
      </c>
      <c r="G72" s="4">
        <v>-4.1271656737400266E-5</v>
      </c>
      <c r="H72" s="4">
        <v>-6.8507612468980672E-4</v>
      </c>
      <c r="I72" s="4">
        <v>-5.4414100696700168E-4</v>
      </c>
      <c r="J72" s="4">
        <v>-7.246338104291641E-3</v>
      </c>
      <c r="K72" s="4">
        <v>-4.4937601851328876E-3</v>
      </c>
      <c r="L72" s="4">
        <v>-1.920523373047214E-2</v>
      </c>
      <c r="M72" s="4">
        <v>-8.3016625268275499E-3</v>
      </c>
      <c r="N72" s="4">
        <v>-9.3487159065644504E-2</v>
      </c>
      <c r="O72" s="4">
        <v>-1.1089995266733389E-2</v>
      </c>
      <c r="P72" s="4">
        <v>8.882236606810609E-2</v>
      </c>
      <c r="Q72" s="4">
        <v>-0.15473373065027762</v>
      </c>
      <c r="R72" s="4">
        <v>-0.49973783802533028</v>
      </c>
      <c r="S72" s="4">
        <v>0.35855180215508214</v>
      </c>
      <c r="T72" s="4">
        <v>15.843274331247224</v>
      </c>
      <c r="U72" s="4">
        <v>4.4353800186679928</v>
      </c>
      <c r="V72" s="4">
        <v>46.763454972143599</v>
      </c>
      <c r="W72" s="4">
        <v>13.740765284887178</v>
      </c>
      <c r="X72" s="4">
        <v>97.706239920182227</v>
      </c>
      <c r="Y72" s="4">
        <v>56.456945984598875</v>
      </c>
      <c r="Z72" s="4">
        <v>180.39354825218422</v>
      </c>
      <c r="AA72" s="4">
        <v>205.3807605867236</v>
      </c>
      <c r="AB72" s="4">
        <v>166.48938084418862</v>
      </c>
      <c r="AC72" s="4">
        <v>73.542370193228976</v>
      </c>
      <c r="AD72" s="4">
        <v>672.94341216605142</v>
      </c>
      <c r="AE72" s="4">
        <v>53.373914364615494</v>
      </c>
      <c r="AF72" s="4">
        <v>243.95858327489896</v>
      </c>
      <c r="AG72" s="4"/>
      <c r="AH72" s="4"/>
      <c r="AI72" s="4"/>
      <c r="AJ72" s="4"/>
      <c r="AK72" s="4"/>
      <c r="AL72" s="4"/>
      <c r="AM72" s="4"/>
      <c r="AN72" s="4"/>
      <c r="AO72" s="4"/>
      <c r="AP72" s="4"/>
      <c r="AQ72" s="4"/>
      <c r="AR72" s="4"/>
      <c r="AS72" s="4"/>
      <c r="AT72" s="4"/>
      <c r="AU72" s="4"/>
      <c r="AV72" s="4"/>
      <c r="AW72" s="4"/>
      <c r="AX72" s="4"/>
      <c r="AY72" s="4"/>
      <c r="AZ72" s="4"/>
      <c r="BA72" s="4"/>
      <c r="BB72" s="4"/>
    </row>
    <row r="73" spans="1:54" x14ac:dyDescent="0.25">
      <c r="A73" s="4">
        <v>3970</v>
      </c>
      <c r="B73" s="4"/>
      <c r="C73" s="4">
        <v>871.01453299432785</v>
      </c>
      <c r="D73" s="4">
        <v>-4.1232956798358954E-6</v>
      </c>
      <c r="E73" s="4">
        <v>-3.7660084995330298E-6</v>
      </c>
      <c r="F73" s="4">
        <v>-4.3978947090195919E-5</v>
      </c>
      <c r="G73" s="4">
        <v>-2.4312098738313912E-5</v>
      </c>
      <c r="H73" s="4">
        <v>-4.1208971657107226E-4</v>
      </c>
      <c r="I73" s="4">
        <v>-3.3426956671284543E-4</v>
      </c>
      <c r="J73" s="4">
        <v>-4.5466027405797731E-3</v>
      </c>
      <c r="K73" s="4">
        <v>-2.8801327136034225E-3</v>
      </c>
      <c r="L73" s="4">
        <v>-1.2575003940081656E-2</v>
      </c>
      <c r="M73" s="4">
        <v>-5.5538206099181291E-3</v>
      </c>
      <c r="N73" s="4">
        <v>-6.3910156905149187E-2</v>
      </c>
      <c r="O73" s="4">
        <v>-7.7480772412718809E-3</v>
      </c>
      <c r="P73" s="4">
        <v>6.3428392134451936E-2</v>
      </c>
      <c r="Q73" s="4">
        <v>-0.11295355222837582</v>
      </c>
      <c r="R73" s="4">
        <v>-0.37296325441583239</v>
      </c>
      <c r="S73" s="4">
        <v>0.2736154811665874</v>
      </c>
      <c r="T73" s="4">
        <v>12.363895596943197</v>
      </c>
      <c r="U73" s="4">
        <v>3.5401381331497341</v>
      </c>
      <c r="V73" s="4">
        <v>38.179741541988918</v>
      </c>
      <c r="W73" s="4">
        <v>11.477123777730915</v>
      </c>
      <c r="X73" s="4">
        <v>83.502529049163215</v>
      </c>
      <c r="Y73" s="4">
        <v>49.375334103025828</v>
      </c>
      <c r="Z73" s="4">
        <v>161.46927224050728</v>
      </c>
      <c r="AA73" s="4">
        <v>188.17697998110771</v>
      </c>
      <c r="AB73" s="4">
        <v>156.16852609891592</v>
      </c>
      <c r="AC73" s="4">
        <v>70.633055294427592</v>
      </c>
      <c r="AD73" s="4">
        <v>661.87542926066942</v>
      </c>
      <c r="AE73" s="4">
        <v>53.767378167425001</v>
      </c>
      <c r="AF73" s="4">
        <v>251.74657201072799</v>
      </c>
      <c r="AG73" s="4"/>
      <c r="AH73" s="4"/>
      <c r="AI73" s="4"/>
      <c r="AJ73" s="4"/>
      <c r="AK73" s="4"/>
      <c r="AL73" s="4"/>
      <c r="AM73" s="4"/>
      <c r="AN73" s="4"/>
      <c r="AO73" s="4"/>
      <c r="AP73" s="4"/>
      <c r="AQ73" s="4"/>
      <c r="AR73" s="4"/>
      <c r="AS73" s="4"/>
      <c r="AT73" s="4"/>
      <c r="AU73" s="4"/>
      <c r="AV73" s="4"/>
      <c r="AW73" s="4"/>
      <c r="AX73" s="4"/>
      <c r="AY73" s="4"/>
      <c r="AZ73" s="4"/>
      <c r="BA73" s="4"/>
      <c r="BB73" s="4"/>
    </row>
    <row r="74" spans="1:54" x14ac:dyDescent="0.25">
      <c r="A74" s="4">
        <v>3960</v>
      </c>
      <c r="B74" s="4"/>
      <c r="C74" s="4">
        <v>823.83503087620693</v>
      </c>
      <c r="D74" s="4">
        <v>-2.2575083515474076E-6</v>
      </c>
      <c r="E74" s="4">
        <v>-2.1048649159571623E-6</v>
      </c>
      <c r="F74" s="4">
        <v>-2.5095413803968473E-5</v>
      </c>
      <c r="G74" s="4">
        <v>-1.4165361664003434E-5</v>
      </c>
      <c r="H74" s="4">
        <v>-2.4518974197368479E-4</v>
      </c>
      <c r="I74" s="4">
        <v>-2.0312474272237243E-4</v>
      </c>
      <c r="J74" s="4">
        <v>-2.8220141863432701E-3</v>
      </c>
      <c r="K74" s="4">
        <v>-1.8261740409749067E-3</v>
      </c>
      <c r="L74" s="4">
        <v>-8.1460512734647592E-3</v>
      </c>
      <c r="M74" s="4">
        <v>-3.6761451359163112E-3</v>
      </c>
      <c r="N74" s="4">
        <v>-4.3230028182690033E-2</v>
      </c>
      <c r="O74" s="4">
        <v>-5.3564623420972179E-3</v>
      </c>
      <c r="P74" s="4">
        <v>4.4821930448985074E-2</v>
      </c>
      <c r="Q74" s="4">
        <v>-8.1598913325934996E-2</v>
      </c>
      <c r="R74" s="4">
        <v>-0.2754759422407822</v>
      </c>
      <c r="S74" s="4">
        <v>0.20665580895348404</v>
      </c>
      <c r="T74" s="4">
        <v>9.5501112260662122</v>
      </c>
      <c r="U74" s="4">
        <v>2.7969001197604642</v>
      </c>
      <c r="V74" s="4">
        <v>30.856848241664707</v>
      </c>
      <c r="W74" s="4">
        <v>9.4901342027726905</v>
      </c>
      <c r="X74" s="4">
        <v>70.651145878155788</v>
      </c>
      <c r="Y74" s="4">
        <v>42.753357329173681</v>
      </c>
      <c r="Z74" s="4">
        <v>143.10397557341281</v>
      </c>
      <c r="AA74" s="4">
        <v>170.72287807104431</v>
      </c>
      <c r="AB74" s="4">
        <v>145.05900801189699</v>
      </c>
      <c r="AC74" s="4">
        <v>67.181309631889022</v>
      </c>
      <c r="AD74" s="4">
        <v>644.71848471795613</v>
      </c>
      <c r="AE74" s="4">
        <v>53.645219204532317</v>
      </c>
      <c r="AF74" s="4">
        <v>257.31183547304801</v>
      </c>
      <c r="AG74" s="4"/>
      <c r="AH74" s="4"/>
      <c r="AI74" s="4"/>
      <c r="AJ74" s="4"/>
      <c r="AK74" s="4"/>
      <c r="AL74" s="4"/>
      <c r="AM74" s="4"/>
      <c r="AN74" s="4"/>
      <c r="AO74" s="4"/>
      <c r="AP74" s="4"/>
      <c r="AQ74" s="4"/>
      <c r="AR74" s="4"/>
      <c r="AS74" s="4"/>
      <c r="AT74" s="4"/>
      <c r="AU74" s="4"/>
      <c r="AV74" s="4"/>
      <c r="AW74" s="4"/>
      <c r="AX74" s="4"/>
      <c r="AY74" s="4"/>
      <c r="AZ74" s="4"/>
      <c r="BA74" s="4"/>
      <c r="BB74" s="4"/>
    </row>
    <row r="75" spans="1:54" x14ac:dyDescent="0.25">
      <c r="A75" s="4">
        <v>3950</v>
      </c>
      <c r="B75" s="4"/>
      <c r="C75" s="4">
        <v>774.32996677587607</v>
      </c>
      <c r="D75" s="4">
        <v>-1.2222102078163064E-6</v>
      </c>
      <c r="E75" s="4">
        <v>-1.1633796614578734E-6</v>
      </c>
      <c r="F75" s="4">
        <v>-1.4161882015090668E-5</v>
      </c>
      <c r="G75" s="4">
        <v>-8.1626816183875979E-6</v>
      </c>
      <c r="H75" s="4">
        <v>-1.4428986004768826E-4</v>
      </c>
      <c r="I75" s="4">
        <v>-1.2208855772257715E-4</v>
      </c>
      <c r="J75" s="4">
        <v>-1.7326099274574814E-3</v>
      </c>
      <c r="K75" s="4">
        <v>-1.1454197299024481E-3</v>
      </c>
      <c r="L75" s="4">
        <v>-5.2203848025065211E-3</v>
      </c>
      <c r="M75" s="4">
        <v>-2.4073181446118835E-3</v>
      </c>
      <c r="N75" s="4">
        <v>-2.8931103374998348E-2</v>
      </c>
      <c r="O75" s="4">
        <v>-3.6639535103886018E-3</v>
      </c>
      <c r="P75" s="4">
        <v>3.134074198704101E-2</v>
      </c>
      <c r="Q75" s="4">
        <v>-5.8331740533757434E-2</v>
      </c>
      <c r="R75" s="4">
        <v>-0.20135468730715014</v>
      </c>
      <c r="S75" s="4">
        <v>0.15446834843888826</v>
      </c>
      <c r="T75" s="4">
        <v>7.3008110213276423</v>
      </c>
      <c r="U75" s="4">
        <v>2.1870971356384348</v>
      </c>
      <c r="V75" s="4">
        <v>24.684790464631181</v>
      </c>
      <c r="W75" s="4">
        <v>7.7677640737076468</v>
      </c>
      <c r="X75" s="4">
        <v>59.176382030424179</v>
      </c>
      <c r="Y75" s="4">
        <v>36.649276675943028</v>
      </c>
      <c r="Z75" s="4">
        <v>125.5665776180645</v>
      </c>
      <c r="AA75" s="4">
        <v>153.35685643760164</v>
      </c>
      <c r="AB75" s="4">
        <v>133.41602453804779</v>
      </c>
      <c r="AC75" s="4">
        <v>63.274257214506456</v>
      </c>
      <c r="AD75" s="4">
        <v>621.91105894625946</v>
      </c>
      <c r="AE75" s="4">
        <v>53.007073240348184</v>
      </c>
      <c r="AF75" s="4">
        <v>260.47923337072831</v>
      </c>
      <c r="AG75" s="4"/>
      <c r="AH75" s="4"/>
      <c r="AI75" s="4"/>
      <c r="AJ75" s="4"/>
      <c r="AK75" s="4"/>
      <c r="AL75" s="4"/>
      <c r="AM75" s="4"/>
      <c r="AN75" s="4"/>
      <c r="AO75" s="4"/>
      <c r="AP75" s="4"/>
      <c r="AQ75" s="4"/>
      <c r="AR75" s="4"/>
      <c r="AS75" s="4"/>
      <c r="AT75" s="4"/>
      <c r="AU75" s="4"/>
      <c r="AV75" s="4"/>
      <c r="AW75" s="4"/>
      <c r="AX75" s="4"/>
      <c r="AY75" s="4"/>
      <c r="AZ75" s="4"/>
      <c r="BA75" s="4"/>
      <c r="BB75" s="4"/>
    </row>
    <row r="76" spans="1:54" x14ac:dyDescent="0.2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row>
    <row r="77" spans="1:54" x14ac:dyDescent="0.2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row>
    <row r="78" spans="1:54" x14ac:dyDescent="0.2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row>
    <row r="79" spans="1:54" x14ac:dyDescent="0.2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row>
    <row r="80" spans="1:54" x14ac:dyDescent="0.2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row>
    <row r="81" spans="1:54" x14ac:dyDescent="0.2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row>
    <row r="82" spans="1:54" x14ac:dyDescent="0.2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row>
    <row r="83" spans="1:54" x14ac:dyDescent="0.2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row>
    <row r="84" spans="1:54" x14ac:dyDescent="0.2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row>
    <row r="85" spans="1:54" x14ac:dyDescent="0.2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row>
    <row r="86" spans="1:54" x14ac:dyDescent="0.2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row>
    <row r="87" spans="1:54" x14ac:dyDescent="0.2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row>
    <row r="88" spans="1:54" x14ac:dyDescent="0.2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row>
    <row r="89" spans="1:54" x14ac:dyDescent="0.2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row>
    <row r="90" spans="1:54" x14ac:dyDescent="0.2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row>
    <row r="91" spans="1:54" x14ac:dyDescent="0.2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row>
    <row r="92" spans="1:54" x14ac:dyDescent="0.2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row>
    <row r="93" spans="1:54" x14ac:dyDescent="0.2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row>
    <row r="94" spans="1:54" x14ac:dyDescent="0.2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row>
    <row r="95" spans="1:54" x14ac:dyDescent="0.2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row>
    <row r="96" spans="1:54" x14ac:dyDescent="0.2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row>
    <row r="97" spans="1:54" x14ac:dyDescent="0.2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row>
    <row r="98" spans="1:54" x14ac:dyDescent="0.2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row>
    <row r="99" spans="1:54" x14ac:dyDescent="0.2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row>
    <row r="100" spans="1:54"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row>
    <row r="101" spans="1:54"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row>
    <row r="102" spans="1:54"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row>
    <row r="103" spans="1:54"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row>
    <row r="104" spans="1:54"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row>
    <row r="105" spans="1:54"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row>
    <row r="106" spans="1:54"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row>
    <row r="107" spans="1:54"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row>
    <row r="108" spans="1:54"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row>
    <row r="109" spans="1:54"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row>
    <row r="110" spans="1:54"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row>
    <row r="111" spans="1:54"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row>
    <row r="112" spans="1:54"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row>
    <row r="113" spans="1:54"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row>
    <row r="114" spans="1:54"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row>
    <row r="115" spans="1:54"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row>
    <row r="116" spans="1:54"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row>
    <row r="117" spans="1:54"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row>
    <row r="118" spans="1:54"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row>
    <row r="119" spans="1:54"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row>
    <row r="120" spans="1:54"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row>
    <row r="121" spans="1:54"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row>
    <row r="122" spans="1:54"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row>
    <row r="123" spans="1:54"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row>
    <row r="124" spans="1:54"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row>
    <row r="125" spans="1:54"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row>
    <row r="126" spans="1:54"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row>
    <row r="127" spans="1:54"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row>
    <row r="128" spans="1:54"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row>
    <row r="129" spans="1:54"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row>
    <row r="130" spans="1:54"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row>
    <row r="131" spans="1:54"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row>
    <row r="132" spans="1:54"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row>
    <row r="133" spans="1:54"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row>
    <row r="134" spans="1:54"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row>
    <row r="135" spans="1:54"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row>
    <row r="136" spans="1:54"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row>
    <row r="137" spans="1:54"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row>
    <row r="138" spans="1:54"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row>
    <row r="139" spans="1:54"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row>
    <row r="140" spans="1:54"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row>
    <row r="141" spans="1:54"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row>
    <row r="142" spans="1:54"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row>
    <row r="143" spans="1:54"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row>
    <row r="144" spans="1:54"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row>
    <row r="145" spans="1:54"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row>
    <row r="146" spans="1:54"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row>
    <row r="147" spans="1:54"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row>
    <row r="148" spans="1:54"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row>
    <row r="149" spans="1:54"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row>
    <row r="150" spans="1:54"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row>
    <row r="151" spans="1:54"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row>
    <row r="152" spans="1:54"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row>
    <row r="153" spans="1:54"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row>
    <row r="154" spans="1:54"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row>
    <row r="155" spans="1:54"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row>
    <row r="156" spans="1:54"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row>
    <row r="157" spans="1:54"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row>
    <row r="158" spans="1:54"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row>
    <row r="159" spans="1:54"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row>
    <row r="160" spans="1:54"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row>
    <row r="161" spans="1:54"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row>
    <row r="162" spans="1:54"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row>
    <row r="163" spans="1:54"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row>
    <row r="164" spans="1:54"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row>
    <row r="165" spans="1:54"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row>
    <row r="166" spans="1:54"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row>
    <row r="167" spans="1:54"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row>
    <row r="168" spans="1:54"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row>
    <row r="169" spans="1:54"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row>
    <row r="170" spans="1:54"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row>
    <row r="171" spans="1:54"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row>
    <row r="172" spans="1:54"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row>
    <row r="173" spans="1:54"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row>
    <row r="174" spans="1:54"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row>
    <row r="175" spans="1:54"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row>
    <row r="176" spans="1:54"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row>
    <row r="177" spans="1:54"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row>
    <row r="178" spans="1:54"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row>
    <row r="179" spans="1:54"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row>
    <row r="180" spans="1:54"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row>
    <row r="181" spans="1:54"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row>
    <row r="182" spans="1:54"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row>
    <row r="183" spans="1:54"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row>
    <row r="184" spans="1:54"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row>
    <row r="185" spans="1:54"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row>
    <row r="186" spans="1:54"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row>
    <row r="187" spans="1:54"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row>
    <row r="188" spans="1:54"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row>
    <row r="189" spans="1:54"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row>
    <row r="190" spans="1:54"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row>
    <row r="191" spans="1:54"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row>
    <row r="192" spans="1:54"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row>
    <row r="193" spans="1:54"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row>
    <row r="194" spans="1:54"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row>
    <row r="195" spans="1:54"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row>
    <row r="196" spans="1:54"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row>
    <row r="197" spans="1:54"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row>
    <row r="198" spans="1:54"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row>
    <row r="199" spans="1:54"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row>
    <row r="200" spans="1:54"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row>
    <row r="201" spans="1:54" x14ac:dyDescent="0.25">
      <c r="B201" s="4"/>
      <c r="AQ201" s="4"/>
      <c r="AR201" s="4"/>
    </row>
    <row r="202" spans="1:54" x14ac:dyDescent="0.25">
      <c r="B202" s="4"/>
      <c r="AQ202" s="4"/>
      <c r="AR202" s="4"/>
    </row>
    <row r="203" spans="1:54" x14ac:dyDescent="0.25">
      <c r="B203" s="4"/>
      <c r="AQ203" s="4"/>
      <c r="AR203" s="4"/>
    </row>
    <row r="204" spans="1:54" x14ac:dyDescent="0.25">
      <c r="B204" s="4"/>
      <c r="AQ204" s="4"/>
      <c r="AR204" s="4"/>
    </row>
    <row r="205" spans="1:54" x14ac:dyDescent="0.25">
      <c r="B205" s="4"/>
      <c r="AQ205" s="4"/>
      <c r="AR205" s="4"/>
    </row>
    <row r="206" spans="1:54" x14ac:dyDescent="0.25">
      <c r="AR206" s="4"/>
    </row>
  </sheetData>
  <pageMargins left="0.7" right="0.7" top="0.78740157499999996" bottom="0.78740157499999996"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93396-B5D0-4609-87B8-846EC68FE3D9}">
  <sheetPr codeName="Tabelle3"/>
  <dimension ref="A1:J165"/>
  <sheetViews>
    <sheetView workbookViewId="0"/>
  </sheetViews>
  <sheetFormatPr defaultColWidth="8.85546875" defaultRowHeight="15" x14ac:dyDescent="0.25"/>
  <sheetData>
    <row r="1" spans="1:10" x14ac:dyDescent="0.25">
      <c r="A1" s="100" t="s">
        <v>283</v>
      </c>
      <c r="B1" s="100" t="s">
        <v>255</v>
      </c>
      <c r="C1" s="100" t="s">
        <v>282</v>
      </c>
      <c r="D1" s="100" t="s">
        <v>281</v>
      </c>
      <c r="E1" s="100" t="s">
        <v>280</v>
      </c>
      <c r="F1" s="100" t="s">
        <v>279</v>
      </c>
      <c r="G1" s="100" t="s">
        <v>278</v>
      </c>
      <c r="H1" s="100" t="s">
        <v>277</v>
      </c>
      <c r="I1" s="100" t="s">
        <v>276</v>
      </c>
      <c r="J1" s="100" t="s">
        <v>275</v>
      </c>
    </row>
    <row r="2" spans="1:10" x14ac:dyDescent="0.25">
      <c r="A2">
        <v>500</v>
      </c>
      <c r="B2">
        <v>500</v>
      </c>
      <c r="C2">
        <v>0</v>
      </c>
      <c r="D2">
        <v>0</v>
      </c>
      <c r="E2">
        <v>1802</v>
      </c>
      <c r="F2">
        <v>0</v>
      </c>
      <c r="G2">
        <v>0</v>
      </c>
      <c r="H2">
        <v>0</v>
      </c>
      <c r="I2">
        <v>0</v>
      </c>
      <c r="J2">
        <v>1802</v>
      </c>
    </row>
    <row r="3" spans="1:10" x14ac:dyDescent="0.25">
      <c r="A3">
        <v>600</v>
      </c>
      <c r="B3">
        <v>600</v>
      </c>
      <c r="C3">
        <v>0</v>
      </c>
      <c r="D3">
        <v>0</v>
      </c>
      <c r="E3">
        <v>0</v>
      </c>
      <c r="F3">
        <v>0</v>
      </c>
      <c r="G3">
        <v>0</v>
      </c>
      <c r="H3">
        <v>0</v>
      </c>
      <c r="I3">
        <v>0</v>
      </c>
      <c r="J3">
        <v>0</v>
      </c>
    </row>
    <row r="4" spans="1:10" x14ac:dyDescent="0.25">
      <c r="A4">
        <v>800</v>
      </c>
      <c r="B4">
        <v>800</v>
      </c>
      <c r="C4">
        <v>0</v>
      </c>
      <c r="D4">
        <v>0</v>
      </c>
      <c r="E4">
        <v>2449</v>
      </c>
      <c r="F4">
        <v>0</v>
      </c>
      <c r="G4">
        <v>0</v>
      </c>
      <c r="H4">
        <v>0</v>
      </c>
      <c r="I4">
        <v>0</v>
      </c>
      <c r="J4">
        <v>2449</v>
      </c>
    </row>
    <row r="5" spans="1:10" x14ac:dyDescent="0.25">
      <c r="A5">
        <v>1000</v>
      </c>
      <c r="B5">
        <v>1000</v>
      </c>
      <c r="C5">
        <v>0</v>
      </c>
      <c r="D5">
        <v>225</v>
      </c>
      <c r="E5">
        <v>27375</v>
      </c>
      <c r="F5">
        <v>0</v>
      </c>
      <c r="G5">
        <v>0</v>
      </c>
      <c r="H5">
        <v>0</v>
      </c>
      <c r="I5">
        <v>0</v>
      </c>
      <c r="J5">
        <v>27375</v>
      </c>
    </row>
    <row r="6" spans="1:10" x14ac:dyDescent="0.25">
      <c r="A6">
        <v>1100</v>
      </c>
      <c r="B6">
        <v>1100</v>
      </c>
      <c r="C6">
        <v>0</v>
      </c>
      <c r="D6">
        <v>0</v>
      </c>
      <c r="E6">
        <v>0</v>
      </c>
      <c r="F6">
        <v>0</v>
      </c>
      <c r="G6">
        <v>0</v>
      </c>
      <c r="H6">
        <v>0</v>
      </c>
      <c r="I6">
        <v>0</v>
      </c>
      <c r="J6">
        <v>0</v>
      </c>
    </row>
    <row r="7" spans="1:10" x14ac:dyDescent="0.25">
      <c r="A7">
        <v>1150</v>
      </c>
      <c r="B7">
        <v>1150</v>
      </c>
      <c r="C7">
        <v>0</v>
      </c>
      <c r="D7">
        <v>0</v>
      </c>
      <c r="E7">
        <v>0</v>
      </c>
      <c r="F7">
        <v>0</v>
      </c>
      <c r="G7">
        <v>0</v>
      </c>
      <c r="H7">
        <v>0</v>
      </c>
      <c r="I7">
        <v>0</v>
      </c>
      <c r="J7">
        <v>0</v>
      </c>
    </row>
    <row r="8" spans="1:10" x14ac:dyDescent="0.25">
      <c r="A8">
        <v>1200</v>
      </c>
      <c r="B8">
        <v>1200</v>
      </c>
      <c r="C8">
        <v>0</v>
      </c>
      <c r="D8">
        <v>0</v>
      </c>
      <c r="E8">
        <v>7</v>
      </c>
      <c r="F8">
        <v>0</v>
      </c>
      <c r="G8">
        <v>0</v>
      </c>
      <c r="H8">
        <v>0</v>
      </c>
      <c r="I8">
        <v>0</v>
      </c>
      <c r="J8">
        <v>7</v>
      </c>
    </row>
    <row r="9" spans="1:10" x14ac:dyDescent="0.25">
      <c r="A9">
        <v>1250</v>
      </c>
      <c r="B9">
        <v>1250</v>
      </c>
      <c r="C9">
        <v>0</v>
      </c>
      <c r="D9">
        <v>0</v>
      </c>
      <c r="E9">
        <v>1</v>
      </c>
      <c r="F9">
        <v>0</v>
      </c>
      <c r="G9">
        <v>0</v>
      </c>
      <c r="H9">
        <v>0</v>
      </c>
      <c r="I9">
        <v>0</v>
      </c>
      <c r="J9">
        <v>1</v>
      </c>
    </row>
    <row r="10" spans="1:10" x14ac:dyDescent="0.25">
      <c r="A10">
        <v>1300</v>
      </c>
      <c r="B10">
        <v>1300</v>
      </c>
      <c r="C10">
        <v>0</v>
      </c>
      <c r="D10">
        <v>0</v>
      </c>
      <c r="E10">
        <v>0</v>
      </c>
      <c r="F10">
        <v>0</v>
      </c>
      <c r="G10">
        <v>0</v>
      </c>
      <c r="H10">
        <v>0</v>
      </c>
      <c r="I10">
        <v>0</v>
      </c>
      <c r="J10">
        <v>0</v>
      </c>
    </row>
    <row r="11" spans="1:10" x14ac:dyDescent="0.25">
      <c r="A11">
        <v>1350</v>
      </c>
      <c r="B11">
        <v>1350</v>
      </c>
      <c r="C11">
        <v>0</v>
      </c>
      <c r="D11">
        <v>0</v>
      </c>
      <c r="E11">
        <v>0</v>
      </c>
      <c r="F11">
        <v>0</v>
      </c>
      <c r="G11">
        <v>0</v>
      </c>
      <c r="H11">
        <v>0</v>
      </c>
      <c r="I11">
        <v>0</v>
      </c>
      <c r="J11">
        <v>0</v>
      </c>
    </row>
    <row r="12" spans="1:10" x14ac:dyDescent="0.25">
      <c r="A12">
        <v>1400</v>
      </c>
      <c r="B12">
        <v>1400</v>
      </c>
      <c r="C12">
        <v>0</v>
      </c>
      <c r="D12">
        <v>0</v>
      </c>
      <c r="E12">
        <v>0</v>
      </c>
      <c r="F12">
        <v>0</v>
      </c>
      <c r="G12">
        <v>0</v>
      </c>
      <c r="H12">
        <v>0</v>
      </c>
      <c r="I12">
        <v>0</v>
      </c>
      <c r="J12">
        <v>0</v>
      </c>
    </row>
    <row r="13" spans="1:10" x14ac:dyDescent="0.25">
      <c r="A13">
        <v>1450</v>
      </c>
      <c r="B13">
        <v>1450</v>
      </c>
      <c r="C13">
        <v>0</v>
      </c>
      <c r="D13">
        <v>0</v>
      </c>
      <c r="E13">
        <v>0</v>
      </c>
      <c r="F13">
        <v>0</v>
      </c>
      <c r="G13">
        <v>0</v>
      </c>
      <c r="H13">
        <v>0</v>
      </c>
      <c r="I13">
        <v>0</v>
      </c>
      <c r="J13">
        <v>0</v>
      </c>
    </row>
    <row r="14" spans="1:10" x14ac:dyDescent="0.25">
      <c r="A14">
        <v>1500</v>
      </c>
      <c r="B14">
        <v>1500</v>
      </c>
      <c r="C14">
        <v>0</v>
      </c>
      <c r="D14">
        <v>0</v>
      </c>
      <c r="E14">
        <v>93</v>
      </c>
      <c r="F14">
        <v>0</v>
      </c>
      <c r="G14">
        <v>0</v>
      </c>
      <c r="H14">
        <v>0</v>
      </c>
      <c r="I14">
        <v>0</v>
      </c>
      <c r="J14">
        <v>93</v>
      </c>
    </row>
    <row r="15" spans="1:10" x14ac:dyDescent="0.25">
      <c r="A15">
        <v>1550</v>
      </c>
      <c r="B15">
        <v>1550</v>
      </c>
      <c r="C15">
        <v>0</v>
      </c>
      <c r="D15">
        <v>0</v>
      </c>
      <c r="E15">
        <v>0</v>
      </c>
      <c r="F15">
        <v>0</v>
      </c>
      <c r="G15">
        <v>0</v>
      </c>
      <c r="H15">
        <v>0</v>
      </c>
      <c r="I15">
        <v>0</v>
      </c>
      <c r="J15">
        <v>0</v>
      </c>
    </row>
    <row r="16" spans="1:10" x14ac:dyDescent="0.25">
      <c r="A16">
        <v>1600</v>
      </c>
      <c r="B16">
        <v>1600</v>
      </c>
      <c r="C16">
        <v>0</v>
      </c>
      <c r="D16">
        <v>0</v>
      </c>
      <c r="E16">
        <v>0</v>
      </c>
      <c r="F16">
        <v>0</v>
      </c>
      <c r="G16">
        <v>0</v>
      </c>
      <c r="H16">
        <v>0</v>
      </c>
      <c r="I16">
        <v>0</v>
      </c>
      <c r="J16">
        <v>0</v>
      </c>
    </row>
    <row r="17" spans="1:10" x14ac:dyDescent="0.25">
      <c r="A17">
        <v>1650</v>
      </c>
      <c r="B17">
        <v>1650</v>
      </c>
      <c r="C17">
        <v>0</v>
      </c>
      <c r="D17">
        <v>0</v>
      </c>
      <c r="E17">
        <v>0</v>
      </c>
      <c r="F17">
        <v>0</v>
      </c>
      <c r="G17">
        <v>0</v>
      </c>
      <c r="H17">
        <v>0</v>
      </c>
      <c r="I17">
        <v>0</v>
      </c>
      <c r="J17">
        <v>0</v>
      </c>
    </row>
    <row r="18" spans="1:10" x14ac:dyDescent="0.25">
      <c r="A18">
        <v>1700</v>
      </c>
      <c r="B18">
        <v>1700</v>
      </c>
      <c r="C18">
        <v>0</v>
      </c>
      <c r="D18">
        <v>0</v>
      </c>
      <c r="E18">
        <v>0</v>
      </c>
      <c r="F18">
        <v>0</v>
      </c>
      <c r="G18">
        <v>0</v>
      </c>
      <c r="H18">
        <v>0</v>
      </c>
      <c r="I18">
        <v>0</v>
      </c>
      <c r="J18">
        <v>0</v>
      </c>
    </row>
    <row r="19" spans="1:10" x14ac:dyDescent="0.25">
      <c r="A19">
        <v>1750</v>
      </c>
      <c r="B19">
        <v>1750</v>
      </c>
      <c r="C19">
        <v>0</v>
      </c>
      <c r="D19">
        <v>0</v>
      </c>
      <c r="E19">
        <v>0</v>
      </c>
      <c r="F19">
        <v>0</v>
      </c>
      <c r="G19">
        <v>0</v>
      </c>
      <c r="H19">
        <v>0</v>
      </c>
      <c r="I19">
        <v>0</v>
      </c>
      <c r="J19">
        <v>0</v>
      </c>
    </row>
    <row r="20" spans="1:10" x14ac:dyDescent="0.25">
      <c r="A20">
        <v>1800</v>
      </c>
      <c r="B20">
        <v>1800</v>
      </c>
      <c r="C20">
        <v>0</v>
      </c>
      <c r="D20">
        <v>0</v>
      </c>
      <c r="E20">
        <v>0</v>
      </c>
      <c r="F20">
        <v>0</v>
      </c>
      <c r="G20">
        <v>0</v>
      </c>
      <c r="H20">
        <v>0</v>
      </c>
      <c r="I20">
        <v>0</v>
      </c>
      <c r="J20">
        <v>0</v>
      </c>
    </row>
    <row r="21" spans="1:10" x14ac:dyDescent="0.25">
      <c r="A21">
        <v>1850</v>
      </c>
      <c r="B21">
        <v>1850</v>
      </c>
      <c r="C21">
        <v>0</v>
      </c>
      <c r="D21">
        <v>0</v>
      </c>
      <c r="E21">
        <v>0</v>
      </c>
      <c r="F21">
        <v>0</v>
      </c>
      <c r="G21">
        <v>0</v>
      </c>
      <c r="H21">
        <v>0</v>
      </c>
      <c r="I21">
        <v>0</v>
      </c>
      <c r="J21">
        <v>0</v>
      </c>
    </row>
    <row r="22" spans="1:10" x14ac:dyDescent="0.25">
      <c r="A22">
        <v>1900</v>
      </c>
      <c r="B22">
        <v>1900</v>
      </c>
      <c r="C22">
        <v>0</v>
      </c>
      <c r="D22">
        <v>0</v>
      </c>
      <c r="E22">
        <v>1</v>
      </c>
      <c r="F22">
        <v>0</v>
      </c>
      <c r="G22">
        <v>0</v>
      </c>
      <c r="H22">
        <v>0</v>
      </c>
      <c r="I22">
        <v>0</v>
      </c>
      <c r="J22">
        <v>1</v>
      </c>
    </row>
    <row r="23" spans="1:10" x14ac:dyDescent="0.25">
      <c r="A23">
        <v>1950</v>
      </c>
      <c r="B23">
        <v>1950</v>
      </c>
      <c r="C23">
        <v>0</v>
      </c>
      <c r="D23">
        <v>0</v>
      </c>
      <c r="E23">
        <v>0</v>
      </c>
      <c r="F23">
        <v>0</v>
      </c>
      <c r="G23">
        <v>0</v>
      </c>
      <c r="H23">
        <v>0</v>
      </c>
      <c r="I23">
        <v>0</v>
      </c>
      <c r="J23">
        <v>0</v>
      </c>
    </row>
    <row r="24" spans="1:10" x14ac:dyDescent="0.25">
      <c r="A24">
        <v>2000</v>
      </c>
      <c r="B24">
        <v>2000</v>
      </c>
      <c r="C24">
        <v>0</v>
      </c>
      <c r="D24">
        <v>0</v>
      </c>
      <c r="E24">
        <v>1</v>
      </c>
      <c r="F24">
        <v>0</v>
      </c>
      <c r="G24">
        <v>0</v>
      </c>
      <c r="H24">
        <v>0</v>
      </c>
      <c r="I24">
        <v>0</v>
      </c>
      <c r="J24">
        <v>1</v>
      </c>
    </row>
    <row r="25" spans="1:10" x14ac:dyDescent="0.25">
      <c r="A25">
        <v>2050</v>
      </c>
      <c r="B25">
        <v>2050</v>
      </c>
      <c r="C25">
        <v>0</v>
      </c>
      <c r="D25">
        <v>0</v>
      </c>
      <c r="E25">
        <v>0</v>
      </c>
      <c r="F25">
        <v>0</v>
      </c>
      <c r="G25">
        <v>0</v>
      </c>
      <c r="H25">
        <v>0</v>
      </c>
      <c r="I25">
        <v>0</v>
      </c>
      <c r="J25">
        <v>0</v>
      </c>
    </row>
    <row r="26" spans="1:10" x14ac:dyDescent="0.25">
      <c r="A26">
        <v>2100</v>
      </c>
      <c r="B26">
        <v>2100</v>
      </c>
      <c r="C26">
        <v>0</v>
      </c>
      <c r="D26">
        <v>0</v>
      </c>
      <c r="E26">
        <v>360</v>
      </c>
      <c r="F26">
        <v>0</v>
      </c>
      <c r="G26">
        <v>0</v>
      </c>
      <c r="H26">
        <v>0</v>
      </c>
      <c r="I26">
        <v>0</v>
      </c>
      <c r="J26">
        <v>360</v>
      </c>
    </row>
    <row r="27" spans="1:10" x14ac:dyDescent="0.25">
      <c r="A27">
        <v>2150</v>
      </c>
      <c r="B27">
        <v>2150</v>
      </c>
      <c r="C27">
        <v>0</v>
      </c>
      <c r="D27">
        <v>0</v>
      </c>
      <c r="E27">
        <v>122</v>
      </c>
      <c r="F27">
        <v>0</v>
      </c>
      <c r="G27">
        <v>0</v>
      </c>
      <c r="H27">
        <v>0</v>
      </c>
      <c r="I27">
        <v>0</v>
      </c>
      <c r="J27">
        <v>122</v>
      </c>
    </row>
    <row r="28" spans="1:10" x14ac:dyDescent="0.25">
      <c r="A28">
        <v>2175</v>
      </c>
      <c r="B28">
        <v>2175</v>
      </c>
      <c r="C28">
        <v>0</v>
      </c>
      <c r="D28">
        <v>0</v>
      </c>
      <c r="E28">
        <v>0</v>
      </c>
      <c r="F28">
        <v>0</v>
      </c>
      <c r="G28">
        <v>0</v>
      </c>
      <c r="H28">
        <v>0</v>
      </c>
      <c r="I28">
        <v>0</v>
      </c>
      <c r="J28">
        <v>0</v>
      </c>
    </row>
    <row r="29" spans="1:10" x14ac:dyDescent="0.25">
      <c r="A29">
        <v>2200</v>
      </c>
      <c r="B29">
        <v>2200</v>
      </c>
      <c r="C29">
        <v>0</v>
      </c>
      <c r="D29">
        <v>0</v>
      </c>
      <c r="E29">
        <v>99</v>
      </c>
      <c r="F29">
        <v>0</v>
      </c>
      <c r="G29">
        <v>0</v>
      </c>
      <c r="H29">
        <v>0</v>
      </c>
      <c r="I29">
        <v>0</v>
      </c>
      <c r="J29">
        <v>99</v>
      </c>
    </row>
    <row r="30" spans="1:10" x14ac:dyDescent="0.25">
      <c r="A30">
        <v>2250</v>
      </c>
      <c r="B30">
        <v>2250</v>
      </c>
      <c r="C30">
        <v>0</v>
      </c>
      <c r="D30">
        <v>0</v>
      </c>
      <c r="E30">
        <v>0</v>
      </c>
      <c r="F30">
        <v>0</v>
      </c>
      <c r="G30">
        <v>0</v>
      </c>
      <c r="H30">
        <v>0</v>
      </c>
      <c r="I30">
        <v>0</v>
      </c>
      <c r="J30">
        <v>0</v>
      </c>
    </row>
    <row r="31" spans="1:10" x14ac:dyDescent="0.25">
      <c r="A31">
        <v>2275</v>
      </c>
      <c r="B31">
        <v>2275</v>
      </c>
      <c r="C31">
        <v>0</v>
      </c>
      <c r="D31">
        <v>0</v>
      </c>
      <c r="E31">
        <v>0</v>
      </c>
      <c r="F31">
        <v>0</v>
      </c>
      <c r="G31">
        <v>0</v>
      </c>
      <c r="H31">
        <v>0</v>
      </c>
      <c r="I31">
        <v>0</v>
      </c>
      <c r="J31">
        <v>0</v>
      </c>
    </row>
    <row r="32" spans="1:10" x14ac:dyDescent="0.25">
      <c r="A32">
        <v>2300</v>
      </c>
      <c r="B32">
        <v>2300</v>
      </c>
      <c r="C32">
        <v>0</v>
      </c>
      <c r="D32">
        <v>20</v>
      </c>
      <c r="E32">
        <v>20</v>
      </c>
      <c r="F32">
        <v>1982.5</v>
      </c>
      <c r="G32">
        <v>1982.5</v>
      </c>
      <c r="H32">
        <v>1982.5</v>
      </c>
      <c r="I32">
        <v>1982.5</v>
      </c>
      <c r="J32">
        <v>20</v>
      </c>
    </row>
    <row r="33" spans="1:10" x14ac:dyDescent="0.25">
      <c r="A33">
        <v>2325</v>
      </c>
      <c r="B33">
        <v>2325</v>
      </c>
      <c r="C33">
        <v>0</v>
      </c>
      <c r="D33">
        <v>0</v>
      </c>
      <c r="E33">
        <v>0</v>
      </c>
      <c r="F33">
        <v>0</v>
      </c>
      <c r="G33">
        <v>0</v>
      </c>
      <c r="H33">
        <v>0</v>
      </c>
      <c r="I33">
        <v>0</v>
      </c>
      <c r="J33">
        <v>0</v>
      </c>
    </row>
    <row r="34" spans="1:10" x14ac:dyDescent="0.25">
      <c r="A34">
        <v>2350</v>
      </c>
      <c r="B34">
        <v>2350</v>
      </c>
      <c r="C34">
        <v>0</v>
      </c>
      <c r="D34">
        <v>0</v>
      </c>
      <c r="E34">
        <v>0</v>
      </c>
      <c r="F34">
        <v>0</v>
      </c>
      <c r="G34">
        <v>0</v>
      </c>
      <c r="H34">
        <v>0</v>
      </c>
      <c r="I34">
        <v>0</v>
      </c>
      <c r="J34">
        <v>0</v>
      </c>
    </row>
    <row r="35" spans="1:10" x14ac:dyDescent="0.25">
      <c r="A35">
        <v>2375</v>
      </c>
      <c r="B35">
        <v>2375</v>
      </c>
      <c r="C35">
        <v>0</v>
      </c>
      <c r="D35">
        <v>0</v>
      </c>
      <c r="E35">
        <v>0</v>
      </c>
      <c r="F35">
        <v>0</v>
      </c>
      <c r="G35">
        <v>0</v>
      </c>
      <c r="H35">
        <v>0</v>
      </c>
      <c r="I35">
        <v>0</v>
      </c>
      <c r="J35">
        <v>0</v>
      </c>
    </row>
    <row r="36" spans="1:10" x14ac:dyDescent="0.25">
      <c r="A36">
        <v>2400</v>
      </c>
      <c r="B36">
        <v>2400</v>
      </c>
      <c r="C36">
        <v>0</v>
      </c>
      <c r="D36">
        <v>0</v>
      </c>
      <c r="E36">
        <v>1486</v>
      </c>
      <c r="F36">
        <v>0</v>
      </c>
      <c r="G36">
        <v>0</v>
      </c>
      <c r="H36">
        <v>0</v>
      </c>
      <c r="I36">
        <v>0</v>
      </c>
      <c r="J36">
        <v>1486</v>
      </c>
    </row>
    <row r="37" spans="1:10" x14ac:dyDescent="0.25">
      <c r="A37">
        <v>2425</v>
      </c>
      <c r="B37">
        <v>2425</v>
      </c>
      <c r="C37">
        <v>0</v>
      </c>
      <c r="D37">
        <v>0</v>
      </c>
      <c r="E37">
        <v>0</v>
      </c>
      <c r="F37">
        <v>0</v>
      </c>
      <c r="G37">
        <v>0</v>
      </c>
      <c r="H37">
        <v>0</v>
      </c>
      <c r="I37">
        <v>0</v>
      </c>
      <c r="J37">
        <v>0</v>
      </c>
    </row>
    <row r="38" spans="1:10" x14ac:dyDescent="0.25">
      <c r="A38">
        <v>2450</v>
      </c>
      <c r="B38">
        <v>2450</v>
      </c>
      <c r="C38">
        <v>0</v>
      </c>
      <c r="D38">
        <v>0</v>
      </c>
      <c r="E38">
        <v>0</v>
      </c>
      <c r="F38">
        <v>0</v>
      </c>
      <c r="G38">
        <v>0</v>
      </c>
      <c r="H38">
        <v>0</v>
      </c>
      <c r="I38">
        <v>0</v>
      </c>
      <c r="J38">
        <v>0</v>
      </c>
    </row>
    <row r="39" spans="1:10" x14ac:dyDescent="0.25">
      <c r="A39">
        <v>2475</v>
      </c>
      <c r="B39">
        <v>2475</v>
      </c>
      <c r="C39">
        <v>0</v>
      </c>
      <c r="D39">
        <v>0</v>
      </c>
      <c r="E39">
        <v>54</v>
      </c>
      <c r="F39">
        <v>0</v>
      </c>
      <c r="G39">
        <v>0</v>
      </c>
      <c r="H39">
        <v>0</v>
      </c>
      <c r="I39">
        <v>0</v>
      </c>
      <c r="J39">
        <v>54</v>
      </c>
    </row>
    <row r="40" spans="1:10" x14ac:dyDescent="0.25">
      <c r="A40">
        <v>2500</v>
      </c>
      <c r="B40">
        <v>2500</v>
      </c>
      <c r="C40">
        <v>0</v>
      </c>
      <c r="D40">
        <v>0</v>
      </c>
      <c r="E40">
        <v>610</v>
      </c>
      <c r="F40">
        <v>0</v>
      </c>
      <c r="G40">
        <v>0</v>
      </c>
      <c r="H40">
        <v>0</v>
      </c>
      <c r="I40">
        <v>0</v>
      </c>
      <c r="J40">
        <v>610</v>
      </c>
    </row>
    <row r="41" spans="1:10" x14ac:dyDescent="0.25">
      <c r="A41">
        <v>2525</v>
      </c>
      <c r="B41">
        <v>2525</v>
      </c>
      <c r="C41">
        <v>0</v>
      </c>
      <c r="D41">
        <v>0</v>
      </c>
      <c r="E41">
        <v>171</v>
      </c>
      <c r="F41">
        <v>0</v>
      </c>
      <c r="G41">
        <v>0</v>
      </c>
      <c r="H41">
        <v>0</v>
      </c>
      <c r="I41">
        <v>0</v>
      </c>
      <c r="J41">
        <v>171</v>
      </c>
    </row>
    <row r="42" spans="1:10" x14ac:dyDescent="0.25">
      <c r="A42">
        <v>2550</v>
      </c>
      <c r="B42">
        <v>2550</v>
      </c>
      <c r="C42">
        <v>0</v>
      </c>
      <c r="D42">
        <v>0</v>
      </c>
      <c r="E42">
        <v>0</v>
      </c>
      <c r="F42">
        <v>0</v>
      </c>
      <c r="G42">
        <v>0</v>
      </c>
      <c r="H42">
        <v>0</v>
      </c>
      <c r="I42">
        <v>0</v>
      </c>
      <c r="J42">
        <v>0</v>
      </c>
    </row>
    <row r="43" spans="1:10" x14ac:dyDescent="0.25">
      <c r="A43">
        <v>2575</v>
      </c>
      <c r="B43">
        <v>2575</v>
      </c>
      <c r="C43">
        <v>0</v>
      </c>
      <c r="D43">
        <v>0</v>
      </c>
      <c r="E43">
        <v>0</v>
      </c>
      <c r="F43">
        <v>0</v>
      </c>
      <c r="G43">
        <v>0</v>
      </c>
      <c r="H43">
        <v>0</v>
      </c>
      <c r="I43">
        <v>0</v>
      </c>
      <c r="J43">
        <v>0</v>
      </c>
    </row>
    <row r="44" spans="1:10" x14ac:dyDescent="0.25">
      <c r="A44">
        <v>2600</v>
      </c>
      <c r="B44">
        <v>2600</v>
      </c>
      <c r="C44">
        <v>0</v>
      </c>
      <c r="D44">
        <v>0</v>
      </c>
      <c r="E44">
        <v>1850</v>
      </c>
      <c r="F44">
        <v>0</v>
      </c>
      <c r="G44">
        <v>0</v>
      </c>
      <c r="H44">
        <v>0</v>
      </c>
      <c r="I44">
        <v>0</v>
      </c>
      <c r="J44">
        <v>1850</v>
      </c>
    </row>
    <row r="45" spans="1:10" x14ac:dyDescent="0.25">
      <c r="A45">
        <v>2625</v>
      </c>
      <c r="B45">
        <v>2625</v>
      </c>
      <c r="C45">
        <v>0</v>
      </c>
      <c r="D45">
        <v>0</v>
      </c>
      <c r="E45">
        <v>20</v>
      </c>
      <c r="F45">
        <v>0</v>
      </c>
      <c r="G45">
        <v>0</v>
      </c>
      <c r="H45">
        <v>0</v>
      </c>
      <c r="I45">
        <v>0</v>
      </c>
      <c r="J45">
        <v>20</v>
      </c>
    </row>
    <row r="46" spans="1:10" x14ac:dyDescent="0.25">
      <c r="A46">
        <v>2650</v>
      </c>
      <c r="B46">
        <v>2650</v>
      </c>
      <c r="C46">
        <v>0</v>
      </c>
      <c r="D46">
        <v>0</v>
      </c>
      <c r="E46">
        <v>60</v>
      </c>
      <c r="F46">
        <v>0</v>
      </c>
      <c r="G46">
        <v>0</v>
      </c>
      <c r="H46">
        <v>0</v>
      </c>
      <c r="I46">
        <v>0</v>
      </c>
      <c r="J46">
        <v>60</v>
      </c>
    </row>
    <row r="47" spans="1:10" x14ac:dyDescent="0.25">
      <c r="A47">
        <v>2675</v>
      </c>
      <c r="B47">
        <v>2675</v>
      </c>
      <c r="C47">
        <v>0</v>
      </c>
      <c r="D47">
        <v>0</v>
      </c>
      <c r="E47">
        <v>20</v>
      </c>
      <c r="F47">
        <v>0</v>
      </c>
      <c r="G47">
        <v>0</v>
      </c>
      <c r="H47">
        <v>0</v>
      </c>
      <c r="I47">
        <v>0</v>
      </c>
      <c r="J47">
        <v>20</v>
      </c>
    </row>
    <row r="48" spans="1:10" x14ac:dyDescent="0.25">
      <c r="A48">
        <v>2700</v>
      </c>
      <c r="B48">
        <v>2700</v>
      </c>
      <c r="C48">
        <v>0</v>
      </c>
      <c r="D48">
        <v>0</v>
      </c>
      <c r="E48">
        <v>1112</v>
      </c>
      <c r="F48">
        <v>0</v>
      </c>
      <c r="G48">
        <v>0</v>
      </c>
      <c r="H48">
        <v>0</v>
      </c>
      <c r="I48">
        <v>0</v>
      </c>
      <c r="J48">
        <v>1112</v>
      </c>
    </row>
    <row r="49" spans="1:10" x14ac:dyDescent="0.25">
      <c r="A49">
        <v>2725</v>
      </c>
      <c r="B49">
        <v>2725</v>
      </c>
      <c r="C49">
        <v>0</v>
      </c>
      <c r="D49">
        <v>0</v>
      </c>
      <c r="E49">
        <v>0</v>
      </c>
      <c r="F49">
        <v>0</v>
      </c>
      <c r="G49">
        <v>0</v>
      </c>
      <c r="H49">
        <v>0</v>
      </c>
      <c r="I49">
        <v>0</v>
      </c>
      <c r="J49">
        <v>0</v>
      </c>
    </row>
    <row r="50" spans="1:10" x14ac:dyDescent="0.25">
      <c r="A50">
        <v>2750</v>
      </c>
      <c r="B50">
        <v>2750</v>
      </c>
      <c r="C50">
        <v>0</v>
      </c>
      <c r="D50">
        <v>0</v>
      </c>
      <c r="E50">
        <v>0</v>
      </c>
      <c r="F50">
        <v>0</v>
      </c>
      <c r="G50">
        <v>0</v>
      </c>
      <c r="H50">
        <v>0</v>
      </c>
      <c r="I50">
        <v>0</v>
      </c>
      <c r="J50">
        <v>0</v>
      </c>
    </row>
    <row r="51" spans="1:10" x14ac:dyDescent="0.25">
      <c r="A51">
        <v>2775</v>
      </c>
      <c r="B51">
        <v>2775</v>
      </c>
      <c r="C51">
        <v>0</v>
      </c>
      <c r="D51">
        <v>0</v>
      </c>
      <c r="E51">
        <v>80</v>
      </c>
      <c r="F51">
        <v>0</v>
      </c>
      <c r="G51">
        <v>0</v>
      </c>
      <c r="H51">
        <v>0</v>
      </c>
      <c r="I51">
        <v>0</v>
      </c>
      <c r="J51">
        <v>80</v>
      </c>
    </row>
    <row r="52" spans="1:10" x14ac:dyDescent="0.25">
      <c r="A52">
        <v>2800</v>
      </c>
      <c r="B52">
        <v>2800</v>
      </c>
      <c r="C52">
        <v>0</v>
      </c>
      <c r="D52">
        <v>0</v>
      </c>
      <c r="E52">
        <v>404</v>
      </c>
      <c r="F52">
        <v>0</v>
      </c>
      <c r="G52">
        <v>0</v>
      </c>
      <c r="H52">
        <v>0</v>
      </c>
      <c r="I52">
        <v>0</v>
      </c>
      <c r="J52">
        <v>404</v>
      </c>
    </row>
    <row r="53" spans="1:10" x14ac:dyDescent="0.25">
      <c r="A53">
        <v>2825</v>
      </c>
      <c r="B53">
        <v>2825</v>
      </c>
      <c r="C53">
        <v>0</v>
      </c>
      <c r="D53">
        <v>0</v>
      </c>
      <c r="E53">
        <v>0</v>
      </c>
      <c r="F53">
        <v>0</v>
      </c>
      <c r="G53">
        <v>0</v>
      </c>
      <c r="H53">
        <v>0</v>
      </c>
      <c r="I53">
        <v>0</v>
      </c>
      <c r="J53">
        <v>0</v>
      </c>
    </row>
    <row r="54" spans="1:10" x14ac:dyDescent="0.25">
      <c r="A54">
        <v>2850</v>
      </c>
      <c r="B54">
        <v>2850</v>
      </c>
      <c r="C54">
        <v>0</v>
      </c>
      <c r="D54">
        <v>0</v>
      </c>
      <c r="E54">
        <v>0</v>
      </c>
      <c r="F54">
        <v>0</v>
      </c>
      <c r="G54">
        <v>0</v>
      </c>
      <c r="H54">
        <v>0</v>
      </c>
      <c r="I54">
        <v>0</v>
      </c>
      <c r="J54">
        <v>0</v>
      </c>
    </row>
    <row r="55" spans="1:10" x14ac:dyDescent="0.25">
      <c r="A55">
        <v>2875</v>
      </c>
      <c r="B55">
        <v>2875</v>
      </c>
      <c r="C55">
        <v>0</v>
      </c>
      <c r="D55">
        <v>0</v>
      </c>
      <c r="E55">
        <v>301</v>
      </c>
      <c r="F55">
        <v>0</v>
      </c>
      <c r="G55">
        <v>0</v>
      </c>
      <c r="H55">
        <v>0</v>
      </c>
      <c r="I55">
        <v>0</v>
      </c>
      <c r="J55">
        <v>301</v>
      </c>
    </row>
    <row r="56" spans="1:10" x14ac:dyDescent="0.25">
      <c r="A56">
        <v>2900</v>
      </c>
      <c r="B56">
        <v>2900</v>
      </c>
      <c r="C56">
        <v>0</v>
      </c>
      <c r="D56">
        <v>0</v>
      </c>
      <c r="E56">
        <v>280</v>
      </c>
      <c r="F56">
        <v>0</v>
      </c>
      <c r="G56">
        <v>0</v>
      </c>
      <c r="H56">
        <v>0</v>
      </c>
      <c r="I56">
        <v>0</v>
      </c>
      <c r="J56">
        <v>280</v>
      </c>
    </row>
    <row r="57" spans="1:10" x14ac:dyDescent="0.25">
      <c r="A57">
        <v>2925</v>
      </c>
      <c r="B57">
        <v>2925</v>
      </c>
      <c r="C57">
        <v>0</v>
      </c>
      <c r="D57">
        <v>0</v>
      </c>
      <c r="E57">
        <v>0</v>
      </c>
      <c r="F57">
        <v>0</v>
      </c>
      <c r="G57">
        <v>0</v>
      </c>
      <c r="H57">
        <v>0</v>
      </c>
      <c r="I57">
        <v>0</v>
      </c>
      <c r="J57">
        <v>0</v>
      </c>
    </row>
    <row r="58" spans="1:10" x14ac:dyDescent="0.25">
      <c r="A58">
        <v>2950</v>
      </c>
      <c r="B58">
        <v>2950</v>
      </c>
      <c r="C58">
        <v>0</v>
      </c>
      <c r="D58">
        <v>0</v>
      </c>
      <c r="E58">
        <v>20</v>
      </c>
      <c r="F58">
        <v>0</v>
      </c>
      <c r="G58">
        <v>0</v>
      </c>
      <c r="H58">
        <v>0</v>
      </c>
      <c r="I58">
        <v>0</v>
      </c>
      <c r="J58">
        <v>20</v>
      </c>
    </row>
    <row r="59" spans="1:10" x14ac:dyDescent="0.25">
      <c r="A59">
        <v>2975</v>
      </c>
      <c r="B59">
        <v>2975</v>
      </c>
      <c r="C59">
        <v>0</v>
      </c>
      <c r="D59">
        <v>0</v>
      </c>
      <c r="E59">
        <v>0</v>
      </c>
      <c r="F59">
        <v>0</v>
      </c>
      <c r="G59">
        <v>0</v>
      </c>
      <c r="H59">
        <v>0</v>
      </c>
      <c r="I59">
        <v>0</v>
      </c>
      <c r="J59">
        <v>0</v>
      </c>
    </row>
    <row r="60" spans="1:10" x14ac:dyDescent="0.25">
      <c r="A60">
        <v>3000</v>
      </c>
      <c r="B60">
        <v>3000</v>
      </c>
      <c r="C60">
        <v>0</v>
      </c>
      <c r="D60">
        <v>0</v>
      </c>
      <c r="E60">
        <v>1485</v>
      </c>
      <c r="F60">
        <v>0</v>
      </c>
      <c r="G60">
        <v>0</v>
      </c>
      <c r="H60">
        <v>0</v>
      </c>
      <c r="I60">
        <v>0</v>
      </c>
      <c r="J60">
        <v>1485</v>
      </c>
    </row>
    <row r="61" spans="1:10" x14ac:dyDescent="0.25">
      <c r="A61">
        <v>3025</v>
      </c>
      <c r="B61">
        <v>3025</v>
      </c>
      <c r="C61">
        <v>0</v>
      </c>
      <c r="D61">
        <v>0</v>
      </c>
      <c r="E61">
        <v>0</v>
      </c>
      <c r="F61">
        <v>0</v>
      </c>
      <c r="G61">
        <v>0</v>
      </c>
      <c r="H61">
        <v>0</v>
      </c>
      <c r="I61">
        <v>0</v>
      </c>
      <c r="J61">
        <v>0</v>
      </c>
    </row>
    <row r="62" spans="1:10" x14ac:dyDescent="0.25">
      <c r="A62">
        <v>3050</v>
      </c>
      <c r="B62">
        <v>3050</v>
      </c>
      <c r="C62">
        <v>0</v>
      </c>
      <c r="D62">
        <v>0</v>
      </c>
      <c r="E62">
        <v>250</v>
      </c>
      <c r="F62">
        <v>0</v>
      </c>
      <c r="G62">
        <v>0</v>
      </c>
      <c r="H62">
        <v>0</v>
      </c>
      <c r="I62">
        <v>0</v>
      </c>
      <c r="J62">
        <v>250</v>
      </c>
    </row>
    <row r="63" spans="1:10" x14ac:dyDescent="0.25">
      <c r="A63">
        <v>3075</v>
      </c>
      <c r="B63">
        <v>3075</v>
      </c>
      <c r="C63">
        <v>0</v>
      </c>
      <c r="D63">
        <v>0</v>
      </c>
      <c r="E63">
        <v>0</v>
      </c>
      <c r="F63">
        <v>0</v>
      </c>
      <c r="G63">
        <v>0</v>
      </c>
      <c r="H63">
        <v>0</v>
      </c>
      <c r="I63">
        <v>0</v>
      </c>
      <c r="J63">
        <v>0</v>
      </c>
    </row>
    <row r="64" spans="1:10" x14ac:dyDescent="0.25">
      <c r="A64">
        <v>3100</v>
      </c>
      <c r="B64">
        <v>3100</v>
      </c>
      <c r="C64">
        <v>0</v>
      </c>
      <c r="D64">
        <v>0</v>
      </c>
      <c r="E64">
        <v>361</v>
      </c>
      <c r="F64">
        <v>0</v>
      </c>
      <c r="G64">
        <v>0</v>
      </c>
      <c r="H64">
        <v>0</v>
      </c>
      <c r="I64">
        <v>0</v>
      </c>
      <c r="J64">
        <v>361</v>
      </c>
    </row>
    <row r="65" spans="1:10" x14ac:dyDescent="0.25">
      <c r="A65">
        <v>3125</v>
      </c>
      <c r="B65">
        <v>3125</v>
      </c>
      <c r="C65">
        <v>0</v>
      </c>
      <c r="D65">
        <v>0</v>
      </c>
      <c r="E65">
        <v>40</v>
      </c>
      <c r="F65">
        <v>0</v>
      </c>
      <c r="G65">
        <v>0</v>
      </c>
      <c r="H65">
        <v>0</v>
      </c>
      <c r="I65">
        <v>0</v>
      </c>
      <c r="J65">
        <v>40</v>
      </c>
    </row>
    <row r="66" spans="1:10" x14ac:dyDescent="0.25">
      <c r="A66">
        <v>3150</v>
      </c>
      <c r="B66">
        <v>3150</v>
      </c>
      <c r="C66">
        <v>0</v>
      </c>
      <c r="D66">
        <v>0</v>
      </c>
      <c r="E66">
        <v>224</v>
      </c>
      <c r="F66">
        <v>0</v>
      </c>
      <c r="G66">
        <v>0</v>
      </c>
      <c r="H66">
        <v>0</v>
      </c>
      <c r="I66">
        <v>0</v>
      </c>
      <c r="J66">
        <v>224</v>
      </c>
    </row>
    <row r="67" spans="1:10" x14ac:dyDescent="0.25">
      <c r="A67">
        <v>3175</v>
      </c>
      <c r="B67">
        <v>3175</v>
      </c>
      <c r="C67">
        <v>0</v>
      </c>
      <c r="D67">
        <v>0</v>
      </c>
      <c r="E67">
        <v>0</v>
      </c>
      <c r="F67">
        <v>0</v>
      </c>
      <c r="G67">
        <v>0</v>
      </c>
      <c r="H67">
        <v>0</v>
      </c>
      <c r="I67">
        <v>0</v>
      </c>
      <c r="J67">
        <v>0</v>
      </c>
    </row>
    <row r="68" spans="1:10" x14ac:dyDescent="0.25">
      <c r="A68">
        <v>3200</v>
      </c>
      <c r="B68">
        <v>3200</v>
      </c>
      <c r="C68">
        <v>0</v>
      </c>
      <c r="D68">
        <v>0</v>
      </c>
      <c r="E68">
        <v>763</v>
      </c>
      <c r="F68">
        <v>0</v>
      </c>
      <c r="G68">
        <v>0</v>
      </c>
      <c r="H68">
        <v>0</v>
      </c>
      <c r="I68">
        <v>0</v>
      </c>
      <c r="J68">
        <v>763</v>
      </c>
    </row>
    <row r="69" spans="1:10" x14ac:dyDescent="0.25">
      <c r="A69">
        <v>3225</v>
      </c>
      <c r="B69">
        <v>3225</v>
      </c>
      <c r="C69">
        <v>0</v>
      </c>
      <c r="D69">
        <v>0</v>
      </c>
      <c r="E69">
        <v>0</v>
      </c>
      <c r="F69">
        <v>0</v>
      </c>
      <c r="G69">
        <v>0</v>
      </c>
      <c r="H69">
        <v>0</v>
      </c>
      <c r="I69">
        <v>0</v>
      </c>
      <c r="J69">
        <v>0</v>
      </c>
    </row>
    <row r="70" spans="1:10" x14ac:dyDescent="0.25">
      <c r="A70">
        <v>3250</v>
      </c>
      <c r="B70">
        <v>3250</v>
      </c>
      <c r="C70">
        <v>0</v>
      </c>
      <c r="D70">
        <v>0</v>
      </c>
      <c r="E70">
        <v>4143</v>
      </c>
      <c r="F70">
        <v>0</v>
      </c>
      <c r="G70">
        <v>0</v>
      </c>
      <c r="H70">
        <v>0</v>
      </c>
      <c r="I70">
        <v>0</v>
      </c>
      <c r="J70">
        <v>4143</v>
      </c>
    </row>
    <row r="71" spans="1:10" x14ac:dyDescent="0.25">
      <c r="A71">
        <v>3275</v>
      </c>
      <c r="B71">
        <v>3275</v>
      </c>
      <c r="C71">
        <v>0</v>
      </c>
      <c r="D71">
        <v>0</v>
      </c>
      <c r="E71">
        <v>0</v>
      </c>
      <c r="F71">
        <v>0</v>
      </c>
      <c r="G71">
        <v>0</v>
      </c>
      <c r="H71">
        <v>0</v>
      </c>
      <c r="I71">
        <v>0</v>
      </c>
      <c r="J71">
        <v>0</v>
      </c>
    </row>
    <row r="72" spans="1:10" x14ac:dyDescent="0.25">
      <c r="A72">
        <v>3300</v>
      </c>
      <c r="B72">
        <v>3300</v>
      </c>
      <c r="C72">
        <v>0</v>
      </c>
      <c r="D72">
        <v>0</v>
      </c>
      <c r="E72">
        <v>3141</v>
      </c>
      <c r="F72">
        <v>0</v>
      </c>
      <c r="G72">
        <v>0</v>
      </c>
      <c r="H72">
        <v>0</v>
      </c>
      <c r="I72">
        <v>0</v>
      </c>
      <c r="J72">
        <v>3141</v>
      </c>
    </row>
    <row r="73" spans="1:10" x14ac:dyDescent="0.25">
      <c r="A73">
        <v>3325</v>
      </c>
      <c r="B73">
        <v>3325</v>
      </c>
      <c r="C73">
        <v>0</v>
      </c>
      <c r="D73">
        <v>0</v>
      </c>
      <c r="E73">
        <v>33</v>
      </c>
      <c r="F73">
        <v>0</v>
      </c>
      <c r="G73">
        <v>0</v>
      </c>
      <c r="H73">
        <v>0</v>
      </c>
      <c r="I73">
        <v>0</v>
      </c>
      <c r="J73">
        <v>33</v>
      </c>
    </row>
    <row r="74" spans="1:10" x14ac:dyDescent="0.25">
      <c r="A74">
        <v>3350</v>
      </c>
      <c r="B74">
        <v>3350</v>
      </c>
      <c r="C74">
        <v>0</v>
      </c>
      <c r="D74">
        <v>0</v>
      </c>
      <c r="E74">
        <v>6095</v>
      </c>
      <c r="F74">
        <v>0</v>
      </c>
      <c r="G74">
        <v>0</v>
      </c>
      <c r="H74">
        <v>0</v>
      </c>
      <c r="I74">
        <v>0</v>
      </c>
      <c r="J74">
        <v>6095</v>
      </c>
    </row>
    <row r="75" spans="1:10" x14ac:dyDescent="0.25">
      <c r="A75">
        <v>3375</v>
      </c>
      <c r="B75">
        <v>3375</v>
      </c>
      <c r="C75">
        <v>0</v>
      </c>
      <c r="D75">
        <v>0</v>
      </c>
      <c r="E75">
        <v>4</v>
      </c>
      <c r="F75">
        <v>0</v>
      </c>
      <c r="G75">
        <v>0</v>
      </c>
      <c r="H75">
        <v>0</v>
      </c>
      <c r="I75">
        <v>0</v>
      </c>
      <c r="J75">
        <v>4</v>
      </c>
    </row>
    <row r="76" spans="1:10" x14ac:dyDescent="0.25">
      <c r="A76">
        <v>3400</v>
      </c>
      <c r="B76">
        <v>3400</v>
      </c>
      <c r="C76">
        <v>0</v>
      </c>
      <c r="D76">
        <v>0</v>
      </c>
      <c r="E76">
        <v>12105</v>
      </c>
      <c r="F76">
        <v>0</v>
      </c>
      <c r="G76">
        <v>0</v>
      </c>
      <c r="H76">
        <v>0</v>
      </c>
      <c r="I76">
        <v>0</v>
      </c>
      <c r="J76">
        <v>12105</v>
      </c>
    </row>
    <row r="77" spans="1:10" x14ac:dyDescent="0.25">
      <c r="A77">
        <v>3425</v>
      </c>
      <c r="B77">
        <v>3425</v>
      </c>
      <c r="C77">
        <v>0</v>
      </c>
      <c r="D77">
        <v>0</v>
      </c>
      <c r="E77">
        <v>1</v>
      </c>
      <c r="F77">
        <v>0</v>
      </c>
      <c r="G77">
        <v>0</v>
      </c>
      <c r="H77">
        <v>0</v>
      </c>
      <c r="I77">
        <v>0</v>
      </c>
      <c r="J77">
        <v>1</v>
      </c>
    </row>
    <row r="78" spans="1:10" x14ac:dyDescent="0.25">
      <c r="A78">
        <v>3450</v>
      </c>
      <c r="B78">
        <v>3450</v>
      </c>
      <c r="C78">
        <v>0</v>
      </c>
      <c r="D78">
        <v>0</v>
      </c>
      <c r="E78">
        <v>385</v>
      </c>
      <c r="F78">
        <v>0</v>
      </c>
      <c r="G78">
        <v>0</v>
      </c>
      <c r="H78">
        <v>0</v>
      </c>
      <c r="I78">
        <v>0</v>
      </c>
      <c r="J78">
        <v>385</v>
      </c>
    </row>
    <row r="79" spans="1:10" x14ac:dyDescent="0.25">
      <c r="A79">
        <v>3475</v>
      </c>
      <c r="B79">
        <v>3475</v>
      </c>
      <c r="C79">
        <v>0</v>
      </c>
      <c r="D79">
        <v>0</v>
      </c>
      <c r="E79">
        <v>0</v>
      </c>
      <c r="F79">
        <v>0</v>
      </c>
      <c r="G79">
        <v>0</v>
      </c>
      <c r="H79">
        <v>0</v>
      </c>
      <c r="I79">
        <v>0</v>
      </c>
      <c r="J79">
        <v>0</v>
      </c>
    </row>
    <row r="80" spans="1:10" x14ac:dyDescent="0.25">
      <c r="A80">
        <v>3500</v>
      </c>
      <c r="B80">
        <v>3500</v>
      </c>
      <c r="C80">
        <v>0</v>
      </c>
      <c r="D80">
        <v>0</v>
      </c>
      <c r="E80">
        <v>15586</v>
      </c>
      <c r="F80">
        <v>0</v>
      </c>
      <c r="G80">
        <v>0</v>
      </c>
      <c r="H80">
        <v>0</v>
      </c>
      <c r="I80">
        <v>0</v>
      </c>
      <c r="J80">
        <v>15586</v>
      </c>
    </row>
    <row r="81" spans="1:10" x14ac:dyDescent="0.25">
      <c r="A81">
        <v>3525</v>
      </c>
      <c r="B81">
        <v>3525</v>
      </c>
      <c r="C81">
        <v>0</v>
      </c>
      <c r="D81">
        <v>0</v>
      </c>
      <c r="E81">
        <v>98</v>
      </c>
      <c r="F81">
        <v>0</v>
      </c>
      <c r="G81">
        <v>0</v>
      </c>
      <c r="H81">
        <v>0</v>
      </c>
      <c r="I81">
        <v>0</v>
      </c>
      <c r="J81">
        <v>98</v>
      </c>
    </row>
    <row r="82" spans="1:10" x14ac:dyDescent="0.25">
      <c r="A82">
        <v>3550</v>
      </c>
      <c r="B82">
        <v>3550</v>
      </c>
      <c r="C82">
        <v>0</v>
      </c>
      <c r="D82">
        <v>0</v>
      </c>
      <c r="E82">
        <v>646</v>
      </c>
      <c r="F82">
        <v>0</v>
      </c>
      <c r="G82">
        <v>0</v>
      </c>
      <c r="H82">
        <v>0</v>
      </c>
      <c r="I82">
        <v>0</v>
      </c>
      <c r="J82">
        <v>646</v>
      </c>
    </row>
    <row r="83" spans="1:10" x14ac:dyDescent="0.25">
      <c r="A83">
        <v>3575</v>
      </c>
      <c r="B83">
        <v>3575</v>
      </c>
      <c r="C83">
        <v>0</v>
      </c>
      <c r="D83">
        <v>0</v>
      </c>
      <c r="E83">
        <v>625</v>
      </c>
      <c r="F83">
        <v>0</v>
      </c>
      <c r="G83">
        <v>0</v>
      </c>
      <c r="H83">
        <v>0</v>
      </c>
      <c r="I83">
        <v>0</v>
      </c>
      <c r="J83">
        <v>625</v>
      </c>
    </row>
    <row r="84" spans="1:10" x14ac:dyDescent="0.25">
      <c r="A84">
        <v>3600</v>
      </c>
      <c r="B84">
        <v>3600</v>
      </c>
      <c r="C84">
        <v>0</v>
      </c>
      <c r="D84">
        <v>0</v>
      </c>
      <c r="E84">
        <v>11855</v>
      </c>
      <c r="F84">
        <v>0</v>
      </c>
      <c r="G84">
        <v>0</v>
      </c>
      <c r="H84">
        <v>0</v>
      </c>
      <c r="I84">
        <v>0</v>
      </c>
      <c r="J84">
        <v>11855</v>
      </c>
    </row>
    <row r="85" spans="1:10" x14ac:dyDescent="0.25">
      <c r="A85">
        <v>3625</v>
      </c>
      <c r="B85">
        <v>3625</v>
      </c>
      <c r="C85">
        <v>0</v>
      </c>
      <c r="D85">
        <v>0</v>
      </c>
      <c r="E85">
        <v>52</v>
      </c>
      <c r="F85">
        <v>0</v>
      </c>
      <c r="G85">
        <v>0</v>
      </c>
      <c r="H85">
        <v>0</v>
      </c>
      <c r="I85">
        <v>0</v>
      </c>
      <c r="J85">
        <v>52</v>
      </c>
    </row>
    <row r="86" spans="1:10" x14ac:dyDescent="0.25">
      <c r="A86">
        <v>3650</v>
      </c>
      <c r="B86">
        <v>3650</v>
      </c>
      <c r="C86">
        <v>0</v>
      </c>
      <c r="D86">
        <v>0</v>
      </c>
      <c r="E86">
        <v>745</v>
      </c>
      <c r="F86">
        <v>0</v>
      </c>
      <c r="G86">
        <v>0</v>
      </c>
      <c r="H86">
        <v>0</v>
      </c>
      <c r="I86">
        <v>0</v>
      </c>
      <c r="J86">
        <v>745</v>
      </c>
    </row>
    <row r="87" spans="1:10" x14ac:dyDescent="0.25">
      <c r="A87">
        <v>3675</v>
      </c>
      <c r="B87">
        <v>3675</v>
      </c>
      <c r="C87">
        <v>0</v>
      </c>
      <c r="D87">
        <v>0</v>
      </c>
      <c r="E87">
        <v>0</v>
      </c>
      <c r="F87">
        <v>0</v>
      </c>
      <c r="G87">
        <v>0</v>
      </c>
      <c r="H87">
        <v>0</v>
      </c>
      <c r="I87">
        <v>0</v>
      </c>
      <c r="J87">
        <v>0</v>
      </c>
    </row>
    <row r="88" spans="1:10" x14ac:dyDescent="0.25">
      <c r="A88">
        <v>3700</v>
      </c>
      <c r="B88">
        <v>3700</v>
      </c>
      <c r="C88">
        <v>0</v>
      </c>
      <c r="D88">
        <v>1</v>
      </c>
      <c r="E88">
        <v>14829</v>
      </c>
      <c r="F88">
        <v>579.29999999999995</v>
      </c>
      <c r="G88">
        <v>579.29999999999995</v>
      </c>
      <c r="H88">
        <v>579.29999999999995</v>
      </c>
      <c r="I88">
        <v>579.29999999999995</v>
      </c>
      <c r="J88">
        <v>14829</v>
      </c>
    </row>
    <row r="89" spans="1:10" x14ac:dyDescent="0.25">
      <c r="A89">
        <v>3725</v>
      </c>
      <c r="B89">
        <v>3725</v>
      </c>
      <c r="C89">
        <v>0</v>
      </c>
      <c r="D89">
        <v>0</v>
      </c>
      <c r="E89">
        <v>42</v>
      </c>
      <c r="F89">
        <v>0</v>
      </c>
      <c r="G89">
        <v>0</v>
      </c>
      <c r="H89">
        <v>0</v>
      </c>
      <c r="I89">
        <v>0</v>
      </c>
      <c r="J89">
        <v>42</v>
      </c>
    </row>
    <row r="90" spans="1:10" x14ac:dyDescent="0.25">
      <c r="A90">
        <v>3750</v>
      </c>
      <c r="B90">
        <v>3750</v>
      </c>
      <c r="C90">
        <v>0</v>
      </c>
      <c r="D90">
        <v>0</v>
      </c>
      <c r="E90">
        <v>9552</v>
      </c>
      <c r="F90">
        <v>0</v>
      </c>
      <c r="G90">
        <v>0</v>
      </c>
      <c r="H90">
        <v>0</v>
      </c>
      <c r="I90">
        <v>0</v>
      </c>
      <c r="J90">
        <v>9552</v>
      </c>
    </row>
    <row r="91" spans="1:10" x14ac:dyDescent="0.25">
      <c r="A91">
        <v>3775</v>
      </c>
      <c r="B91">
        <v>3775</v>
      </c>
      <c r="C91">
        <v>0</v>
      </c>
      <c r="D91">
        <v>0</v>
      </c>
      <c r="E91">
        <v>138</v>
      </c>
      <c r="F91">
        <v>0</v>
      </c>
      <c r="G91">
        <v>0</v>
      </c>
      <c r="H91">
        <v>0</v>
      </c>
      <c r="I91">
        <v>0</v>
      </c>
      <c r="J91">
        <v>138</v>
      </c>
    </row>
    <row r="92" spans="1:10" x14ac:dyDescent="0.25">
      <c r="A92">
        <v>3800</v>
      </c>
      <c r="B92">
        <v>3800</v>
      </c>
      <c r="C92">
        <v>0</v>
      </c>
      <c r="D92">
        <v>1</v>
      </c>
      <c r="E92">
        <v>10560</v>
      </c>
      <c r="F92">
        <v>460</v>
      </c>
      <c r="G92">
        <v>460</v>
      </c>
      <c r="H92">
        <v>460</v>
      </c>
      <c r="I92">
        <v>460</v>
      </c>
      <c r="J92">
        <v>10560</v>
      </c>
    </row>
    <row r="93" spans="1:10" x14ac:dyDescent="0.25">
      <c r="A93">
        <v>3825</v>
      </c>
      <c r="B93">
        <v>3825</v>
      </c>
      <c r="C93">
        <v>0</v>
      </c>
      <c r="D93">
        <v>0</v>
      </c>
      <c r="E93">
        <v>44</v>
      </c>
      <c r="F93">
        <v>0</v>
      </c>
      <c r="G93">
        <v>0</v>
      </c>
      <c r="H93">
        <v>0</v>
      </c>
      <c r="I93">
        <v>0</v>
      </c>
      <c r="J93">
        <v>44</v>
      </c>
    </row>
    <row r="94" spans="1:10" x14ac:dyDescent="0.25">
      <c r="A94">
        <v>3850</v>
      </c>
      <c r="B94">
        <v>3850</v>
      </c>
      <c r="C94">
        <v>0</v>
      </c>
      <c r="D94">
        <v>0</v>
      </c>
      <c r="E94">
        <v>13234</v>
      </c>
      <c r="F94">
        <v>0</v>
      </c>
      <c r="G94">
        <v>0</v>
      </c>
      <c r="H94">
        <v>0</v>
      </c>
      <c r="I94">
        <v>0</v>
      </c>
      <c r="J94">
        <v>13234</v>
      </c>
    </row>
    <row r="95" spans="1:10" x14ac:dyDescent="0.25">
      <c r="A95">
        <v>3875</v>
      </c>
      <c r="B95">
        <v>3875</v>
      </c>
      <c r="C95">
        <v>0</v>
      </c>
      <c r="D95">
        <v>0</v>
      </c>
      <c r="E95">
        <v>490</v>
      </c>
      <c r="F95">
        <v>0</v>
      </c>
      <c r="G95">
        <v>0</v>
      </c>
      <c r="H95">
        <v>0</v>
      </c>
      <c r="I95">
        <v>0</v>
      </c>
      <c r="J95">
        <v>490</v>
      </c>
    </row>
    <row r="96" spans="1:10" x14ac:dyDescent="0.25">
      <c r="A96">
        <v>3900</v>
      </c>
      <c r="B96">
        <v>3900</v>
      </c>
      <c r="C96">
        <v>0</v>
      </c>
      <c r="D96">
        <v>0</v>
      </c>
      <c r="E96">
        <v>26935</v>
      </c>
      <c r="F96">
        <v>0</v>
      </c>
      <c r="G96">
        <v>0</v>
      </c>
      <c r="H96">
        <v>0</v>
      </c>
      <c r="I96">
        <v>0</v>
      </c>
      <c r="J96">
        <v>26935</v>
      </c>
    </row>
    <row r="97" spans="1:10" x14ac:dyDescent="0.25">
      <c r="A97">
        <v>3925</v>
      </c>
      <c r="B97">
        <v>3925</v>
      </c>
      <c r="C97">
        <v>0</v>
      </c>
      <c r="D97">
        <v>0</v>
      </c>
      <c r="E97">
        <v>398</v>
      </c>
      <c r="F97">
        <v>0</v>
      </c>
      <c r="G97">
        <v>0</v>
      </c>
      <c r="H97">
        <v>0</v>
      </c>
      <c r="I97">
        <v>0</v>
      </c>
      <c r="J97">
        <v>398</v>
      </c>
    </row>
    <row r="98" spans="1:10" x14ac:dyDescent="0.25">
      <c r="A98">
        <v>3950</v>
      </c>
      <c r="B98">
        <v>3950</v>
      </c>
      <c r="C98">
        <v>0</v>
      </c>
      <c r="D98">
        <v>0</v>
      </c>
      <c r="E98">
        <v>12490</v>
      </c>
      <c r="F98">
        <v>0</v>
      </c>
      <c r="G98">
        <v>0</v>
      </c>
      <c r="H98">
        <v>0</v>
      </c>
      <c r="I98">
        <v>0</v>
      </c>
      <c r="J98">
        <v>12490</v>
      </c>
    </row>
    <row r="99" spans="1:10" x14ac:dyDescent="0.25">
      <c r="A99">
        <v>3975</v>
      </c>
      <c r="B99">
        <v>3975</v>
      </c>
      <c r="C99">
        <v>0</v>
      </c>
      <c r="D99">
        <v>0</v>
      </c>
      <c r="E99">
        <v>266</v>
      </c>
      <c r="F99">
        <v>0</v>
      </c>
      <c r="G99">
        <v>0</v>
      </c>
      <c r="H99">
        <v>0</v>
      </c>
      <c r="I99">
        <v>0</v>
      </c>
      <c r="J99">
        <v>266</v>
      </c>
    </row>
    <row r="100" spans="1:10" x14ac:dyDescent="0.25">
      <c r="A100">
        <v>4000</v>
      </c>
      <c r="B100">
        <v>4000</v>
      </c>
      <c r="C100">
        <v>0</v>
      </c>
      <c r="D100">
        <v>0</v>
      </c>
      <c r="E100">
        <v>53628</v>
      </c>
      <c r="F100">
        <v>0</v>
      </c>
      <c r="G100">
        <v>0</v>
      </c>
      <c r="H100">
        <v>0</v>
      </c>
      <c r="I100">
        <v>0</v>
      </c>
      <c r="J100">
        <v>53628</v>
      </c>
    </row>
    <row r="101" spans="1:10" x14ac:dyDescent="0.25">
      <c r="A101">
        <v>4025</v>
      </c>
      <c r="B101">
        <v>4025</v>
      </c>
      <c r="C101">
        <v>0</v>
      </c>
      <c r="D101">
        <v>0</v>
      </c>
      <c r="E101">
        <v>1091</v>
      </c>
      <c r="F101">
        <v>0</v>
      </c>
      <c r="G101">
        <v>0</v>
      </c>
      <c r="H101">
        <v>0</v>
      </c>
      <c r="I101">
        <v>0</v>
      </c>
      <c r="J101">
        <v>1091</v>
      </c>
    </row>
    <row r="102" spans="1:10" x14ac:dyDescent="0.25">
      <c r="A102">
        <v>4050</v>
      </c>
      <c r="B102">
        <v>4050</v>
      </c>
      <c r="C102">
        <v>0</v>
      </c>
      <c r="D102">
        <v>2</v>
      </c>
      <c r="E102">
        <v>12114</v>
      </c>
      <c r="F102">
        <v>0</v>
      </c>
      <c r="G102">
        <v>0</v>
      </c>
      <c r="H102">
        <v>0</v>
      </c>
      <c r="I102">
        <v>0</v>
      </c>
      <c r="J102">
        <v>12114</v>
      </c>
    </row>
    <row r="103" spans="1:10" x14ac:dyDescent="0.25">
      <c r="A103">
        <v>4075</v>
      </c>
      <c r="B103">
        <v>4075</v>
      </c>
      <c r="C103">
        <v>0</v>
      </c>
      <c r="D103">
        <v>0</v>
      </c>
      <c r="E103">
        <v>1789</v>
      </c>
      <c r="F103">
        <v>0</v>
      </c>
      <c r="G103">
        <v>0</v>
      </c>
      <c r="H103">
        <v>0</v>
      </c>
      <c r="I103">
        <v>0</v>
      </c>
      <c r="J103">
        <v>1789</v>
      </c>
    </row>
    <row r="104" spans="1:10" x14ac:dyDescent="0.25">
      <c r="A104">
        <v>4100</v>
      </c>
      <c r="B104">
        <v>4100</v>
      </c>
      <c r="C104">
        <v>0</v>
      </c>
      <c r="D104">
        <v>12</v>
      </c>
      <c r="E104">
        <v>29675</v>
      </c>
      <c r="F104">
        <v>150</v>
      </c>
      <c r="G104">
        <v>194.7</v>
      </c>
      <c r="H104">
        <v>150</v>
      </c>
      <c r="I104">
        <v>194.7</v>
      </c>
      <c r="J104">
        <v>29675</v>
      </c>
    </row>
    <row r="105" spans="1:10" x14ac:dyDescent="0.25">
      <c r="A105">
        <v>4125</v>
      </c>
      <c r="B105">
        <v>4125</v>
      </c>
      <c r="C105">
        <v>0</v>
      </c>
      <c r="D105">
        <v>0</v>
      </c>
      <c r="E105">
        <v>6520</v>
      </c>
      <c r="F105">
        <v>0</v>
      </c>
      <c r="G105">
        <v>0</v>
      </c>
      <c r="H105">
        <v>0</v>
      </c>
      <c r="I105">
        <v>0</v>
      </c>
      <c r="J105">
        <v>6520</v>
      </c>
    </row>
    <row r="106" spans="1:10" x14ac:dyDescent="0.25">
      <c r="A106">
        <v>4150</v>
      </c>
      <c r="B106">
        <v>4150</v>
      </c>
      <c r="C106">
        <v>0</v>
      </c>
      <c r="D106">
        <v>3</v>
      </c>
      <c r="E106">
        <v>12900</v>
      </c>
      <c r="F106">
        <v>116.4</v>
      </c>
      <c r="G106">
        <v>134.69999999999999</v>
      </c>
      <c r="H106">
        <v>114.3</v>
      </c>
      <c r="I106">
        <v>134.69999999999999</v>
      </c>
      <c r="J106">
        <v>12900</v>
      </c>
    </row>
    <row r="107" spans="1:10" x14ac:dyDescent="0.25">
      <c r="A107">
        <v>4175</v>
      </c>
      <c r="B107">
        <v>4175</v>
      </c>
      <c r="C107">
        <v>0</v>
      </c>
      <c r="D107">
        <v>0</v>
      </c>
      <c r="E107">
        <v>2333</v>
      </c>
      <c r="F107">
        <v>0</v>
      </c>
      <c r="G107">
        <v>0</v>
      </c>
      <c r="H107">
        <v>0</v>
      </c>
      <c r="I107">
        <v>0</v>
      </c>
      <c r="J107">
        <v>2333</v>
      </c>
    </row>
    <row r="108" spans="1:10" x14ac:dyDescent="0.25">
      <c r="A108">
        <v>4200</v>
      </c>
      <c r="B108">
        <v>4200</v>
      </c>
      <c r="C108">
        <v>0</v>
      </c>
      <c r="D108">
        <v>44</v>
      </c>
      <c r="E108">
        <v>53328</v>
      </c>
      <c r="F108">
        <v>77</v>
      </c>
      <c r="G108">
        <v>105.3</v>
      </c>
      <c r="H108">
        <v>74.5</v>
      </c>
      <c r="I108">
        <v>95.2</v>
      </c>
      <c r="J108">
        <v>53328</v>
      </c>
    </row>
    <row r="109" spans="1:10" x14ac:dyDescent="0.25">
      <c r="A109">
        <v>4225</v>
      </c>
      <c r="B109">
        <v>4225</v>
      </c>
      <c r="C109">
        <v>0</v>
      </c>
      <c r="D109">
        <v>2032</v>
      </c>
      <c r="E109">
        <v>8713</v>
      </c>
      <c r="F109">
        <v>64.2</v>
      </c>
      <c r="G109">
        <v>64.2</v>
      </c>
      <c r="H109">
        <v>61</v>
      </c>
      <c r="I109">
        <v>61</v>
      </c>
      <c r="J109">
        <v>8713</v>
      </c>
    </row>
    <row r="110" spans="1:10" x14ac:dyDescent="0.25">
      <c r="A110">
        <v>4250</v>
      </c>
      <c r="B110">
        <v>4250</v>
      </c>
      <c r="C110">
        <v>0</v>
      </c>
      <c r="D110">
        <v>5039</v>
      </c>
      <c r="E110">
        <v>28151</v>
      </c>
      <c r="F110">
        <v>47</v>
      </c>
      <c r="G110">
        <v>65.8</v>
      </c>
      <c r="H110">
        <v>41.5</v>
      </c>
      <c r="I110">
        <v>56.5</v>
      </c>
      <c r="J110">
        <v>28151</v>
      </c>
    </row>
    <row r="111" spans="1:10" x14ac:dyDescent="0.25">
      <c r="A111">
        <v>4275</v>
      </c>
      <c r="B111">
        <v>4275</v>
      </c>
      <c r="C111">
        <v>0</v>
      </c>
      <c r="D111">
        <v>679</v>
      </c>
      <c r="E111">
        <v>23682</v>
      </c>
      <c r="F111">
        <v>35</v>
      </c>
      <c r="G111">
        <v>50.7</v>
      </c>
      <c r="H111">
        <v>28.2</v>
      </c>
      <c r="I111">
        <v>44.6</v>
      </c>
      <c r="J111">
        <v>23682</v>
      </c>
    </row>
    <row r="112" spans="1:10" x14ac:dyDescent="0.25">
      <c r="A112">
        <v>4300</v>
      </c>
      <c r="B112">
        <v>4300</v>
      </c>
      <c r="C112">
        <v>0</v>
      </c>
      <c r="D112">
        <v>15731</v>
      </c>
      <c r="E112">
        <v>103361</v>
      </c>
      <c r="F112">
        <v>24.5</v>
      </c>
      <c r="G112">
        <v>37</v>
      </c>
      <c r="H112">
        <v>20.3</v>
      </c>
      <c r="I112">
        <v>28.5</v>
      </c>
      <c r="J112">
        <v>103361</v>
      </c>
    </row>
    <row r="113" spans="1:10" x14ac:dyDescent="0.25">
      <c r="A113">
        <v>4325</v>
      </c>
      <c r="B113">
        <v>4325</v>
      </c>
      <c r="C113">
        <v>0</v>
      </c>
      <c r="D113">
        <v>3769</v>
      </c>
      <c r="E113">
        <v>28352</v>
      </c>
      <c r="F113">
        <v>15.8</v>
      </c>
      <c r="G113">
        <v>25.4</v>
      </c>
      <c r="H113">
        <v>13</v>
      </c>
      <c r="I113">
        <v>19.3</v>
      </c>
      <c r="J113">
        <v>28352</v>
      </c>
    </row>
    <row r="114" spans="1:10" x14ac:dyDescent="0.25">
      <c r="A114">
        <v>4350</v>
      </c>
      <c r="B114">
        <v>4350</v>
      </c>
      <c r="C114">
        <v>0</v>
      </c>
      <c r="D114">
        <v>9112</v>
      </c>
      <c r="E114">
        <v>66064</v>
      </c>
      <c r="F114">
        <v>10</v>
      </c>
      <c r="G114">
        <v>17</v>
      </c>
      <c r="H114">
        <v>8.4</v>
      </c>
      <c r="I114">
        <v>13.4</v>
      </c>
      <c r="J114">
        <v>66064</v>
      </c>
    </row>
    <row r="115" spans="1:10" x14ac:dyDescent="0.25">
      <c r="A115">
        <v>4375</v>
      </c>
      <c r="B115">
        <v>4375</v>
      </c>
      <c r="C115">
        <v>0</v>
      </c>
      <c r="D115">
        <v>6162</v>
      </c>
      <c r="E115">
        <v>19693</v>
      </c>
      <c r="F115">
        <v>7.1</v>
      </c>
      <c r="G115">
        <v>10.6</v>
      </c>
      <c r="H115">
        <v>5.2</v>
      </c>
      <c r="I115">
        <v>8</v>
      </c>
      <c r="J115">
        <v>19693</v>
      </c>
    </row>
    <row r="116" spans="1:10" x14ac:dyDescent="0.25">
      <c r="A116">
        <v>4400</v>
      </c>
      <c r="B116">
        <v>4400</v>
      </c>
      <c r="C116">
        <v>0</v>
      </c>
      <c r="D116">
        <v>8424</v>
      </c>
      <c r="E116">
        <v>76569</v>
      </c>
      <c r="F116">
        <v>4.9000000000000004</v>
      </c>
      <c r="G116">
        <v>6.6</v>
      </c>
      <c r="H116">
        <v>3.5</v>
      </c>
      <c r="I116">
        <v>5.0999999999999996</v>
      </c>
      <c r="J116">
        <v>76569</v>
      </c>
    </row>
    <row r="117" spans="1:10" x14ac:dyDescent="0.25">
      <c r="A117">
        <v>4425</v>
      </c>
      <c r="B117">
        <v>4425</v>
      </c>
      <c r="C117">
        <v>0</v>
      </c>
      <c r="D117">
        <v>4373</v>
      </c>
      <c r="E117">
        <v>15003</v>
      </c>
      <c r="F117">
        <v>2.7</v>
      </c>
      <c r="G117">
        <v>4</v>
      </c>
      <c r="H117">
        <v>2.5</v>
      </c>
      <c r="I117">
        <v>3.1</v>
      </c>
      <c r="J117">
        <v>15003</v>
      </c>
    </row>
    <row r="118" spans="1:10" x14ac:dyDescent="0.25">
      <c r="A118">
        <v>4450</v>
      </c>
      <c r="B118">
        <v>4450</v>
      </c>
      <c r="C118">
        <v>0</v>
      </c>
      <c r="D118">
        <v>7326</v>
      </c>
      <c r="E118">
        <v>60443</v>
      </c>
      <c r="F118">
        <v>1.9</v>
      </c>
      <c r="G118">
        <v>2.6</v>
      </c>
      <c r="H118">
        <v>1.5</v>
      </c>
      <c r="I118">
        <v>2</v>
      </c>
      <c r="J118">
        <v>60443</v>
      </c>
    </row>
    <row r="119" spans="1:10" x14ac:dyDescent="0.25">
      <c r="A119">
        <v>4475</v>
      </c>
      <c r="B119">
        <v>4475</v>
      </c>
      <c r="C119">
        <v>0</v>
      </c>
      <c r="D119">
        <v>2391</v>
      </c>
      <c r="E119">
        <v>31925</v>
      </c>
      <c r="F119">
        <v>1.1000000000000001</v>
      </c>
      <c r="G119">
        <v>1.2</v>
      </c>
      <c r="H119">
        <v>0.9</v>
      </c>
      <c r="I119">
        <v>0.9</v>
      </c>
      <c r="J119">
        <v>31925</v>
      </c>
    </row>
    <row r="120" spans="1:10" x14ac:dyDescent="0.25">
      <c r="A120">
        <v>4500</v>
      </c>
      <c r="B120">
        <v>4500</v>
      </c>
      <c r="C120">
        <v>0</v>
      </c>
      <c r="D120">
        <v>2118</v>
      </c>
      <c r="E120">
        <v>156520</v>
      </c>
      <c r="F120">
        <v>0.9</v>
      </c>
      <c r="G120">
        <v>1</v>
      </c>
      <c r="H120">
        <v>0.7</v>
      </c>
      <c r="I120">
        <v>0.8</v>
      </c>
      <c r="J120">
        <v>156520</v>
      </c>
    </row>
    <row r="121" spans="1:10" x14ac:dyDescent="0.25">
      <c r="A121">
        <v>4525</v>
      </c>
      <c r="B121">
        <v>4525</v>
      </c>
      <c r="C121">
        <v>0</v>
      </c>
      <c r="D121">
        <v>50</v>
      </c>
      <c r="E121">
        <v>29323</v>
      </c>
      <c r="F121">
        <v>0.6</v>
      </c>
      <c r="G121">
        <v>0.6</v>
      </c>
      <c r="H121">
        <v>0.6</v>
      </c>
      <c r="I121">
        <v>0.6</v>
      </c>
      <c r="J121">
        <v>29323</v>
      </c>
    </row>
    <row r="122" spans="1:10" x14ac:dyDescent="0.25">
      <c r="A122">
        <v>4550</v>
      </c>
      <c r="B122">
        <v>4550</v>
      </c>
      <c r="C122">
        <v>0</v>
      </c>
      <c r="D122">
        <v>4</v>
      </c>
      <c r="E122">
        <v>111827</v>
      </c>
      <c r="F122">
        <v>0.6</v>
      </c>
      <c r="G122">
        <v>0.6</v>
      </c>
      <c r="H122">
        <v>0.3</v>
      </c>
      <c r="I122">
        <v>0.3</v>
      </c>
      <c r="J122">
        <v>111827</v>
      </c>
    </row>
    <row r="123" spans="1:10" x14ac:dyDescent="0.25">
      <c r="A123">
        <v>4575</v>
      </c>
      <c r="B123">
        <v>4575</v>
      </c>
      <c r="C123">
        <v>0</v>
      </c>
      <c r="D123">
        <v>1</v>
      </c>
      <c r="E123">
        <v>20111</v>
      </c>
      <c r="F123">
        <v>0.4</v>
      </c>
      <c r="G123">
        <v>0.4</v>
      </c>
      <c r="H123">
        <v>0.4</v>
      </c>
      <c r="I123">
        <v>0.4</v>
      </c>
      <c r="J123">
        <v>20111</v>
      </c>
    </row>
    <row r="124" spans="1:10" x14ac:dyDescent="0.25">
      <c r="A124">
        <v>4600</v>
      </c>
      <c r="B124">
        <v>4600</v>
      </c>
      <c r="C124">
        <v>0</v>
      </c>
      <c r="D124">
        <v>6111</v>
      </c>
      <c r="E124">
        <v>122251</v>
      </c>
      <c r="F124">
        <v>0</v>
      </c>
      <c r="G124">
        <v>0</v>
      </c>
      <c r="H124">
        <v>0</v>
      </c>
      <c r="I124">
        <v>0</v>
      </c>
      <c r="J124">
        <v>122251</v>
      </c>
    </row>
    <row r="125" spans="1:10" x14ac:dyDescent="0.25">
      <c r="A125">
        <v>4625</v>
      </c>
      <c r="B125">
        <v>4625</v>
      </c>
      <c r="C125">
        <v>0</v>
      </c>
      <c r="D125">
        <v>0</v>
      </c>
      <c r="E125">
        <v>34669</v>
      </c>
      <c r="F125">
        <v>0</v>
      </c>
      <c r="G125">
        <v>0</v>
      </c>
      <c r="H125">
        <v>0</v>
      </c>
      <c r="I125">
        <v>0</v>
      </c>
      <c r="J125">
        <v>34669</v>
      </c>
    </row>
    <row r="126" spans="1:10" x14ac:dyDescent="0.25">
      <c r="A126">
        <v>4650</v>
      </c>
      <c r="B126">
        <v>4650</v>
      </c>
      <c r="C126">
        <v>0</v>
      </c>
      <c r="D126">
        <v>0</v>
      </c>
      <c r="E126">
        <v>133931</v>
      </c>
      <c r="F126">
        <v>0</v>
      </c>
      <c r="G126">
        <v>0</v>
      </c>
      <c r="H126">
        <v>0</v>
      </c>
      <c r="I126">
        <v>0</v>
      </c>
      <c r="J126">
        <v>133931</v>
      </c>
    </row>
    <row r="127" spans="1:10" x14ac:dyDescent="0.25">
      <c r="A127">
        <v>4675</v>
      </c>
      <c r="B127">
        <v>4675</v>
      </c>
      <c r="C127">
        <v>0</v>
      </c>
      <c r="D127">
        <v>0</v>
      </c>
      <c r="E127">
        <v>10311</v>
      </c>
      <c r="F127">
        <v>0</v>
      </c>
      <c r="G127">
        <v>0</v>
      </c>
      <c r="H127">
        <v>0</v>
      </c>
      <c r="I127">
        <v>0</v>
      </c>
      <c r="J127">
        <v>10311</v>
      </c>
    </row>
    <row r="128" spans="1:10" x14ac:dyDescent="0.25">
      <c r="A128">
        <v>4700</v>
      </c>
      <c r="B128">
        <v>4700</v>
      </c>
      <c r="C128">
        <v>0</v>
      </c>
      <c r="D128">
        <v>0</v>
      </c>
      <c r="E128">
        <v>90768</v>
      </c>
      <c r="F128">
        <v>0</v>
      </c>
      <c r="G128">
        <v>0</v>
      </c>
      <c r="H128">
        <v>0</v>
      </c>
      <c r="I128">
        <v>0</v>
      </c>
      <c r="J128">
        <v>90768</v>
      </c>
    </row>
    <row r="129" spans="1:10" x14ac:dyDescent="0.25">
      <c r="A129">
        <v>4725</v>
      </c>
      <c r="B129">
        <v>4725</v>
      </c>
      <c r="C129">
        <v>0</v>
      </c>
      <c r="D129">
        <v>0</v>
      </c>
      <c r="E129">
        <v>6051</v>
      </c>
      <c r="F129">
        <v>0</v>
      </c>
      <c r="G129">
        <v>0</v>
      </c>
      <c r="H129">
        <v>0</v>
      </c>
      <c r="I129">
        <v>0</v>
      </c>
      <c r="J129">
        <v>6051</v>
      </c>
    </row>
    <row r="130" spans="1:10" x14ac:dyDescent="0.25">
      <c r="A130">
        <v>4750</v>
      </c>
      <c r="B130">
        <v>4750</v>
      </c>
      <c r="C130">
        <v>0</v>
      </c>
      <c r="D130">
        <v>0</v>
      </c>
      <c r="E130">
        <v>34105</v>
      </c>
      <c r="F130">
        <v>0</v>
      </c>
      <c r="G130">
        <v>0</v>
      </c>
      <c r="H130">
        <v>0</v>
      </c>
      <c r="I130">
        <v>0</v>
      </c>
      <c r="J130">
        <v>34105</v>
      </c>
    </row>
    <row r="131" spans="1:10" x14ac:dyDescent="0.25">
      <c r="A131">
        <v>4775</v>
      </c>
      <c r="B131">
        <v>4775</v>
      </c>
      <c r="C131">
        <v>0</v>
      </c>
      <c r="D131">
        <v>0</v>
      </c>
      <c r="E131">
        <v>3492</v>
      </c>
      <c r="F131">
        <v>0</v>
      </c>
      <c r="G131">
        <v>0</v>
      </c>
      <c r="H131">
        <v>0</v>
      </c>
      <c r="I131">
        <v>0</v>
      </c>
      <c r="J131">
        <v>3492</v>
      </c>
    </row>
    <row r="132" spans="1:10" x14ac:dyDescent="0.25">
      <c r="A132">
        <v>4800</v>
      </c>
      <c r="B132">
        <v>4800</v>
      </c>
      <c r="C132">
        <v>0</v>
      </c>
      <c r="D132">
        <v>0</v>
      </c>
      <c r="E132">
        <v>53798</v>
      </c>
      <c r="F132">
        <v>0</v>
      </c>
      <c r="G132">
        <v>0</v>
      </c>
      <c r="H132">
        <v>0</v>
      </c>
      <c r="I132">
        <v>0</v>
      </c>
      <c r="J132">
        <v>53798</v>
      </c>
    </row>
    <row r="133" spans="1:10" x14ac:dyDescent="0.25">
      <c r="A133">
        <v>4825</v>
      </c>
      <c r="B133">
        <v>4825</v>
      </c>
      <c r="C133">
        <v>0</v>
      </c>
      <c r="D133">
        <v>9</v>
      </c>
      <c r="E133">
        <v>1477</v>
      </c>
      <c r="F133">
        <v>0</v>
      </c>
      <c r="G133">
        <v>0</v>
      </c>
      <c r="H133">
        <v>0</v>
      </c>
      <c r="I133">
        <v>0</v>
      </c>
      <c r="J133">
        <v>1477</v>
      </c>
    </row>
    <row r="134" spans="1:10" x14ac:dyDescent="0.25">
      <c r="A134">
        <v>4850</v>
      </c>
      <c r="B134">
        <v>4850</v>
      </c>
      <c r="C134">
        <v>0</v>
      </c>
      <c r="D134">
        <v>0</v>
      </c>
      <c r="E134">
        <v>4976</v>
      </c>
      <c r="F134">
        <v>0</v>
      </c>
      <c r="G134">
        <v>0</v>
      </c>
      <c r="H134">
        <v>0</v>
      </c>
      <c r="I134">
        <v>0</v>
      </c>
      <c r="J134">
        <v>4976</v>
      </c>
    </row>
    <row r="135" spans="1:10" x14ac:dyDescent="0.25">
      <c r="A135">
        <v>4875</v>
      </c>
      <c r="B135">
        <v>4875</v>
      </c>
      <c r="C135">
        <v>0</v>
      </c>
      <c r="D135">
        <v>0</v>
      </c>
      <c r="E135">
        <v>1061</v>
      </c>
      <c r="F135">
        <v>0</v>
      </c>
      <c r="G135">
        <v>0</v>
      </c>
      <c r="H135">
        <v>0</v>
      </c>
      <c r="I135">
        <v>0</v>
      </c>
      <c r="J135">
        <v>1061</v>
      </c>
    </row>
    <row r="136" spans="1:10" x14ac:dyDescent="0.25">
      <c r="A136">
        <v>4900</v>
      </c>
      <c r="B136">
        <v>4900</v>
      </c>
      <c r="C136">
        <v>0</v>
      </c>
      <c r="D136">
        <v>0</v>
      </c>
      <c r="E136">
        <v>5835</v>
      </c>
      <c r="F136">
        <v>0</v>
      </c>
      <c r="G136">
        <v>0</v>
      </c>
      <c r="H136">
        <v>0</v>
      </c>
      <c r="I136">
        <v>0</v>
      </c>
      <c r="J136">
        <v>5835</v>
      </c>
    </row>
    <row r="137" spans="1:10" x14ac:dyDescent="0.25">
      <c r="A137">
        <v>4925</v>
      </c>
      <c r="B137">
        <v>4925</v>
      </c>
      <c r="C137">
        <v>0</v>
      </c>
      <c r="D137">
        <v>0</v>
      </c>
      <c r="E137">
        <v>481</v>
      </c>
      <c r="F137">
        <v>0</v>
      </c>
      <c r="G137">
        <v>0</v>
      </c>
      <c r="H137">
        <v>0</v>
      </c>
      <c r="I137">
        <v>0</v>
      </c>
      <c r="J137">
        <v>481</v>
      </c>
    </row>
    <row r="138" spans="1:10" x14ac:dyDescent="0.25">
      <c r="A138">
        <v>4950</v>
      </c>
      <c r="B138">
        <v>4950</v>
      </c>
      <c r="C138">
        <v>0</v>
      </c>
      <c r="D138">
        <v>0</v>
      </c>
      <c r="E138">
        <v>390</v>
      </c>
      <c r="F138">
        <v>0</v>
      </c>
      <c r="G138">
        <v>0</v>
      </c>
      <c r="H138">
        <v>0</v>
      </c>
      <c r="I138">
        <v>0</v>
      </c>
      <c r="J138">
        <v>390</v>
      </c>
    </row>
    <row r="139" spans="1:10" x14ac:dyDescent="0.25">
      <c r="A139">
        <v>4975</v>
      </c>
      <c r="B139">
        <v>4975</v>
      </c>
      <c r="C139">
        <v>0</v>
      </c>
      <c r="D139">
        <v>0</v>
      </c>
      <c r="E139">
        <v>851</v>
      </c>
      <c r="F139">
        <v>0</v>
      </c>
      <c r="G139">
        <v>0</v>
      </c>
      <c r="H139">
        <v>0</v>
      </c>
      <c r="I139">
        <v>0</v>
      </c>
      <c r="J139">
        <v>851</v>
      </c>
    </row>
    <row r="140" spans="1:10" x14ac:dyDescent="0.25">
      <c r="A140">
        <v>5000</v>
      </c>
      <c r="B140">
        <v>5000</v>
      </c>
      <c r="C140">
        <v>0</v>
      </c>
      <c r="D140">
        <v>0</v>
      </c>
      <c r="E140">
        <v>17560</v>
      </c>
      <c r="F140">
        <v>0</v>
      </c>
      <c r="G140">
        <v>0</v>
      </c>
      <c r="H140">
        <v>0</v>
      </c>
      <c r="I140">
        <v>0</v>
      </c>
      <c r="J140">
        <v>17560</v>
      </c>
    </row>
    <row r="141" spans="1:10" x14ac:dyDescent="0.25">
      <c r="A141">
        <v>5025</v>
      </c>
      <c r="B141">
        <v>5025</v>
      </c>
      <c r="C141">
        <v>0</v>
      </c>
      <c r="D141">
        <v>0</v>
      </c>
      <c r="E141">
        <v>346</v>
      </c>
      <c r="F141">
        <v>0</v>
      </c>
      <c r="G141">
        <v>0</v>
      </c>
      <c r="H141">
        <v>0</v>
      </c>
      <c r="I141">
        <v>0</v>
      </c>
      <c r="J141">
        <v>346</v>
      </c>
    </row>
    <row r="142" spans="1:10" x14ac:dyDescent="0.25">
      <c r="A142">
        <v>5050</v>
      </c>
      <c r="B142">
        <v>5050</v>
      </c>
      <c r="C142">
        <v>0</v>
      </c>
      <c r="D142">
        <v>0</v>
      </c>
      <c r="E142">
        <v>13</v>
      </c>
      <c r="F142">
        <v>0</v>
      </c>
      <c r="G142">
        <v>0</v>
      </c>
      <c r="H142">
        <v>0</v>
      </c>
      <c r="I142">
        <v>0</v>
      </c>
      <c r="J142">
        <v>13</v>
      </c>
    </row>
    <row r="143" spans="1:10" x14ac:dyDescent="0.25">
      <c r="A143">
        <v>5075</v>
      </c>
      <c r="B143">
        <v>5075</v>
      </c>
      <c r="C143">
        <v>0</v>
      </c>
      <c r="D143">
        <v>0</v>
      </c>
      <c r="E143">
        <v>520</v>
      </c>
      <c r="F143">
        <v>0</v>
      </c>
      <c r="G143">
        <v>0</v>
      </c>
      <c r="H143">
        <v>0</v>
      </c>
      <c r="I143">
        <v>0</v>
      </c>
      <c r="J143">
        <v>520</v>
      </c>
    </row>
    <row r="144" spans="1:10" x14ac:dyDescent="0.25">
      <c r="A144">
        <v>5100</v>
      </c>
      <c r="B144">
        <v>5100</v>
      </c>
      <c r="C144">
        <v>0</v>
      </c>
      <c r="D144">
        <v>0</v>
      </c>
      <c r="E144">
        <v>4029</v>
      </c>
      <c r="F144">
        <v>0</v>
      </c>
      <c r="G144">
        <v>0</v>
      </c>
      <c r="H144">
        <v>0</v>
      </c>
      <c r="I144">
        <v>0</v>
      </c>
      <c r="J144">
        <v>4029</v>
      </c>
    </row>
    <row r="145" spans="1:10" x14ac:dyDescent="0.25">
      <c r="A145">
        <v>5125</v>
      </c>
      <c r="B145">
        <v>5125</v>
      </c>
      <c r="C145">
        <v>0</v>
      </c>
      <c r="D145">
        <v>0</v>
      </c>
      <c r="E145">
        <v>0</v>
      </c>
      <c r="F145">
        <v>0</v>
      </c>
      <c r="G145">
        <v>0</v>
      </c>
      <c r="H145">
        <v>0</v>
      </c>
      <c r="I145">
        <v>0</v>
      </c>
      <c r="J145">
        <v>0</v>
      </c>
    </row>
    <row r="146" spans="1:10" x14ac:dyDescent="0.25">
      <c r="A146">
        <v>5150</v>
      </c>
      <c r="B146">
        <v>5150</v>
      </c>
      <c r="C146">
        <v>0</v>
      </c>
      <c r="D146">
        <v>0</v>
      </c>
      <c r="E146">
        <v>505</v>
      </c>
      <c r="F146">
        <v>0</v>
      </c>
      <c r="G146">
        <v>0</v>
      </c>
      <c r="H146">
        <v>0</v>
      </c>
      <c r="I146">
        <v>0</v>
      </c>
      <c r="J146">
        <v>505</v>
      </c>
    </row>
    <row r="147" spans="1:10" x14ac:dyDescent="0.25">
      <c r="A147">
        <v>5175</v>
      </c>
      <c r="B147">
        <v>5175</v>
      </c>
      <c r="C147">
        <v>0</v>
      </c>
      <c r="D147">
        <v>0</v>
      </c>
      <c r="E147">
        <v>854</v>
      </c>
      <c r="F147">
        <v>0</v>
      </c>
      <c r="G147">
        <v>0</v>
      </c>
      <c r="H147">
        <v>0</v>
      </c>
      <c r="I147">
        <v>0</v>
      </c>
      <c r="J147">
        <v>854</v>
      </c>
    </row>
    <row r="148" spans="1:10" x14ac:dyDescent="0.25">
      <c r="A148">
        <v>5200</v>
      </c>
      <c r="B148">
        <v>5200</v>
      </c>
      <c r="C148">
        <v>0</v>
      </c>
      <c r="D148">
        <v>0</v>
      </c>
      <c r="E148">
        <v>2423</v>
      </c>
      <c r="F148">
        <v>0</v>
      </c>
      <c r="G148">
        <v>0</v>
      </c>
      <c r="H148">
        <v>0</v>
      </c>
      <c r="I148">
        <v>0</v>
      </c>
      <c r="J148">
        <v>2423</v>
      </c>
    </row>
    <row r="149" spans="1:10" x14ac:dyDescent="0.25">
      <c r="A149">
        <v>5225</v>
      </c>
      <c r="B149">
        <v>5225</v>
      </c>
      <c r="C149">
        <v>0</v>
      </c>
      <c r="D149">
        <v>0</v>
      </c>
      <c r="E149">
        <v>600</v>
      </c>
      <c r="F149">
        <v>0</v>
      </c>
      <c r="G149">
        <v>0</v>
      </c>
      <c r="H149">
        <v>0</v>
      </c>
      <c r="I149">
        <v>0</v>
      </c>
      <c r="J149">
        <v>600</v>
      </c>
    </row>
    <row r="150" spans="1:10" x14ac:dyDescent="0.25">
      <c r="A150">
        <v>5250</v>
      </c>
      <c r="B150">
        <v>5250</v>
      </c>
      <c r="C150">
        <v>0</v>
      </c>
      <c r="D150">
        <v>0</v>
      </c>
      <c r="E150">
        <v>1500</v>
      </c>
      <c r="F150">
        <v>0</v>
      </c>
      <c r="G150">
        <v>0</v>
      </c>
      <c r="H150">
        <v>0</v>
      </c>
      <c r="I150">
        <v>0</v>
      </c>
      <c r="J150">
        <v>1500</v>
      </c>
    </row>
    <row r="151" spans="1:10" x14ac:dyDescent="0.25">
      <c r="A151">
        <v>5275</v>
      </c>
      <c r="B151">
        <v>5275</v>
      </c>
      <c r="C151">
        <v>0</v>
      </c>
      <c r="D151">
        <v>0</v>
      </c>
      <c r="E151">
        <v>314</v>
      </c>
      <c r="F151">
        <v>0</v>
      </c>
      <c r="G151">
        <v>0</v>
      </c>
      <c r="H151">
        <v>0</v>
      </c>
      <c r="I151">
        <v>0</v>
      </c>
      <c r="J151">
        <v>314</v>
      </c>
    </row>
    <row r="152" spans="1:10" x14ac:dyDescent="0.25">
      <c r="A152">
        <v>5300</v>
      </c>
      <c r="B152">
        <v>5300</v>
      </c>
      <c r="C152">
        <v>0</v>
      </c>
      <c r="D152">
        <v>0</v>
      </c>
      <c r="E152">
        <v>417</v>
      </c>
      <c r="F152">
        <v>0</v>
      </c>
      <c r="G152">
        <v>0</v>
      </c>
      <c r="H152">
        <v>0</v>
      </c>
      <c r="I152">
        <v>0</v>
      </c>
      <c r="J152">
        <v>417</v>
      </c>
    </row>
    <row r="153" spans="1:10" x14ac:dyDescent="0.25">
      <c r="A153">
        <v>5325</v>
      </c>
      <c r="B153">
        <v>5325</v>
      </c>
      <c r="C153">
        <v>0</v>
      </c>
      <c r="D153">
        <v>0</v>
      </c>
      <c r="E153">
        <v>1758</v>
      </c>
      <c r="F153">
        <v>0</v>
      </c>
      <c r="G153">
        <v>0</v>
      </c>
      <c r="H153">
        <v>0</v>
      </c>
      <c r="I153">
        <v>0</v>
      </c>
      <c r="J153">
        <v>1758</v>
      </c>
    </row>
    <row r="154" spans="1:10" x14ac:dyDescent="0.25">
      <c r="A154">
        <v>5375</v>
      </c>
      <c r="B154">
        <v>5375</v>
      </c>
      <c r="C154">
        <v>0</v>
      </c>
      <c r="D154">
        <v>0</v>
      </c>
      <c r="E154">
        <v>624</v>
      </c>
      <c r="F154">
        <v>0</v>
      </c>
      <c r="G154">
        <v>0</v>
      </c>
      <c r="H154">
        <v>0</v>
      </c>
      <c r="I154">
        <v>0</v>
      </c>
      <c r="J154">
        <v>624</v>
      </c>
    </row>
    <row r="155" spans="1:10" x14ac:dyDescent="0.25">
      <c r="A155">
        <v>5400</v>
      </c>
      <c r="B155">
        <v>5400</v>
      </c>
      <c r="C155">
        <v>0</v>
      </c>
      <c r="D155">
        <v>0</v>
      </c>
      <c r="E155">
        <v>568</v>
      </c>
      <c r="F155">
        <v>0</v>
      </c>
      <c r="G155">
        <v>0</v>
      </c>
      <c r="H155">
        <v>0</v>
      </c>
      <c r="I155">
        <v>0</v>
      </c>
      <c r="J155">
        <v>568</v>
      </c>
    </row>
    <row r="156" spans="1:10" x14ac:dyDescent="0.25">
      <c r="A156">
        <v>5500</v>
      </c>
      <c r="B156">
        <v>5500</v>
      </c>
      <c r="C156">
        <v>0</v>
      </c>
      <c r="D156">
        <v>0</v>
      </c>
      <c r="E156">
        <v>1374</v>
      </c>
      <c r="F156">
        <v>0</v>
      </c>
      <c r="G156">
        <v>0</v>
      </c>
      <c r="H156">
        <v>0</v>
      </c>
      <c r="I156">
        <v>0</v>
      </c>
      <c r="J156">
        <v>1374</v>
      </c>
    </row>
    <row r="157" spans="1:10" x14ac:dyDescent="0.25">
      <c r="A157">
        <v>5600</v>
      </c>
      <c r="B157">
        <v>5600</v>
      </c>
      <c r="C157">
        <v>0</v>
      </c>
      <c r="D157">
        <v>0</v>
      </c>
      <c r="E157">
        <v>0</v>
      </c>
      <c r="F157">
        <v>0</v>
      </c>
      <c r="G157">
        <v>0</v>
      </c>
      <c r="H157">
        <v>0</v>
      </c>
      <c r="I157">
        <v>0</v>
      </c>
      <c r="J157">
        <v>0</v>
      </c>
    </row>
    <row r="158" spans="1:10" x14ac:dyDescent="0.25">
      <c r="A158">
        <v>5700</v>
      </c>
      <c r="B158">
        <v>5700</v>
      </c>
      <c r="C158">
        <v>0</v>
      </c>
      <c r="D158">
        <v>0</v>
      </c>
      <c r="E158">
        <v>0</v>
      </c>
      <c r="F158">
        <v>0</v>
      </c>
      <c r="G158">
        <v>0</v>
      </c>
      <c r="H158">
        <v>0</v>
      </c>
      <c r="I158">
        <v>0</v>
      </c>
      <c r="J158">
        <v>0</v>
      </c>
    </row>
    <row r="159" spans="1:10" x14ac:dyDescent="0.25">
      <c r="A159">
        <v>5800</v>
      </c>
      <c r="B159">
        <v>5800</v>
      </c>
      <c r="C159">
        <v>0</v>
      </c>
      <c r="D159">
        <v>0</v>
      </c>
      <c r="E159">
        <v>0</v>
      </c>
      <c r="F159">
        <v>0</v>
      </c>
      <c r="G159">
        <v>0</v>
      </c>
      <c r="H159">
        <v>0</v>
      </c>
      <c r="I159">
        <v>0</v>
      </c>
      <c r="J159">
        <v>0</v>
      </c>
    </row>
    <row r="160" spans="1:10" x14ac:dyDescent="0.25">
      <c r="A160">
        <v>5900</v>
      </c>
      <c r="B160">
        <v>5900</v>
      </c>
      <c r="C160">
        <v>0</v>
      </c>
      <c r="D160">
        <v>0</v>
      </c>
      <c r="E160">
        <v>0</v>
      </c>
      <c r="F160">
        <v>0</v>
      </c>
      <c r="G160">
        <v>0</v>
      </c>
      <c r="H160">
        <v>0</v>
      </c>
      <c r="I160">
        <v>0</v>
      </c>
      <c r="J160">
        <v>0</v>
      </c>
    </row>
    <row r="161" spans="1:10" x14ac:dyDescent="0.25">
      <c r="A161">
        <v>6000</v>
      </c>
      <c r="B161">
        <v>6000</v>
      </c>
      <c r="C161">
        <v>0</v>
      </c>
      <c r="D161">
        <v>225</v>
      </c>
      <c r="E161">
        <v>27468</v>
      </c>
      <c r="F161">
        <v>0</v>
      </c>
      <c r="G161">
        <v>0</v>
      </c>
      <c r="H161">
        <v>0</v>
      </c>
      <c r="I161">
        <v>0</v>
      </c>
      <c r="J161">
        <v>27468</v>
      </c>
    </row>
    <row r="162" spans="1:10" x14ac:dyDescent="0.25">
      <c r="A162">
        <v>7000</v>
      </c>
      <c r="B162">
        <v>7000</v>
      </c>
      <c r="C162">
        <v>0</v>
      </c>
      <c r="D162">
        <v>0</v>
      </c>
      <c r="E162">
        <v>0</v>
      </c>
      <c r="F162">
        <v>0</v>
      </c>
      <c r="G162">
        <v>0</v>
      </c>
      <c r="H162">
        <v>0</v>
      </c>
      <c r="I162">
        <v>0</v>
      </c>
      <c r="J162">
        <v>0</v>
      </c>
    </row>
    <row r="163" spans="1:10" x14ac:dyDescent="0.25">
      <c r="A163">
        <v>8000</v>
      </c>
      <c r="B163">
        <v>8000</v>
      </c>
      <c r="C163">
        <v>0</v>
      </c>
      <c r="D163">
        <v>0</v>
      </c>
      <c r="E163">
        <v>0</v>
      </c>
      <c r="F163">
        <v>0</v>
      </c>
      <c r="G163">
        <v>0</v>
      </c>
      <c r="H163">
        <v>0</v>
      </c>
      <c r="I163">
        <v>0</v>
      </c>
      <c r="J163">
        <v>0</v>
      </c>
    </row>
    <row r="164" spans="1:10" x14ac:dyDescent="0.25">
      <c r="A164">
        <v>9000</v>
      </c>
      <c r="B164">
        <v>9000</v>
      </c>
      <c r="C164">
        <v>0</v>
      </c>
      <c r="D164">
        <v>0</v>
      </c>
      <c r="E164">
        <v>0</v>
      </c>
      <c r="F164">
        <v>0</v>
      </c>
      <c r="G164">
        <v>0</v>
      </c>
      <c r="H164">
        <v>0</v>
      </c>
      <c r="I164">
        <v>0</v>
      </c>
      <c r="J164">
        <v>0</v>
      </c>
    </row>
    <row r="165" spans="1:10" x14ac:dyDescent="0.25">
      <c r="A165" t="s">
        <v>274</v>
      </c>
      <c r="B165">
        <v>10000</v>
      </c>
      <c r="C165">
        <v>0</v>
      </c>
      <c r="D165">
        <v>0</v>
      </c>
      <c r="E165">
        <v>0</v>
      </c>
      <c r="F165">
        <v>0</v>
      </c>
      <c r="G165">
        <v>0</v>
      </c>
      <c r="H165">
        <v>0</v>
      </c>
      <c r="I165">
        <v>0</v>
      </c>
      <c r="J165">
        <v>0.1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E2CCF-0232-4FC0-885D-7D3C35C09CA3}">
  <sheetPr codeName="Tabelle5"/>
  <dimension ref="A1:J165"/>
  <sheetViews>
    <sheetView workbookViewId="0"/>
  </sheetViews>
  <sheetFormatPr defaultColWidth="8.85546875" defaultRowHeight="15" x14ac:dyDescent="0.25"/>
  <sheetData>
    <row r="1" spans="1:10" x14ac:dyDescent="0.25">
      <c r="A1" s="100" t="s">
        <v>283</v>
      </c>
      <c r="B1" s="100" t="s">
        <v>255</v>
      </c>
      <c r="C1" s="100" t="s">
        <v>282</v>
      </c>
      <c r="D1" s="100" t="s">
        <v>281</v>
      </c>
      <c r="E1" s="100" t="s">
        <v>280</v>
      </c>
      <c r="F1" s="100" t="s">
        <v>279</v>
      </c>
      <c r="G1" s="100" t="s">
        <v>278</v>
      </c>
      <c r="H1" s="100" t="s">
        <v>277</v>
      </c>
      <c r="I1" s="100" t="s">
        <v>276</v>
      </c>
      <c r="J1" s="100" t="s">
        <v>275</v>
      </c>
    </row>
    <row r="2" spans="1:10" x14ac:dyDescent="0.25">
      <c r="A2">
        <v>500</v>
      </c>
      <c r="B2">
        <v>500</v>
      </c>
      <c r="C2">
        <v>0</v>
      </c>
      <c r="D2">
        <v>0</v>
      </c>
      <c r="E2">
        <v>4</v>
      </c>
      <c r="F2">
        <v>0</v>
      </c>
      <c r="G2">
        <v>0</v>
      </c>
      <c r="H2">
        <v>0</v>
      </c>
      <c r="I2">
        <v>0</v>
      </c>
      <c r="J2">
        <v>4</v>
      </c>
    </row>
    <row r="3" spans="1:10" x14ac:dyDescent="0.25">
      <c r="A3">
        <v>600</v>
      </c>
      <c r="B3">
        <v>600</v>
      </c>
      <c r="C3">
        <v>0</v>
      </c>
      <c r="D3">
        <v>0</v>
      </c>
      <c r="E3">
        <v>1</v>
      </c>
      <c r="F3">
        <v>0</v>
      </c>
      <c r="G3">
        <v>0</v>
      </c>
      <c r="H3">
        <v>0</v>
      </c>
      <c r="I3">
        <v>0</v>
      </c>
      <c r="J3">
        <v>1</v>
      </c>
    </row>
    <row r="4" spans="1:10" x14ac:dyDescent="0.25">
      <c r="A4">
        <v>800</v>
      </c>
      <c r="B4">
        <v>800</v>
      </c>
      <c r="C4">
        <v>0</v>
      </c>
      <c r="D4">
        <v>0</v>
      </c>
      <c r="E4">
        <v>0</v>
      </c>
      <c r="F4">
        <v>0</v>
      </c>
      <c r="G4">
        <v>0</v>
      </c>
      <c r="H4">
        <v>0</v>
      </c>
      <c r="I4">
        <v>0</v>
      </c>
      <c r="J4">
        <v>0</v>
      </c>
    </row>
    <row r="5" spans="1:10" x14ac:dyDescent="0.25">
      <c r="A5">
        <v>1000</v>
      </c>
      <c r="B5">
        <v>1000</v>
      </c>
      <c r="C5">
        <v>0</v>
      </c>
      <c r="D5">
        <v>225</v>
      </c>
      <c r="E5">
        <v>33216</v>
      </c>
      <c r="F5">
        <v>0</v>
      </c>
      <c r="G5">
        <v>0</v>
      </c>
      <c r="H5">
        <v>0</v>
      </c>
      <c r="I5">
        <v>0</v>
      </c>
      <c r="J5">
        <v>33216</v>
      </c>
    </row>
    <row r="6" spans="1:10" x14ac:dyDescent="0.25">
      <c r="A6">
        <v>1100</v>
      </c>
      <c r="B6">
        <v>1100</v>
      </c>
      <c r="C6">
        <v>0</v>
      </c>
      <c r="D6">
        <v>0</v>
      </c>
      <c r="E6">
        <v>34</v>
      </c>
      <c r="F6">
        <v>0</v>
      </c>
      <c r="G6">
        <v>0</v>
      </c>
      <c r="H6">
        <v>0</v>
      </c>
      <c r="I6">
        <v>0</v>
      </c>
      <c r="J6">
        <v>34</v>
      </c>
    </row>
    <row r="7" spans="1:10" x14ac:dyDescent="0.25">
      <c r="A7">
        <v>1150</v>
      </c>
      <c r="B7">
        <v>1150</v>
      </c>
      <c r="C7">
        <v>0</v>
      </c>
      <c r="D7">
        <v>0</v>
      </c>
      <c r="E7">
        <v>200</v>
      </c>
      <c r="F7">
        <v>0</v>
      </c>
      <c r="G7">
        <v>0</v>
      </c>
      <c r="H7">
        <v>0</v>
      </c>
      <c r="I7">
        <v>0</v>
      </c>
      <c r="J7">
        <v>200</v>
      </c>
    </row>
    <row r="8" spans="1:10" x14ac:dyDescent="0.25">
      <c r="A8">
        <v>1200</v>
      </c>
      <c r="B8">
        <v>1200</v>
      </c>
      <c r="C8">
        <v>0</v>
      </c>
      <c r="D8">
        <v>0</v>
      </c>
      <c r="E8">
        <v>9041</v>
      </c>
      <c r="F8">
        <v>0</v>
      </c>
      <c r="G8">
        <v>0</v>
      </c>
      <c r="H8">
        <v>0</v>
      </c>
      <c r="I8">
        <v>0</v>
      </c>
      <c r="J8">
        <v>9041</v>
      </c>
    </row>
    <row r="9" spans="1:10" x14ac:dyDescent="0.25">
      <c r="A9">
        <v>1250</v>
      </c>
      <c r="B9">
        <v>1250</v>
      </c>
      <c r="C9">
        <v>0</v>
      </c>
      <c r="D9">
        <v>0</v>
      </c>
      <c r="E9">
        <v>10</v>
      </c>
      <c r="F9">
        <v>0</v>
      </c>
      <c r="G9">
        <v>0</v>
      </c>
      <c r="H9">
        <v>0</v>
      </c>
      <c r="I9">
        <v>0</v>
      </c>
      <c r="J9">
        <v>10</v>
      </c>
    </row>
    <row r="10" spans="1:10" x14ac:dyDescent="0.25">
      <c r="A10">
        <v>1300</v>
      </c>
      <c r="B10">
        <v>1300</v>
      </c>
      <c r="C10">
        <v>0</v>
      </c>
      <c r="D10">
        <v>0</v>
      </c>
      <c r="E10">
        <v>173</v>
      </c>
      <c r="F10">
        <v>0</v>
      </c>
      <c r="G10">
        <v>0</v>
      </c>
      <c r="H10">
        <v>0</v>
      </c>
      <c r="I10">
        <v>0</v>
      </c>
      <c r="J10">
        <v>173</v>
      </c>
    </row>
    <row r="11" spans="1:10" x14ac:dyDescent="0.25">
      <c r="A11">
        <v>1350</v>
      </c>
      <c r="B11">
        <v>1350</v>
      </c>
      <c r="C11">
        <v>0</v>
      </c>
      <c r="D11">
        <v>0</v>
      </c>
      <c r="E11">
        <v>5</v>
      </c>
      <c r="F11">
        <v>0</v>
      </c>
      <c r="G11">
        <v>0</v>
      </c>
      <c r="H11">
        <v>0</v>
      </c>
      <c r="I11">
        <v>0</v>
      </c>
      <c r="J11">
        <v>5</v>
      </c>
    </row>
    <row r="12" spans="1:10" x14ac:dyDescent="0.25">
      <c r="A12">
        <v>1400</v>
      </c>
      <c r="B12">
        <v>1400</v>
      </c>
      <c r="C12">
        <v>0</v>
      </c>
      <c r="D12">
        <v>0</v>
      </c>
      <c r="E12">
        <v>4045</v>
      </c>
      <c r="F12">
        <v>0</v>
      </c>
      <c r="G12">
        <v>0</v>
      </c>
      <c r="H12">
        <v>0</v>
      </c>
      <c r="I12">
        <v>0</v>
      </c>
      <c r="J12">
        <v>4045</v>
      </c>
    </row>
    <row r="13" spans="1:10" x14ac:dyDescent="0.25">
      <c r="A13">
        <v>1450</v>
      </c>
      <c r="B13">
        <v>1450</v>
      </c>
      <c r="C13">
        <v>0</v>
      </c>
      <c r="D13">
        <v>0</v>
      </c>
      <c r="E13">
        <v>1343</v>
      </c>
      <c r="F13">
        <v>0</v>
      </c>
      <c r="G13">
        <v>0</v>
      </c>
      <c r="H13">
        <v>0</v>
      </c>
      <c r="I13">
        <v>0</v>
      </c>
      <c r="J13">
        <v>1343</v>
      </c>
    </row>
    <row r="14" spans="1:10" x14ac:dyDescent="0.25">
      <c r="A14">
        <v>1500</v>
      </c>
      <c r="B14">
        <v>1500</v>
      </c>
      <c r="C14">
        <v>0</v>
      </c>
      <c r="D14">
        <v>0</v>
      </c>
      <c r="E14">
        <v>20358</v>
      </c>
      <c r="F14">
        <v>0</v>
      </c>
      <c r="G14">
        <v>0</v>
      </c>
      <c r="H14">
        <v>0</v>
      </c>
      <c r="I14">
        <v>0</v>
      </c>
      <c r="J14">
        <v>20358</v>
      </c>
    </row>
    <row r="15" spans="1:10" x14ac:dyDescent="0.25">
      <c r="A15">
        <v>1550</v>
      </c>
      <c r="B15">
        <v>1550</v>
      </c>
      <c r="C15">
        <v>0</v>
      </c>
      <c r="D15">
        <v>0</v>
      </c>
      <c r="E15">
        <v>306</v>
      </c>
      <c r="F15">
        <v>0</v>
      </c>
      <c r="G15">
        <v>0</v>
      </c>
      <c r="H15">
        <v>0</v>
      </c>
      <c r="I15">
        <v>0</v>
      </c>
      <c r="J15">
        <v>306</v>
      </c>
    </row>
    <row r="16" spans="1:10" x14ac:dyDescent="0.25">
      <c r="A16">
        <v>1600</v>
      </c>
      <c r="B16">
        <v>1600</v>
      </c>
      <c r="C16">
        <v>0</v>
      </c>
      <c r="D16">
        <v>0</v>
      </c>
      <c r="E16">
        <v>16376</v>
      </c>
      <c r="F16">
        <v>0</v>
      </c>
      <c r="G16">
        <v>0</v>
      </c>
      <c r="H16">
        <v>0</v>
      </c>
      <c r="I16">
        <v>0</v>
      </c>
      <c r="J16">
        <v>16376</v>
      </c>
    </row>
    <row r="17" spans="1:10" x14ac:dyDescent="0.25">
      <c r="A17">
        <v>1650</v>
      </c>
      <c r="B17">
        <v>1650</v>
      </c>
      <c r="C17">
        <v>0</v>
      </c>
      <c r="D17">
        <v>0</v>
      </c>
      <c r="E17">
        <v>34</v>
      </c>
      <c r="F17">
        <v>0</v>
      </c>
      <c r="G17">
        <v>0</v>
      </c>
      <c r="H17">
        <v>0</v>
      </c>
      <c r="I17">
        <v>0</v>
      </c>
      <c r="J17">
        <v>34</v>
      </c>
    </row>
    <row r="18" spans="1:10" x14ac:dyDescent="0.25">
      <c r="A18">
        <v>1700</v>
      </c>
      <c r="B18">
        <v>1700</v>
      </c>
      <c r="C18">
        <v>0</v>
      </c>
      <c r="D18">
        <v>0</v>
      </c>
      <c r="E18">
        <v>2549</v>
      </c>
      <c r="F18">
        <v>0</v>
      </c>
      <c r="G18">
        <v>0</v>
      </c>
      <c r="H18">
        <v>0</v>
      </c>
      <c r="I18">
        <v>0</v>
      </c>
      <c r="J18">
        <v>2549</v>
      </c>
    </row>
    <row r="19" spans="1:10" x14ac:dyDescent="0.25">
      <c r="A19">
        <v>1750</v>
      </c>
      <c r="B19">
        <v>1750</v>
      </c>
      <c r="C19">
        <v>0</v>
      </c>
      <c r="D19">
        <v>0</v>
      </c>
      <c r="E19">
        <v>201</v>
      </c>
      <c r="F19">
        <v>0</v>
      </c>
      <c r="G19">
        <v>0</v>
      </c>
      <c r="H19">
        <v>0</v>
      </c>
      <c r="I19">
        <v>0</v>
      </c>
      <c r="J19">
        <v>201</v>
      </c>
    </row>
    <row r="20" spans="1:10" x14ac:dyDescent="0.25">
      <c r="A20">
        <v>1800</v>
      </c>
      <c r="B20">
        <v>1800</v>
      </c>
      <c r="C20">
        <v>0</v>
      </c>
      <c r="D20">
        <v>0</v>
      </c>
      <c r="E20">
        <v>12797</v>
      </c>
      <c r="F20">
        <v>0</v>
      </c>
      <c r="G20">
        <v>0</v>
      </c>
      <c r="H20">
        <v>0</v>
      </c>
      <c r="I20">
        <v>0</v>
      </c>
      <c r="J20">
        <v>12797</v>
      </c>
    </row>
    <row r="21" spans="1:10" x14ac:dyDescent="0.25">
      <c r="A21">
        <v>1850</v>
      </c>
      <c r="B21">
        <v>1850</v>
      </c>
      <c r="C21">
        <v>0</v>
      </c>
      <c r="D21">
        <v>0</v>
      </c>
      <c r="E21">
        <v>338</v>
      </c>
      <c r="F21">
        <v>0</v>
      </c>
      <c r="G21">
        <v>0</v>
      </c>
      <c r="H21">
        <v>0</v>
      </c>
      <c r="I21">
        <v>0</v>
      </c>
      <c r="J21">
        <v>338</v>
      </c>
    </row>
    <row r="22" spans="1:10" x14ac:dyDescent="0.25">
      <c r="A22">
        <v>1900</v>
      </c>
      <c r="B22">
        <v>1900</v>
      </c>
      <c r="C22">
        <v>0</v>
      </c>
      <c r="D22">
        <v>0</v>
      </c>
      <c r="E22">
        <v>2151</v>
      </c>
      <c r="F22">
        <v>0</v>
      </c>
      <c r="G22">
        <v>0</v>
      </c>
      <c r="H22">
        <v>0</v>
      </c>
      <c r="I22">
        <v>0</v>
      </c>
      <c r="J22">
        <v>2151</v>
      </c>
    </row>
    <row r="23" spans="1:10" x14ac:dyDescent="0.25">
      <c r="A23">
        <v>1950</v>
      </c>
      <c r="B23">
        <v>1950</v>
      </c>
      <c r="C23">
        <v>0</v>
      </c>
      <c r="D23">
        <v>0</v>
      </c>
      <c r="E23">
        <v>170</v>
      </c>
      <c r="F23">
        <v>0</v>
      </c>
      <c r="G23">
        <v>0</v>
      </c>
      <c r="H23">
        <v>0</v>
      </c>
      <c r="I23">
        <v>0</v>
      </c>
      <c r="J23">
        <v>170</v>
      </c>
    </row>
    <row r="24" spans="1:10" x14ac:dyDescent="0.25">
      <c r="A24">
        <v>2000</v>
      </c>
      <c r="B24">
        <v>2000</v>
      </c>
      <c r="C24">
        <v>0</v>
      </c>
      <c r="D24">
        <v>120</v>
      </c>
      <c r="E24">
        <v>28145</v>
      </c>
      <c r="F24">
        <v>0.1</v>
      </c>
      <c r="G24">
        <v>0.1</v>
      </c>
      <c r="H24">
        <v>0.1</v>
      </c>
      <c r="I24">
        <v>0.1</v>
      </c>
      <c r="J24">
        <v>28145</v>
      </c>
    </row>
    <row r="25" spans="1:10" x14ac:dyDescent="0.25">
      <c r="A25">
        <v>2050</v>
      </c>
      <c r="B25">
        <v>2050</v>
      </c>
      <c r="C25">
        <v>0</v>
      </c>
      <c r="D25">
        <v>0</v>
      </c>
      <c r="E25">
        <v>267</v>
      </c>
      <c r="F25">
        <v>0</v>
      </c>
      <c r="G25">
        <v>0</v>
      </c>
      <c r="H25">
        <v>0</v>
      </c>
      <c r="I25">
        <v>0</v>
      </c>
      <c r="J25">
        <v>267</v>
      </c>
    </row>
    <row r="26" spans="1:10" x14ac:dyDescent="0.25">
      <c r="A26">
        <v>2100</v>
      </c>
      <c r="B26">
        <v>2100</v>
      </c>
      <c r="C26">
        <v>0</v>
      </c>
      <c r="D26">
        <v>0</v>
      </c>
      <c r="E26">
        <v>30986</v>
      </c>
      <c r="F26">
        <v>0</v>
      </c>
      <c r="G26">
        <v>0</v>
      </c>
      <c r="H26">
        <v>0</v>
      </c>
      <c r="I26">
        <v>0</v>
      </c>
      <c r="J26">
        <v>30986</v>
      </c>
    </row>
    <row r="27" spans="1:10" x14ac:dyDescent="0.25">
      <c r="A27">
        <v>2150</v>
      </c>
      <c r="B27">
        <v>2150</v>
      </c>
      <c r="C27">
        <v>0</v>
      </c>
      <c r="D27">
        <v>0</v>
      </c>
      <c r="E27">
        <v>2249</v>
      </c>
      <c r="F27">
        <v>0</v>
      </c>
      <c r="G27">
        <v>0</v>
      </c>
      <c r="H27">
        <v>0</v>
      </c>
      <c r="I27">
        <v>0</v>
      </c>
      <c r="J27">
        <v>2249</v>
      </c>
    </row>
    <row r="28" spans="1:10" x14ac:dyDescent="0.25">
      <c r="A28">
        <v>2175</v>
      </c>
      <c r="B28">
        <v>2175</v>
      </c>
      <c r="C28">
        <v>0</v>
      </c>
      <c r="D28">
        <v>0</v>
      </c>
      <c r="E28">
        <v>1738</v>
      </c>
      <c r="F28">
        <v>0</v>
      </c>
      <c r="G28">
        <v>0</v>
      </c>
      <c r="H28">
        <v>0</v>
      </c>
      <c r="I28">
        <v>0</v>
      </c>
      <c r="J28">
        <v>1738</v>
      </c>
    </row>
    <row r="29" spans="1:10" x14ac:dyDescent="0.25">
      <c r="A29">
        <v>2200</v>
      </c>
      <c r="B29">
        <v>2200</v>
      </c>
      <c r="C29">
        <v>0</v>
      </c>
      <c r="D29">
        <v>0</v>
      </c>
      <c r="E29">
        <v>29617</v>
      </c>
      <c r="F29">
        <v>0</v>
      </c>
      <c r="G29">
        <v>0</v>
      </c>
      <c r="H29">
        <v>0</v>
      </c>
      <c r="I29">
        <v>0</v>
      </c>
      <c r="J29">
        <v>29617</v>
      </c>
    </row>
    <row r="30" spans="1:10" x14ac:dyDescent="0.25">
      <c r="A30">
        <v>2250</v>
      </c>
      <c r="B30">
        <v>2250</v>
      </c>
      <c r="C30">
        <v>0</v>
      </c>
      <c r="D30">
        <v>0</v>
      </c>
      <c r="E30">
        <v>6287</v>
      </c>
      <c r="F30">
        <v>0</v>
      </c>
      <c r="G30">
        <v>0</v>
      </c>
      <c r="H30">
        <v>0</v>
      </c>
      <c r="I30">
        <v>0</v>
      </c>
      <c r="J30">
        <v>6287</v>
      </c>
    </row>
    <row r="31" spans="1:10" x14ac:dyDescent="0.25">
      <c r="A31">
        <v>2275</v>
      </c>
      <c r="B31">
        <v>2275</v>
      </c>
      <c r="C31">
        <v>0</v>
      </c>
      <c r="D31">
        <v>0</v>
      </c>
      <c r="E31">
        <v>61</v>
      </c>
      <c r="F31">
        <v>0</v>
      </c>
      <c r="G31">
        <v>0</v>
      </c>
      <c r="H31">
        <v>0</v>
      </c>
      <c r="I31">
        <v>0</v>
      </c>
      <c r="J31">
        <v>61</v>
      </c>
    </row>
    <row r="32" spans="1:10" x14ac:dyDescent="0.25">
      <c r="A32">
        <v>2300</v>
      </c>
      <c r="B32">
        <v>2300</v>
      </c>
      <c r="C32">
        <v>0</v>
      </c>
      <c r="D32">
        <v>0</v>
      </c>
      <c r="E32">
        <v>8063</v>
      </c>
      <c r="F32">
        <v>0</v>
      </c>
      <c r="G32">
        <v>0</v>
      </c>
      <c r="H32">
        <v>0</v>
      </c>
      <c r="I32">
        <v>0</v>
      </c>
      <c r="J32">
        <v>8063</v>
      </c>
    </row>
    <row r="33" spans="1:10" x14ac:dyDescent="0.25">
      <c r="A33">
        <v>2325</v>
      </c>
      <c r="B33">
        <v>2325</v>
      </c>
      <c r="C33">
        <v>0</v>
      </c>
      <c r="D33">
        <v>0</v>
      </c>
      <c r="E33">
        <v>624</v>
      </c>
      <c r="F33">
        <v>0</v>
      </c>
      <c r="G33">
        <v>0</v>
      </c>
      <c r="H33">
        <v>0</v>
      </c>
      <c r="I33">
        <v>0</v>
      </c>
      <c r="J33">
        <v>624</v>
      </c>
    </row>
    <row r="34" spans="1:10" x14ac:dyDescent="0.25">
      <c r="A34">
        <v>2350</v>
      </c>
      <c r="B34">
        <v>2350</v>
      </c>
      <c r="C34">
        <v>0</v>
      </c>
      <c r="D34">
        <v>0</v>
      </c>
      <c r="E34">
        <v>5869</v>
      </c>
      <c r="F34">
        <v>0</v>
      </c>
      <c r="G34">
        <v>0</v>
      </c>
      <c r="H34">
        <v>0</v>
      </c>
      <c r="I34">
        <v>0</v>
      </c>
      <c r="J34">
        <v>5869</v>
      </c>
    </row>
    <row r="35" spans="1:10" x14ac:dyDescent="0.25">
      <c r="A35">
        <v>2375</v>
      </c>
      <c r="B35">
        <v>2375</v>
      </c>
      <c r="C35">
        <v>0</v>
      </c>
      <c r="D35">
        <v>0</v>
      </c>
      <c r="E35">
        <v>1056</v>
      </c>
      <c r="F35">
        <v>0</v>
      </c>
      <c r="G35">
        <v>0</v>
      </c>
      <c r="H35">
        <v>0</v>
      </c>
      <c r="I35">
        <v>0</v>
      </c>
      <c r="J35">
        <v>1056</v>
      </c>
    </row>
    <row r="36" spans="1:10" x14ac:dyDescent="0.25">
      <c r="A36">
        <v>2400</v>
      </c>
      <c r="B36">
        <v>2400</v>
      </c>
      <c r="C36">
        <v>0</v>
      </c>
      <c r="D36">
        <v>30</v>
      </c>
      <c r="E36">
        <v>26278</v>
      </c>
      <c r="F36">
        <v>0.1</v>
      </c>
      <c r="G36">
        <v>0.1</v>
      </c>
      <c r="H36">
        <v>0.1</v>
      </c>
      <c r="I36">
        <v>0.1</v>
      </c>
      <c r="J36">
        <v>26278</v>
      </c>
    </row>
    <row r="37" spans="1:10" x14ac:dyDescent="0.25">
      <c r="A37">
        <v>2425</v>
      </c>
      <c r="B37">
        <v>2425</v>
      </c>
      <c r="C37">
        <v>0</v>
      </c>
      <c r="D37">
        <v>0</v>
      </c>
      <c r="E37">
        <v>1247</v>
      </c>
      <c r="F37">
        <v>0</v>
      </c>
      <c r="G37">
        <v>0</v>
      </c>
      <c r="H37">
        <v>0</v>
      </c>
      <c r="I37">
        <v>0</v>
      </c>
      <c r="J37">
        <v>1247</v>
      </c>
    </row>
    <row r="38" spans="1:10" x14ac:dyDescent="0.25">
      <c r="A38">
        <v>2450</v>
      </c>
      <c r="B38">
        <v>2450</v>
      </c>
      <c r="C38">
        <v>0</v>
      </c>
      <c r="D38">
        <v>0</v>
      </c>
      <c r="E38">
        <v>3566</v>
      </c>
      <c r="F38">
        <v>0</v>
      </c>
      <c r="G38">
        <v>0</v>
      </c>
      <c r="H38">
        <v>0</v>
      </c>
      <c r="I38">
        <v>0</v>
      </c>
      <c r="J38">
        <v>3566</v>
      </c>
    </row>
    <row r="39" spans="1:10" x14ac:dyDescent="0.25">
      <c r="A39">
        <v>2475</v>
      </c>
      <c r="B39">
        <v>2475</v>
      </c>
      <c r="C39">
        <v>0</v>
      </c>
      <c r="D39">
        <v>0</v>
      </c>
      <c r="E39">
        <v>1958</v>
      </c>
      <c r="F39">
        <v>0</v>
      </c>
      <c r="G39">
        <v>0</v>
      </c>
      <c r="H39">
        <v>0</v>
      </c>
      <c r="I39">
        <v>0</v>
      </c>
      <c r="J39">
        <v>1958</v>
      </c>
    </row>
    <row r="40" spans="1:10" x14ac:dyDescent="0.25">
      <c r="A40">
        <v>2500</v>
      </c>
      <c r="B40">
        <v>2500</v>
      </c>
      <c r="C40">
        <v>0</v>
      </c>
      <c r="D40">
        <v>0</v>
      </c>
      <c r="E40">
        <v>46940</v>
      </c>
      <c r="F40">
        <v>0</v>
      </c>
      <c r="G40">
        <v>0</v>
      </c>
      <c r="H40">
        <v>0</v>
      </c>
      <c r="I40">
        <v>0</v>
      </c>
      <c r="J40">
        <v>46940</v>
      </c>
    </row>
    <row r="41" spans="1:10" x14ac:dyDescent="0.25">
      <c r="A41">
        <v>2525</v>
      </c>
      <c r="B41">
        <v>2525</v>
      </c>
      <c r="C41">
        <v>0</v>
      </c>
      <c r="D41">
        <v>0</v>
      </c>
      <c r="E41">
        <v>4061</v>
      </c>
      <c r="F41">
        <v>0</v>
      </c>
      <c r="G41">
        <v>0</v>
      </c>
      <c r="H41">
        <v>0</v>
      </c>
      <c r="I41">
        <v>0</v>
      </c>
      <c r="J41">
        <v>4061</v>
      </c>
    </row>
    <row r="42" spans="1:10" x14ac:dyDescent="0.25">
      <c r="A42">
        <v>2550</v>
      </c>
      <c r="B42">
        <v>2550</v>
      </c>
      <c r="C42">
        <v>0</v>
      </c>
      <c r="D42">
        <v>0</v>
      </c>
      <c r="E42">
        <v>2282</v>
      </c>
      <c r="F42">
        <v>0</v>
      </c>
      <c r="G42">
        <v>0</v>
      </c>
      <c r="H42">
        <v>0</v>
      </c>
      <c r="I42">
        <v>0</v>
      </c>
      <c r="J42">
        <v>2282</v>
      </c>
    </row>
    <row r="43" spans="1:10" x14ac:dyDescent="0.25">
      <c r="A43">
        <v>2575</v>
      </c>
      <c r="B43">
        <v>2575</v>
      </c>
      <c r="C43">
        <v>0</v>
      </c>
      <c r="D43">
        <v>0</v>
      </c>
      <c r="E43">
        <v>948</v>
      </c>
      <c r="F43">
        <v>0</v>
      </c>
      <c r="G43">
        <v>0</v>
      </c>
      <c r="H43">
        <v>0</v>
      </c>
      <c r="I43">
        <v>0</v>
      </c>
      <c r="J43">
        <v>948</v>
      </c>
    </row>
    <row r="44" spans="1:10" x14ac:dyDescent="0.25">
      <c r="A44">
        <v>2600</v>
      </c>
      <c r="B44">
        <v>2600</v>
      </c>
      <c r="C44">
        <v>0</v>
      </c>
      <c r="D44">
        <v>0</v>
      </c>
      <c r="E44">
        <v>32225</v>
      </c>
      <c r="F44">
        <v>0</v>
      </c>
      <c r="G44">
        <v>0</v>
      </c>
      <c r="H44">
        <v>0</v>
      </c>
      <c r="I44">
        <v>0</v>
      </c>
      <c r="J44">
        <v>32225</v>
      </c>
    </row>
    <row r="45" spans="1:10" x14ac:dyDescent="0.25">
      <c r="A45">
        <v>2625</v>
      </c>
      <c r="B45">
        <v>2625</v>
      </c>
      <c r="C45">
        <v>0</v>
      </c>
      <c r="D45">
        <v>0</v>
      </c>
      <c r="E45">
        <v>2734</v>
      </c>
      <c r="F45">
        <v>0</v>
      </c>
      <c r="G45">
        <v>0</v>
      </c>
      <c r="H45">
        <v>0</v>
      </c>
      <c r="I45">
        <v>0</v>
      </c>
      <c r="J45">
        <v>2734</v>
      </c>
    </row>
    <row r="46" spans="1:10" x14ac:dyDescent="0.25">
      <c r="A46">
        <v>2650</v>
      </c>
      <c r="B46">
        <v>2650</v>
      </c>
      <c r="C46">
        <v>0</v>
      </c>
      <c r="D46">
        <v>0</v>
      </c>
      <c r="E46">
        <v>7857</v>
      </c>
      <c r="F46">
        <v>0</v>
      </c>
      <c r="G46">
        <v>0</v>
      </c>
      <c r="H46">
        <v>0</v>
      </c>
      <c r="I46">
        <v>0</v>
      </c>
      <c r="J46">
        <v>7857</v>
      </c>
    </row>
    <row r="47" spans="1:10" x14ac:dyDescent="0.25">
      <c r="A47">
        <v>2675</v>
      </c>
      <c r="B47">
        <v>2675</v>
      </c>
      <c r="C47">
        <v>0</v>
      </c>
      <c r="D47">
        <v>0</v>
      </c>
      <c r="E47">
        <v>1979</v>
      </c>
      <c r="F47">
        <v>0</v>
      </c>
      <c r="G47">
        <v>0</v>
      </c>
      <c r="H47">
        <v>0</v>
      </c>
      <c r="I47">
        <v>0</v>
      </c>
      <c r="J47">
        <v>1979</v>
      </c>
    </row>
    <row r="48" spans="1:10" x14ac:dyDescent="0.25">
      <c r="A48">
        <v>2700</v>
      </c>
      <c r="B48">
        <v>2700</v>
      </c>
      <c r="C48">
        <v>0</v>
      </c>
      <c r="D48">
        <v>0</v>
      </c>
      <c r="E48">
        <v>19853</v>
      </c>
      <c r="F48">
        <v>0</v>
      </c>
      <c r="G48">
        <v>0</v>
      </c>
      <c r="H48">
        <v>0</v>
      </c>
      <c r="I48">
        <v>0</v>
      </c>
      <c r="J48">
        <v>19853</v>
      </c>
    </row>
    <row r="49" spans="1:10" x14ac:dyDescent="0.25">
      <c r="A49">
        <v>2725</v>
      </c>
      <c r="B49">
        <v>2725</v>
      </c>
      <c r="C49">
        <v>0</v>
      </c>
      <c r="D49">
        <v>0</v>
      </c>
      <c r="E49">
        <v>1583</v>
      </c>
      <c r="F49">
        <v>0</v>
      </c>
      <c r="G49">
        <v>0</v>
      </c>
      <c r="H49">
        <v>0</v>
      </c>
      <c r="I49">
        <v>0</v>
      </c>
      <c r="J49">
        <v>1583</v>
      </c>
    </row>
    <row r="50" spans="1:10" x14ac:dyDescent="0.25">
      <c r="A50">
        <v>2750</v>
      </c>
      <c r="B50">
        <v>2750</v>
      </c>
      <c r="C50">
        <v>0</v>
      </c>
      <c r="D50">
        <v>0</v>
      </c>
      <c r="E50">
        <v>20326</v>
      </c>
      <c r="F50">
        <v>0</v>
      </c>
      <c r="G50">
        <v>0</v>
      </c>
      <c r="H50">
        <v>0</v>
      </c>
      <c r="I50">
        <v>0</v>
      </c>
      <c r="J50">
        <v>20326</v>
      </c>
    </row>
    <row r="51" spans="1:10" x14ac:dyDescent="0.25">
      <c r="A51">
        <v>2775</v>
      </c>
      <c r="B51">
        <v>2775</v>
      </c>
      <c r="C51">
        <v>0</v>
      </c>
      <c r="D51">
        <v>0</v>
      </c>
      <c r="E51">
        <v>2347</v>
      </c>
      <c r="F51">
        <v>0</v>
      </c>
      <c r="G51">
        <v>0</v>
      </c>
      <c r="H51">
        <v>0</v>
      </c>
      <c r="I51">
        <v>0</v>
      </c>
      <c r="J51">
        <v>2347</v>
      </c>
    </row>
    <row r="52" spans="1:10" x14ac:dyDescent="0.25">
      <c r="A52">
        <v>2800</v>
      </c>
      <c r="B52">
        <v>2800</v>
      </c>
      <c r="C52">
        <v>0</v>
      </c>
      <c r="D52">
        <v>0</v>
      </c>
      <c r="E52">
        <v>28298</v>
      </c>
      <c r="F52">
        <v>0</v>
      </c>
      <c r="G52">
        <v>0</v>
      </c>
      <c r="H52">
        <v>0</v>
      </c>
      <c r="I52">
        <v>0</v>
      </c>
      <c r="J52">
        <v>28298</v>
      </c>
    </row>
    <row r="53" spans="1:10" x14ac:dyDescent="0.25">
      <c r="A53">
        <v>2825</v>
      </c>
      <c r="B53">
        <v>2825</v>
      </c>
      <c r="C53">
        <v>0</v>
      </c>
      <c r="D53">
        <v>0</v>
      </c>
      <c r="E53">
        <v>1682</v>
      </c>
      <c r="F53">
        <v>0</v>
      </c>
      <c r="G53">
        <v>0</v>
      </c>
      <c r="H53">
        <v>0</v>
      </c>
      <c r="I53">
        <v>0</v>
      </c>
      <c r="J53">
        <v>1682</v>
      </c>
    </row>
    <row r="54" spans="1:10" x14ac:dyDescent="0.25">
      <c r="A54">
        <v>2850</v>
      </c>
      <c r="B54">
        <v>2850</v>
      </c>
      <c r="C54">
        <v>0</v>
      </c>
      <c r="D54">
        <v>0</v>
      </c>
      <c r="E54">
        <v>5040</v>
      </c>
      <c r="F54">
        <v>0</v>
      </c>
      <c r="G54">
        <v>0</v>
      </c>
      <c r="H54">
        <v>0</v>
      </c>
      <c r="I54">
        <v>0</v>
      </c>
      <c r="J54">
        <v>5040</v>
      </c>
    </row>
    <row r="55" spans="1:10" x14ac:dyDescent="0.25">
      <c r="A55">
        <v>2875</v>
      </c>
      <c r="B55">
        <v>2875</v>
      </c>
      <c r="C55">
        <v>0</v>
      </c>
      <c r="D55">
        <v>0</v>
      </c>
      <c r="E55">
        <v>2033</v>
      </c>
      <c r="F55">
        <v>0</v>
      </c>
      <c r="G55">
        <v>0</v>
      </c>
      <c r="H55">
        <v>0</v>
      </c>
      <c r="I55">
        <v>0</v>
      </c>
      <c r="J55">
        <v>2033</v>
      </c>
    </row>
    <row r="56" spans="1:10" x14ac:dyDescent="0.25">
      <c r="A56">
        <v>2900</v>
      </c>
      <c r="B56">
        <v>2900</v>
      </c>
      <c r="C56">
        <v>0</v>
      </c>
      <c r="D56">
        <v>0</v>
      </c>
      <c r="E56">
        <v>23413</v>
      </c>
      <c r="F56">
        <v>0</v>
      </c>
      <c r="G56">
        <v>0</v>
      </c>
      <c r="H56">
        <v>0</v>
      </c>
      <c r="I56">
        <v>0</v>
      </c>
      <c r="J56">
        <v>23413</v>
      </c>
    </row>
    <row r="57" spans="1:10" x14ac:dyDescent="0.25">
      <c r="A57">
        <v>2925</v>
      </c>
      <c r="B57">
        <v>2925</v>
      </c>
      <c r="C57">
        <v>0</v>
      </c>
      <c r="D57">
        <v>0</v>
      </c>
      <c r="E57">
        <v>1476</v>
      </c>
      <c r="F57">
        <v>0</v>
      </c>
      <c r="G57">
        <v>0</v>
      </c>
      <c r="H57">
        <v>0</v>
      </c>
      <c r="I57">
        <v>0</v>
      </c>
      <c r="J57">
        <v>1476</v>
      </c>
    </row>
    <row r="58" spans="1:10" x14ac:dyDescent="0.25">
      <c r="A58">
        <v>2950</v>
      </c>
      <c r="B58">
        <v>2950</v>
      </c>
      <c r="C58">
        <v>0</v>
      </c>
      <c r="D58">
        <v>0</v>
      </c>
      <c r="E58">
        <v>1369</v>
      </c>
      <c r="F58">
        <v>0</v>
      </c>
      <c r="G58">
        <v>0</v>
      </c>
      <c r="H58">
        <v>0</v>
      </c>
      <c r="I58">
        <v>0</v>
      </c>
      <c r="J58">
        <v>1369</v>
      </c>
    </row>
    <row r="59" spans="1:10" x14ac:dyDescent="0.25">
      <c r="A59">
        <v>2975</v>
      </c>
      <c r="B59">
        <v>2975</v>
      </c>
      <c r="C59">
        <v>0</v>
      </c>
      <c r="D59">
        <v>0</v>
      </c>
      <c r="E59">
        <v>1333</v>
      </c>
      <c r="F59">
        <v>0</v>
      </c>
      <c r="G59">
        <v>0</v>
      </c>
      <c r="H59">
        <v>0</v>
      </c>
      <c r="I59">
        <v>0</v>
      </c>
      <c r="J59">
        <v>1333</v>
      </c>
    </row>
    <row r="60" spans="1:10" x14ac:dyDescent="0.25">
      <c r="A60">
        <v>3000</v>
      </c>
      <c r="B60">
        <v>3000</v>
      </c>
      <c r="C60">
        <v>0</v>
      </c>
      <c r="D60">
        <v>40</v>
      </c>
      <c r="E60">
        <v>60045</v>
      </c>
      <c r="F60">
        <v>0.2</v>
      </c>
      <c r="G60">
        <v>0.2</v>
      </c>
      <c r="H60">
        <v>0.2</v>
      </c>
      <c r="I60">
        <v>0.2</v>
      </c>
      <c r="J60">
        <v>60045</v>
      </c>
    </row>
    <row r="61" spans="1:10" x14ac:dyDescent="0.25">
      <c r="A61">
        <v>3025</v>
      </c>
      <c r="B61">
        <v>3025</v>
      </c>
      <c r="C61">
        <v>0</v>
      </c>
      <c r="D61">
        <v>0</v>
      </c>
      <c r="E61">
        <v>10914</v>
      </c>
      <c r="F61">
        <v>0</v>
      </c>
      <c r="G61">
        <v>0</v>
      </c>
      <c r="H61">
        <v>0</v>
      </c>
      <c r="I61">
        <v>0</v>
      </c>
      <c r="J61">
        <v>10914</v>
      </c>
    </row>
    <row r="62" spans="1:10" x14ac:dyDescent="0.25">
      <c r="A62">
        <v>3050</v>
      </c>
      <c r="B62">
        <v>3050</v>
      </c>
      <c r="C62">
        <v>0</v>
      </c>
      <c r="D62">
        <v>0</v>
      </c>
      <c r="E62">
        <v>21386</v>
      </c>
      <c r="F62">
        <v>0</v>
      </c>
      <c r="G62">
        <v>0</v>
      </c>
      <c r="H62">
        <v>0</v>
      </c>
      <c r="I62">
        <v>0</v>
      </c>
      <c r="J62">
        <v>21386</v>
      </c>
    </row>
    <row r="63" spans="1:10" x14ac:dyDescent="0.25">
      <c r="A63">
        <v>3075</v>
      </c>
      <c r="B63">
        <v>3075</v>
      </c>
      <c r="C63">
        <v>0</v>
      </c>
      <c r="D63">
        <v>0</v>
      </c>
      <c r="E63">
        <v>33928</v>
      </c>
      <c r="F63">
        <v>0</v>
      </c>
      <c r="G63">
        <v>0</v>
      </c>
      <c r="H63">
        <v>0</v>
      </c>
      <c r="I63">
        <v>0</v>
      </c>
      <c r="J63">
        <v>33928</v>
      </c>
    </row>
    <row r="64" spans="1:10" x14ac:dyDescent="0.25">
      <c r="A64">
        <v>3100</v>
      </c>
      <c r="B64">
        <v>3100</v>
      </c>
      <c r="C64">
        <v>0</v>
      </c>
      <c r="D64">
        <v>0</v>
      </c>
      <c r="E64">
        <v>29357</v>
      </c>
      <c r="F64">
        <v>0</v>
      </c>
      <c r="G64">
        <v>0</v>
      </c>
      <c r="H64">
        <v>0</v>
      </c>
      <c r="I64">
        <v>0</v>
      </c>
      <c r="J64">
        <v>29357</v>
      </c>
    </row>
    <row r="65" spans="1:10" x14ac:dyDescent="0.25">
      <c r="A65">
        <v>3125</v>
      </c>
      <c r="B65">
        <v>3125</v>
      </c>
      <c r="C65">
        <v>0</v>
      </c>
      <c r="D65">
        <v>0</v>
      </c>
      <c r="E65">
        <v>3329</v>
      </c>
      <c r="F65">
        <v>0</v>
      </c>
      <c r="G65">
        <v>0</v>
      </c>
      <c r="H65">
        <v>0</v>
      </c>
      <c r="I65">
        <v>0</v>
      </c>
      <c r="J65">
        <v>3329</v>
      </c>
    </row>
    <row r="66" spans="1:10" x14ac:dyDescent="0.25">
      <c r="A66">
        <v>3150</v>
      </c>
      <c r="B66">
        <v>3150</v>
      </c>
      <c r="C66">
        <v>0</v>
      </c>
      <c r="D66">
        <v>0</v>
      </c>
      <c r="E66">
        <v>15798</v>
      </c>
      <c r="F66">
        <v>0</v>
      </c>
      <c r="G66">
        <v>0</v>
      </c>
      <c r="H66">
        <v>0</v>
      </c>
      <c r="I66">
        <v>0</v>
      </c>
      <c r="J66">
        <v>15798</v>
      </c>
    </row>
    <row r="67" spans="1:10" x14ac:dyDescent="0.25">
      <c r="A67">
        <v>3175</v>
      </c>
      <c r="B67">
        <v>3175</v>
      </c>
      <c r="C67">
        <v>0</v>
      </c>
      <c r="D67">
        <v>0</v>
      </c>
      <c r="E67">
        <v>2410</v>
      </c>
      <c r="F67">
        <v>0</v>
      </c>
      <c r="G67">
        <v>0</v>
      </c>
      <c r="H67">
        <v>0</v>
      </c>
      <c r="I67">
        <v>0</v>
      </c>
      <c r="J67">
        <v>2410</v>
      </c>
    </row>
    <row r="68" spans="1:10" x14ac:dyDescent="0.25">
      <c r="A68">
        <v>3200</v>
      </c>
      <c r="B68">
        <v>3200</v>
      </c>
      <c r="C68">
        <v>0</v>
      </c>
      <c r="D68">
        <v>0</v>
      </c>
      <c r="E68">
        <v>92213</v>
      </c>
      <c r="F68">
        <v>0</v>
      </c>
      <c r="G68">
        <v>0</v>
      </c>
      <c r="H68">
        <v>0</v>
      </c>
      <c r="I68">
        <v>0</v>
      </c>
      <c r="J68">
        <v>92213</v>
      </c>
    </row>
    <row r="69" spans="1:10" x14ac:dyDescent="0.25">
      <c r="A69">
        <v>3225</v>
      </c>
      <c r="B69">
        <v>3225</v>
      </c>
      <c r="C69">
        <v>0</v>
      </c>
      <c r="D69">
        <v>0</v>
      </c>
      <c r="E69">
        <v>19583</v>
      </c>
      <c r="F69">
        <v>0</v>
      </c>
      <c r="G69">
        <v>0</v>
      </c>
      <c r="H69">
        <v>0</v>
      </c>
      <c r="I69">
        <v>0</v>
      </c>
      <c r="J69">
        <v>19583</v>
      </c>
    </row>
    <row r="70" spans="1:10" x14ac:dyDescent="0.25">
      <c r="A70">
        <v>3250</v>
      </c>
      <c r="B70">
        <v>3250</v>
      </c>
      <c r="C70">
        <v>0</v>
      </c>
      <c r="D70">
        <v>0</v>
      </c>
      <c r="E70">
        <v>44416</v>
      </c>
      <c r="F70">
        <v>0</v>
      </c>
      <c r="G70">
        <v>0</v>
      </c>
      <c r="H70">
        <v>0</v>
      </c>
      <c r="I70">
        <v>0</v>
      </c>
      <c r="J70">
        <v>44416</v>
      </c>
    </row>
    <row r="71" spans="1:10" x14ac:dyDescent="0.25">
      <c r="A71">
        <v>3275</v>
      </c>
      <c r="B71">
        <v>3275</v>
      </c>
      <c r="C71">
        <v>0</v>
      </c>
      <c r="D71">
        <v>0</v>
      </c>
      <c r="E71">
        <v>3341</v>
      </c>
      <c r="F71">
        <v>0</v>
      </c>
      <c r="G71">
        <v>0</v>
      </c>
      <c r="H71">
        <v>0</v>
      </c>
      <c r="I71">
        <v>0</v>
      </c>
      <c r="J71">
        <v>3341</v>
      </c>
    </row>
    <row r="72" spans="1:10" x14ac:dyDescent="0.25">
      <c r="A72">
        <v>3300</v>
      </c>
      <c r="B72">
        <v>3300</v>
      </c>
      <c r="C72">
        <v>0</v>
      </c>
      <c r="D72">
        <v>1</v>
      </c>
      <c r="E72">
        <v>77793</v>
      </c>
      <c r="F72">
        <v>0.2</v>
      </c>
      <c r="G72">
        <v>0.2</v>
      </c>
      <c r="H72">
        <v>0.2</v>
      </c>
      <c r="I72">
        <v>0.2</v>
      </c>
      <c r="J72">
        <v>77793</v>
      </c>
    </row>
    <row r="73" spans="1:10" x14ac:dyDescent="0.25">
      <c r="A73">
        <v>3325</v>
      </c>
      <c r="B73">
        <v>3325</v>
      </c>
      <c r="C73">
        <v>0</v>
      </c>
      <c r="D73">
        <v>0</v>
      </c>
      <c r="E73">
        <v>3468</v>
      </c>
      <c r="F73">
        <v>0</v>
      </c>
      <c r="G73">
        <v>0</v>
      </c>
      <c r="H73">
        <v>0</v>
      </c>
      <c r="I73">
        <v>0</v>
      </c>
      <c r="J73">
        <v>3468</v>
      </c>
    </row>
    <row r="74" spans="1:10" x14ac:dyDescent="0.25">
      <c r="A74">
        <v>3350</v>
      </c>
      <c r="B74">
        <v>3350</v>
      </c>
      <c r="C74">
        <v>0</v>
      </c>
      <c r="D74">
        <v>0</v>
      </c>
      <c r="E74">
        <v>16566</v>
      </c>
      <c r="F74">
        <v>0</v>
      </c>
      <c r="G74">
        <v>0</v>
      </c>
      <c r="H74">
        <v>0</v>
      </c>
      <c r="I74">
        <v>0</v>
      </c>
      <c r="J74">
        <v>16566</v>
      </c>
    </row>
    <row r="75" spans="1:10" x14ac:dyDescent="0.25">
      <c r="A75">
        <v>3375</v>
      </c>
      <c r="B75">
        <v>3375</v>
      </c>
      <c r="C75">
        <v>0</v>
      </c>
      <c r="D75">
        <v>1300</v>
      </c>
      <c r="E75">
        <v>7217</v>
      </c>
      <c r="F75">
        <v>0.3</v>
      </c>
      <c r="G75">
        <v>0.3</v>
      </c>
      <c r="H75">
        <v>0.3</v>
      </c>
      <c r="I75">
        <v>0.3</v>
      </c>
      <c r="J75">
        <v>7217</v>
      </c>
    </row>
    <row r="76" spans="1:10" x14ac:dyDescent="0.25">
      <c r="A76">
        <v>3400</v>
      </c>
      <c r="B76">
        <v>3400</v>
      </c>
      <c r="C76">
        <v>0</v>
      </c>
      <c r="D76">
        <v>200</v>
      </c>
      <c r="E76">
        <v>53854</v>
      </c>
      <c r="F76">
        <v>0.3</v>
      </c>
      <c r="G76">
        <v>0.3</v>
      </c>
      <c r="H76">
        <v>0.3</v>
      </c>
      <c r="I76">
        <v>0.3</v>
      </c>
      <c r="J76">
        <v>53854</v>
      </c>
    </row>
    <row r="77" spans="1:10" x14ac:dyDescent="0.25">
      <c r="A77">
        <v>3425</v>
      </c>
      <c r="B77">
        <v>3425</v>
      </c>
      <c r="C77">
        <v>0</v>
      </c>
      <c r="D77">
        <v>90</v>
      </c>
      <c r="E77">
        <v>5846</v>
      </c>
      <c r="F77">
        <v>0.4</v>
      </c>
      <c r="G77">
        <v>0.4</v>
      </c>
      <c r="H77">
        <v>0.3</v>
      </c>
      <c r="I77">
        <v>0.3</v>
      </c>
      <c r="J77">
        <v>5846</v>
      </c>
    </row>
    <row r="78" spans="1:10" x14ac:dyDescent="0.25">
      <c r="A78">
        <v>3450</v>
      </c>
      <c r="B78">
        <v>3450</v>
      </c>
      <c r="C78">
        <v>0</v>
      </c>
      <c r="D78">
        <v>926</v>
      </c>
      <c r="E78">
        <v>33959</v>
      </c>
      <c r="F78">
        <v>0.4</v>
      </c>
      <c r="G78">
        <v>0.4</v>
      </c>
      <c r="H78">
        <v>0.3</v>
      </c>
      <c r="I78">
        <v>0.3</v>
      </c>
      <c r="J78">
        <v>33959</v>
      </c>
    </row>
    <row r="79" spans="1:10" x14ac:dyDescent="0.25">
      <c r="A79">
        <v>3475</v>
      </c>
      <c r="B79">
        <v>3475</v>
      </c>
      <c r="C79">
        <v>0</v>
      </c>
      <c r="D79">
        <v>140</v>
      </c>
      <c r="E79">
        <v>9524</v>
      </c>
      <c r="F79">
        <v>0.4</v>
      </c>
      <c r="G79">
        <v>0.4</v>
      </c>
      <c r="H79">
        <v>0.3</v>
      </c>
      <c r="I79">
        <v>0.3</v>
      </c>
      <c r="J79">
        <v>9524</v>
      </c>
    </row>
    <row r="80" spans="1:10" x14ac:dyDescent="0.25">
      <c r="A80">
        <v>3500</v>
      </c>
      <c r="B80">
        <v>3500</v>
      </c>
      <c r="C80">
        <v>0</v>
      </c>
      <c r="D80">
        <v>650</v>
      </c>
      <c r="E80">
        <v>110878</v>
      </c>
      <c r="F80">
        <v>0</v>
      </c>
      <c r="G80">
        <v>0</v>
      </c>
      <c r="H80">
        <v>0</v>
      </c>
      <c r="I80">
        <v>0</v>
      </c>
      <c r="J80">
        <v>110878</v>
      </c>
    </row>
    <row r="81" spans="1:10" x14ac:dyDescent="0.25">
      <c r="A81">
        <v>3525</v>
      </c>
      <c r="B81">
        <v>3525</v>
      </c>
      <c r="C81">
        <v>0</v>
      </c>
      <c r="D81">
        <v>666</v>
      </c>
      <c r="E81">
        <v>9921</v>
      </c>
      <c r="F81">
        <v>0.4</v>
      </c>
      <c r="G81">
        <v>0.4</v>
      </c>
      <c r="H81">
        <v>0.4</v>
      </c>
      <c r="I81">
        <v>0.4</v>
      </c>
      <c r="J81">
        <v>9921</v>
      </c>
    </row>
    <row r="82" spans="1:10" x14ac:dyDescent="0.25">
      <c r="A82">
        <v>3550</v>
      </c>
      <c r="B82">
        <v>3550</v>
      </c>
      <c r="C82">
        <v>0</v>
      </c>
      <c r="D82">
        <v>806</v>
      </c>
      <c r="E82">
        <v>33898</v>
      </c>
      <c r="F82">
        <v>0.4</v>
      </c>
      <c r="G82">
        <v>0.4</v>
      </c>
      <c r="H82">
        <v>0.4</v>
      </c>
      <c r="I82">
        <v>0.4</v>
      </c>
      <c r="J82">
        <v>33898</v>
      </c>
    </row>
    <row r="83" spans="1:10" x14ac:dyDescent="0.25">
      <c r="A83">
        <v>3575</v>
      </c>
      <c r="B83">
        <v>3575</v>
      </c>
      <c r="C83">
        <v>0</v>
      </c>
      <c r="D83">
        <v>780</v>
      </c>
      <c r="E83">
        <v>5875</v>
      </c>
      <c r="F83">
        <v>0.5</v>
      </c>
      <c r="G83">
        <v>0.5</v>
      </c>
      <c r="H83">
        <v>0.5</v>
      </c>
      <c r="I83">
        <v>0.5</v>
      </c>
      <c r="J83">
        <v>5875</v>
      </c>
    </row>
    <row r="84" spans="1:10" x14ac:dyDescent="0.25">
      <c r="A84">
        <v>3600</v>
      </c>
      <c r="B84">
        <v>3600</v>
      </c>
      <c r="C84">
        <v>0</v>
      </c>
      <c r="D84">
        <v>302</v>
      </c>
      <c r="E84">
        <v>111906</v>
      </c>
      <c r="F84">
        <v>0.5</v>
      </c>
      <c r="G84">
        <v>0.5</v>
      </c>
      <c r="H84">
        <v>0.5</v>
      </c>
      <c r="I84">
        <v>0.5</v>
      </c>
      <c r="J84">
        <v>111906</v>
      </c>
    </row>
    <row r="85" spans="1:10" x14ac:dyDescent="0.25">
      <c r="A85">
        <v>3625</v>
      </c>
      <c r="B85">
        <v>3625</v>
      </c>
      <c r="C85">
        <v>0</v>
      </c>
      <c r="D85">
        <v>562</v>
      </c>
      <c r="E85">
        <v>7251</v>
      </c>
      <c r="F85">
        <v>0.6</v>
      </c>
      <c r="G85">
        <v>0.6</v>
      </c>
      <c r="H85">
        <v>0.5</v>
      </c>
      <c r="I85">
        <v>0.6</v>
      </c>
      <c r="J85">
        <v>7251</v>
      </c>
    </row>
    <row r="86" spans="1:10" x14ac:dyDescent="0.25">
      <c r="A86">
        <v>3650</v>
      </c>
      <c r="B86">
        <v>3650</v>
      </c>
      <c r="C86">
        <v>0</v>
      </c>
      <c r="D86">
        <v>271</v>
      </c>
      <c r="E86">
        <v>52717</v>
      </c>
      <c r="F86">
        <v>0.6</v>
      </c>
      <c r="G86">
        <v>0.6</v>
      </c>
      <c r="H86">
        <v>0.6</v>
      </c>
      <c r="I86">
        <v>0.6</v>
      </c>
      <c r="J86">
        <v>52717</v>
      </c>
    </row>
    <row r="87" spans="1:10" x14ac:dyDescent="0.25">
      <c r="A87">
        <v>3675</v>
      </c>
      <c r="B87">
        <v>3675</v>
      </c>
      <c r="C87">
        <v>0</v>
      </c>
      <c r="D87">
        <v>5</v>
      </c>
      <c r="E87">
        <v>14021</v>
      </c>
      <c r="F87">
        <v>0.6</v>
      </c>
      <c r="G87">
        <v>0.6</v>
      </c>
      <c r="H87">
        <v>0.6</v>
      </c>
      <c r="I87">
        <v>0.6</v>
      </c>
      <c r="J87">
        <v>14021</v>
      </c>
    </row>
    <row r="88" spans="1:10" x14ac:dyDescent="0.25">
      <c r="A88">
        <v>3700</v>
      </c>
      <c r="B88">
        <v>3700</v>
      </c>
      <c r="C88">
        <v>0</v>
      </c>
      <c r="D88">
        <v>351</v>
      </c>
      <c r="E88">
        <v>89145</v>
      </c>
      <c r="F88">
        <v>0.7</v>
      </c>
      <c r="G88">
        <v>0.7</v>
      </c>
      <c r="H88">
        <v>0.6</v>
      </c>
      <c r="I88">
        <v>0.6</v>
      </c>
      <c r="J88">
        <v>89145</v>
      </c>
    </row>
    <row r="89" spans="1:10" x14ac:dyDescent="0.25">
      <c r="A89">
        <v>3725</v>
      </c>
      <c r="B89">
        <v>3725</v>
      </c>
      <c r="C89">
        <v>0</v>
      </c>
      <c r="D89">
        <v>591</v>
      </c>
      <c r="E89">
        <v>14081</v>
      </c>
      <c r="F89">
        <v>0</v>
      </c>
      <c r="G89">
        <v>0</v>
      </c>
      <c r="H89">
        <v>0</v>
      </c>
      <c r="I89">
        <v>0</v>
      </c>
      <c r="J89">
        <v>14081</v>
      </c>
    </row>
    <row r="90" spans="1:10" x14ac:dyDescent="0.25">
      <c r="A90">
        <v>3750</v>
      </c>
      <c r="B90">
        <v>3750</v>
      </c>
      <c r="C90">
        <v>0</v>
      </c>
      <c r="D90">
        <v>1380</v>
      </c>
      <c r="E90">
        <v>81142</v>
      </c>
      <c r="F90">
        <v>0.7</v>
      </c>
      <c r="G90">
        <v>0.7</v>
      </c>
      <c r="H90">
        <v>0.7</v>
      </c>
      <c r="I90">
        <v>0.7</v>
      </c>
      <c r="J90">
        <v>81142</v>
      </c>
    </row>
    <row r="91" spans="1:10" x14ac:dyDescent="0.25">
      <c r="A91">
        <v>3775</v>
      </c>
      <c r="B91">
        <v>3775</v>
      </c>
      <c r="C91">
        <v>0</v>
      </c>
      <c r="D91">
        <v>1005</v>
      </c>
      <c r="E91">
        <v>23194</v>
      </c>
      <c r="F91">
        <v>0.8</v>
      </c>
      <c r="G91">
        <v>0.8</v>
      </c>
      <c r="H91">
        <v>0.8</v>
      </c>
      <c r="I91">
        <v>0.8</v>
      </c>
      <c r="J91">
        <v>23194</v>
      </c>
    </row>
    <row r="92" spans="1:10" x14ac:dyDescent="0.25">
      <c r="A92">
        <v>3800</v>
      </c>
      <c r="B92">
        <v>3800</v>
      </c>
      <c r="C92">
        <v>0</v>
      </c>
      <c r="D92">
        <v>1536</v>
      </c>
      <c r="E92">
        <v>161552</v>
      </c>
      <c r="F92">
        <v>1.4</v>
      </c>
      <c r="G92">
        <v>1.4</v>
      </c>
      <c r="H92">
        <v>1</v>
      </c>
      <c r="I92">
        <v>1</v>
      </c>
      <c r="J92">
        <v>161552</v>
      </c>
    </row>
    <row r="93" spans="1:10" x14ac:dyDescent="0.25">
      <c r="A93">
        <v>3825</v>
      </c>
      <c r="B93">
        <v>3825</v>
      </c>
      <c r="C93">
        <v>0</v>
      </c>
      <c r="D93">
        <v>210</v>
      </c>
      <c r="E93">
        <v>48026</v>
      </c>
      <c r="F93">
        <v>1.3</v>
      </c>
      <c r="G93">
        <v>1.4</v>
      </c>
      <c r="H93">
        <v>1.3</v>
      </c>
      <c r="I93">
        <v>1.4</v>
      </c>
      <c r="J93">
        <v>48026</v>
      </c>
    </row>
    <row r="94" spans="1:10" x14ac:dyDescent="0.25">
      <c r="A94">
        <v>3850</v>
      </c>
      <c r="B94">
        <v>3850</v>
      </c>
      <c r="C94">
        <v>0</v>
      </c>
      <c r="D94">
        <v>84253</v>
      </c>
      <c r="E94">
        <v>230167</v>
      </c>
      <c r="F94">
        <v>1.5</v>
      </c>
      <c r="G94">
        <v>1.6</v>
      </c>
      <c r="H94">
        <v>1</v>
      </c>
      <c r="I94">
        <v>1</v>
      </c>
      <c r="J94">
        <v>230167</v>
      </c>
    </row>
    <row r="95" spans="1:10" x14ac:dyDescent="0.25">
      <c r="A95">
        <v>3875</v>
      </c>
      <c r="B95">
        <v>3875</v>
      </c>
      <c r="C95">
        <v>0</v>
      </c>
      <c r="D95">
        <v>26</v>
      </c>
      <c r="E95">
        <v>40715</v>
      </c>
      <c r="F95">
        <v>1.7</v>
      </c>
      <c r="G95">
        <v>1.8</v>
      </c>
      <c r="H95">
        <v>1.1000000000000001</v>
      </c>
      <c r="I95">
        <v>1.1000000000000001</v>
      </c>
      <c r="J95">
        <v>40715</v>
      </c>
    </row>
    <row r="96" spans="1:10" x14ac:dyDescent="0.25">
      <c r="A96">
        <v>3900</v>
      </c>
      <c r="B96">
        <v>3900</v>
      </c>
      <c r="C96">
        <v>0</v>
      </c>
      <c r="D96">
        <v>111870</v>
      </c>
      <c r="E96">
        <v>340409</v>
      </c>
      <c r="F96">
        <v>1.9</v>
      </c>
      <c r="G96">
        <v>1.9</v>
      </c>
      <c r="H96">
        <v>1.3</v>
      </c>
      <c r="I96">
        <v>1.3</v>
      </c>
      <c r="J96">
        <v>340409</v>
      </c>
    </row>
    <row r="97" spans="1:10" x14ac:dyDescent="0.25">
      <c r="A97">
        <v>3925</v>
      </c>
      <c r="B97">
        <v>3925</v>
      </c>
      <c r="C97">
        <v>0</v>
      </c>
      <c r="D97">
        <v>128</v>
      </c>
      <c r="E97">
        <v>16854</v>
      </c>
      <c r="F97">
        <v>2.2000000000000002</v>
      </c>
      <c r="G97">
        <v>2.2000000000000002</v>
      </c>
      <c r="H97">
        <v>1.5</v>
      </c>
      <c r="I97">
        <v>1.5</v>
      </c>
      <c r="J97">
        <v>16854</v>
      </c>
    </row>
    <row r="98" spans="1:10" x14ac:dyDescent="0.25">
      <c r="A98">
        <v>3950</v>
      </c>
      <c r="B98">
        <v>3950</v>
      </c>
      <c r="C98">
        <v>0</v>
      </c>
      <c r="D98">
        <v>855</v>
      </c>
      <c r="E98">
        <v>78785</v>
      </c>
      <c r="F98">
        <v>2</v>
      </c>
      <c r="G98">
        <v>2</v>
      </c>
      <c r="H98">
        <v>1.6</v>
      </c>
      <c r="I98">
        <v>1.6</v>
      </c>
      <c r="J98">
        <v>78785</v>
      </c>
    </row>
    <row r="99" spans="1:10" x14ac:dyDescent="0.25">
      <c r="A99">
        <v>3975</v>
      </c>
      <c r="B99">
        <v>3975</v>
      </c>
      <c r="C99">
        <v>0</v>
      </c>
      <c r="D99">
        <v>59</v>
      </c>
      <c r="E99">
        <v>14003</v>
      </c>
      <c r="F99">
        <v>3</v>
      </c>
      <c r="G99">
        <v>3</v>
      </c>
      <c r="H99">
        <v>1.8</v>
      </c>
      <c r="I99">
        <v>1.8</v>
      </c>
      <c r="J99">
        <v>14003</v>
      </c>
    </row>
    <row r="100" spans="1:10" x14ac:dyDescent="0.25">
      <c r="A100">
        <v>4000</v>
      </c>
      <c r="B100">
        <v>4000</v>
      </c>
      <c r="C100">
        <v>0</v>
      </c>
      <c r="D100">
        <v>14654</v>
      </c>
      <c r="E100">
        <v>227836</v>
      </c>
      <c r="F100">
        <v>3.8</v>
      </c>
      <c r="G100">
        <v>4.0999999999999996</v>
      </c>
      <c r="H100">
        <v>2.2000000000000002</v>
      </c>
      <c r="I100">
        <v>2.2999999999999998</v>
      </c>
      <c r="J100">
        <v>227836</v>
      </c>
    </row>
    <row r="101" spans="1:10" x14ac:dyDescent="0.25">
      <c r="A101">
        <v>4025</v>
      </c>
      <c r="B101">
        <v>4025</v>
      </c>
      <c r="C101">
        <v>0</v>
      </c>
      <c r="D101">
        <v>1062</v>
      </c>
      <c r="E101">
        <v>21405</v>
      </c>
      <c r="F101">
        <v>5</v>
      </c>
      <c r="G101">
        <v>5</v>
      </c>
      <c r="H101">
        <v>2.9</v>
      </c>
      <c r="I101">
        <v>2.9</v>
      </c>
      <c r="J101">
        <v>21405</v>
      </c>
    </row>
    <row r="102" spans="1:10" x14ac:dyDescent="0.25">
      <c r="A102">
        <v>4050</v>
      </c>
      <c r="B102">
        <v>4050</v>
      </c>
      <c r="C102">
        <v>0</v>
      </c>
      <c r="D102">
        <v>8922</v>
      </c>
      <c r="E102">
        <v>64111</v>
      </c>
      <c r="F102">
        <v>6</v>
      </c>
      <c r="G102">
        <v>6.2</v>
      </c>
      <c r="H102">
        <v>3.4</v>
      </c>
      <c r="I102">
        <v>3.4</v>
      </c>
      <c r="J102">
        <v>64111</v>
      </c>
    </row>
    <row r="103" spans="1:10" x14ac:dyDescent="0.25">
      <c r="A103">
        <v>4075</v>
      </c>
      <c r="B103">
        <v>4075</v>
      </c>
      <c r="C103">
        <v>0</v>
      </c>
      <c r="D103">
        <v>421</v>
      </c>
      <c r="E103">
        <v>78558</v>
      </c>
      <c r="F103">
        <v>6.8</v>
      </c>
      <c r="G103">
        <v>7</v>
      </c>
      <c r="H103">
        <v>4.0999999999999996</v>
      </c>
      <c r="I103">
        <v>4.4000000000000004</v>
      </c>
      <c r="J103">
        <v>78558</v>
      </c>
    </row>
    <row r="104" spans="1:10" x14ac:dyDescent="0.25">
      <c r="A104">
        <v>4100</v>
      </c>
      <c r="B104">
        <v>4100</v>
      </c>
      <c r="C104">
        <v>0</v>
      </c>
      <c r="D104">
        <v>9056</v>
      </c>
      <c r="E104">
        <v>115010</v>
      </c>
      <c r="F104">
        <v>9.4</v>
      </c>
      <c r="G104">
        <v>10.1</v>
      </c>
      <c r="H104">
        <v>5.3</v>
      </c>
      <c r="I104">
        <v>5.7</v>
      </c>
      <c r="J104">
        <v>115010</v>
      </c>
    </row>
    <row r="105" spans="1:10" x14ac:dyDescent="0.25">
      <c r="A105">
        <v>4125</v>
      </c>
      <c r="B105">
        <v>4125</v>
      </c>
      <c r="C105">
        <v>0</v>
      </c>
      <c r="D105">
        <v>3496</v>
      </c>
      <c r="E105">
        <v>42223</v>
      </c>
      <c r="F105">
        <v>12</v>
      </c>
      <c r="G105">
        <v>12.9</v>
      </c>
      <c r="H105">
        <v>6.4</v>
      </c>
      <c r="I105">
        <v>7.1</v>
      </c>
      <c r="J105">
        <v>42223</v>
      </c>
    </row>
    <row r="106" spans="1:10" x14ac:dyDescent="0.25">
      <c r="A106">
        <v>4150</v>
      </c>
      <c r="B106">
        <v>4150</v>
      </c>
      <c r="C106">
        <v>0</v>
      </c>
      <c r="D106">
        <v>11612</v>
      </c>
      <c r="E106">
        <v>100068</v>
      </c>
      <c r="F106">
        <v>14.4</v>
      </c>
      <c r="G106">
        <v>17</v>
      </c>
      <c r="H106">
        <v>8.3000000000000007</v>
      </c>
      <c r="I106">
        <v>9.5</v>
      </c>
      <c r="J106">
        <v>100068</v>
      </c>
    </row>
    <row r="107" spans="1:10" x14ac:dyDescent="0.25">
      <c r="A107">
        <v>4175</v>
      </c>
      <c r="B107">
        <v>4175</v>
      </c>
      <c r="C107">
        <v>0</v>
      </c>
      <c r="D107">
        <v>5930</v>
      </c>
      <c r="E107">
        <v>20565</v>
      </c>
      <c r="F107">
        <v>20.7</v>
      </c>
      <c r="G107">
        <v>23</v>
      </c>
      <c r="H107">
        <v>12.2</v>
      </c>
      <c r="I107">
        <v>13.4</v>
      </c>
      <c r="J107">
        <v>20565</v>
      </c>
    </row>
    <row r="108" spans="1:10" x14ac:dyDescent="0.25">
      <c r="A108">
        <v>4200</v>
      </c>
      <c r="B108">
        <v>4200</v>
      </c>
      <c r="C108">
        <v>0</v>
      </c>
      <c r="D108">
        <v>21296</v>
      </c>
      <c r="E108">
        <v>150523</v>
      </c>
      <c r="F108">
        <v>22.9</v>
      </c>
      <c r="G108">
        <v>30</v>
      </c>
      <c r="H108">
        <v>15.3</v>
      </c>
      <c r="I108">
        <v>17.5</v>
      </c>
      <c r="J108">
        <v>150523</v>
      </c>
    </row>
    <row r="109" spans="1:10" x14ac:dyDescent="0.25">
      <c r="A109">
        <v>4225</v>
      </c>
      <c r="B109">
        <v>4225</v>
      </c>
      <c r="C109">
        <v>0</v>
      </c>
      <c r="D109">
        <v>6507</v>
      </c>
      <c r="E109">
        <v>23908</v>
      </c>
      <c r="F109">
        <v>33.1</v>
      </c>
      <c r="G109">
        <v>34.799999999999997</v>
      </c>
      <c r="H109">
        <v>20</v>
      </c>
      <c r="I109">
        <v>23.1</v>
      </c>
      <c r="J109">
        <v>23908</v>
      </c>
    </row>
    <row r="110" spans="1:10" x14ac:dyDescent="0.25">
      <c r="A110">
        <v>4250</v>
      </c>
      <c r="B110">
        <v>4250</v>
      </c>
      <c r="C110">
        <v>0</v>
      </c>
      <c r="D110">
        <v>27591</v>
      </c>
      <c r="E110">
        <v>122203</v>
      </c>
      <c r="F110">
        <v>40.299999999999997</v>
      </c>
      <c r="G110">
        <v>48.2</v>
      </c>
      <c r="H110">
        <v>27.2</v>
      </c>
      <c r="I110">
        <v>29.8</v>
      </c>
      <c r="J110">
        <v>122203</v>
      </c>
    </row>
    <row r="111" spans="1:10" x14ac:dyDescent="0.25">
      <c r="A111">
        <v>4275</v>
      </c>
      <c r="B111">
        <v>4275</v>
      </c>
      <c r="C111">
        <v>0</v>
      </c>
      <c r="D111">
        <v>597</v>
      </c>
      <c r="E111">
        <v>27556</v>
      </c>
      <c r="F111">
        <v>50</v>
      </c>
      <c r="G111">
        <v>57.5</v>
      </c>
      <c r="H111">
        <v>35</v>
      </c>
      <c r="I111">
        <v>37.6</v>
      </c>
      <c r="J111">
        <v>27556</v>
      </c>
    </row>
    <row r="112" spans="1:10" x14ac:dyDescent="0.25">
      <c r="A112">
        <v>4300</v>
      </c>
      <c r="B112">
        <v>4300</v>
      </c>
      <c r="C112">
        <v>0</v>
      </c>
      <c r="D112">
        <v>5353</v>
      </c>
      <c r="E112">
        <v>93048</v>
      </c>
      <c r="F112">
        <v>71</v>
      </c>
      <c r="G112">
        <v>75</v>
      </c>
      <c r="H112">
        <v>45.6</v>
      </c>
      <c r="I112">
        <v>52.4</v>
      </c>
      <c r="J112">
        <v>93048</v>
      </c>
    </row>
    <row r="113" spans="1:10" x14ac:dyDescent="0.25">
      <c r="A113">
        <v>4325</v>
      </c>
      <c r="B113">
        <v>4325</v>
      </c>
      <c r="C113">
        <v>0</v>
      </c>
      <c r="D113">
        <v>1100</v>
      </c>
      <c r="E113">
        <v>21957</v>
      </c>
      <c r="F113">
        <v>85.3</v>
      </c>
      <c r="G113">
        <v>93.6</v>
      </c>
      <c r="H113">
        <v>60.1</v>
      </c>
      <c r="I113">
        <v>67.599999999999994</v>
      </c>
      <c r="J113">
        <v>21957</v>
      </c>
    </row>
    <row r="114" spans="1:10" x14ac:dyDescent="0.25">
      <c r="A114">
        <v>4350</v>
      </c>
      <c r="B114">
        <v>4350</v>
      </c>
      <c r="C114">
        <v>0</v>
      </c>
      <c r="D114">
        <v>1137</v>
      </c>
      <c r="E114">
        <v>73766</v>
      </c>
      <c r="F114">
        <v>107.3</v>
      </c>
      <c r="G114">
        <v>110.6</v>
      </c>
      <c r="H114">
        <v>75.3</v>
      </c>
      <c r="I114">
        <v>85.9</v>
      </c>
      <c r="J114">
        <v>73766</v>
      </c>
    </row>
    <row r="115" spans="1:10" x14ac:dyDescent="0.25">
      <c r="A115">
        <v>4375</v>
      </c>
      <c r="B115">
        <v>4375</v>
      </c>
      <c r="C115">
        <v>0</v>
      </c>
      <c r="D115">
        <v>2</v>
      </c>
      <c r="E115">
        <v>17581</v>
      </c>
      <c r="F115">
        <v>140</v>
      </c>
      <c r="G115">
        <v>140</v>
      </c>
      <c r="H115">
        <v>125</v>
      </c>
      <c r="I115">
        <v>125</v>
      </c>
      <c r="J115">
        <v>17581</v>
      </c>
    </row>
    <row r="116" spans="1:10" x14ac:dyDescent="0.25">
      <c r="A116">
        <v>4400</v>
      </c>
      <c r="B116">
        <v>4400</v>
      </c>
      <c r="C116">
        <v>0</v>
      </c>
      <c r="D116">
        <v>297</v>
      </c>
      <c r="E116">
        <v>35671</v>
      </c>
      <c r="F116">
        <v>151.6</v>
      </c>
      <c r="G116">
        <v>152.4</v>
      </c>
      <c r="H116">
        <v>121</v>
      </c>
      <c r="I116">
        <v>126</v>
      </c>
      <c r="J116">
        <v>35671</v>
      </c>
    </row>
    <row r="117" spans="1:10" x14ac:dyDescent="0.25">
      <c r="A117">
        <v>4425</v>
      </c>
      <c r="B117">
        <v>4425</v>
      </c>
      <c r="C117">
        <v>0</v>
      </c>
      <c r="D117">
        <v>0</v>
      </c>
      <c r="E117">
        <v>6284</v>
      </c>
      <c r="F117">
        <v>0</v>
      </c>
      <c r="G117">
        <v>0</v>
      </c>
      <c r="H117">
        <v>0</v>
      </c>
      <c r="I117">
        <v>0</v>
      </c>
      <c r="J117">
        <v>6284</v>
      </c>
    </row>
    <row r="118" spans="1:10" x14ac:dyDescent="0.25">
      <c r="A118">
        <v>4450</v>
      </c>
      <c r="B118">
        <v>4450</v>
      </c>
      <c r="C118">
        <v>0</v>
      </c>
      <c r="D118">
        <v>0</v>
      </c>
      <c r="E118">
        <v>9872</v>
      </c>
      <c r="F118">
        <v>0</v>
      </c>
      <c r="G118">
        <v>0</v>
      </c>
      <c r="H118">
        <v>0</v>
      </c>
      <c r="I118">
        <v>0</v>
      </c>
      <c r="J118">
        <v>9872</v>
      </c>
    </row>
    <row r="119" spans="1:10" x14ac:dyDescent="0.25">
      <c r="A119">
        <v>4475</v>
      </c>
      <c r="B119">
        <v>4475</v>
      </c>
      <c r="C119">
        <v>0</v>
      </c>
      <c r="D119">
        <v>0</v>
      </c>
      <c r="E119">
        <v>967</v>
      </c>
      <c r="F119">
        <v>0</v>
      </c>
      <c r="G119">
        <v>0</v>
      </c>
      <c r="H119">
        <v>0</v>
      </c>
      <c r="I119">
        <v>0</v>
      </c>
      <c r="J119">
        <v>967</v>
      </c>
    </row>
    <row r="120" spans="1:10" x14ac:dyDescent="0.25">
      <c r="A120">
        <v>4500</v>
      </c>
      <c r="B120">
        <v>4500</v>
      </c>
      <c r="C120">
        <v>0</v>
      </c>
      <c r="D120">
        <v>1500</v>
      </c>
      <c r="E120">
        <v>20331</v>
      </c>
      <c r="F120">
        <v>0</v>
      </c>
      <c r="G120">
        <v>0</v>
      </c>
      <c r="H120">
        <v>0</v>
      </c>
      <c r="I120">
        <v>0</v>
      </c>
      <c r="J120">
        <v>20331</v>
      </c>
    </row>
    <row r="121" spans="1:10" x14ac:dyDescent="0.25">
      <c r="A121">
        <v>4525</v>
      </c>
      <c r="B121">
        <v>4525</v>
      </c>
      <c r="C121">
        <v>0</v>
      </c>
      <c r="D121">
        <v>0</v>
      </c>
      <c r="E121">
        <v>252</v>
      </c>
      <c r="F121">
        <v>0</v>
      </c>
      <c r="G121">
        <v>0</v>
      </c>
      <c r="H121">
        <v>0</v>
      </c>
      <c r="I121">
        <v>0</v>
      </c>
      <c r="J121">
        <v>252</v>
      </c>
    </row>
    <row r="122" spans="1:10" x14ac:dyDescent="0.25">
      <c r="A122">
        <v>4550</v>
      </c>
      <c r="B122">
        <v>4550</v>
      </c>
      <c r="C122">
        <v>0</v>
      </c>
      <c r="D122">
        <v>0</v>
      </c>
      <c r="E122">
        <v>3492</v>
      </c>
      <c r="F122">
        <v>0</v>
      </c>
      <c r="G122">
        <v>0</v>
      </c>
      <c r="H122">
        <v>0</v>
      </c>
      <c r="I122">
        <v>0</v>
      </c>
      <c r="J122">
        <v>3492</v>
      </c>
    </row>
    <row r="123" spans="1:10" x14ac:dyDescent="0.25">
      <c r="A123">
        <v>4575</v>
      </c>
      <c r="B123">
        <v>4575</v>
      </c>
      <c r="C123">
        <v>0</v>
      </c>
      <c r="D123">
        <v>0</v>
      </c>
      <c r="E123">
        <v>10</v>
      </c>
      <c r="F123">
        <v>0</v>
      </c>
      <c r="G123">
        <v>0</v>
      </c>
      <c r="H123">
        <v>0</v>
      </c>
      <c r="I123">
        <v>0</v>
      </c>
      <c r="J123">
        <v>10</v>
      </c>
    </row>
    <row r="124" spans="1:10" x14ac:dyDescent="0.25">
      <c r="A124">
        <v>4600</v>
      </c>
      <c r="B124">
        <v>4600</v>
      </c>
      <c r="C124">
        <v>0</v>
      </c>
      <c r="D124">
        <v>0</v>
      </c>
      <c r="E124">
        <v>3355</v>
      </c>
      <c r="F124">
        <v>0</v>
      </c>
      <c r="G124">
        <v>0</v>
      </c>
      <c r="H124">
        <v>0</v>
      </c>
      <c r="I124">
        <v>0</v>
      </c>
      <c r="J124">
        <v>3355</v>
      </c>
    </row>
    <row r="125" spans="1:10" x14ac:dyDescent="0.25">
      <c r="A125">
        <v>4625</v>
      </c>
      <c r="B125">
        <v>4625</v>
      </c>
      <c r="C125">
        <v>0</v>
      </c>
      <c r="D125">
        <v>0</v>
      </c>
      <c r="E125">
        <v>79</v>
      </c>
      <c r="F125">
        <v>0</v>
      </c>
      <c r="G125">
        <v>0</v>
      </c>
      <c r="H125">
        <v>0</v>
      </c>
      <c r="I125">
        <v>0</v>
      </c>
      <c r="J125">
        <v>79</v>
      </c>
    </row>
    <row r="126" spans="1:10" x14ac:dyDescent="0.25">
      <c r="A126">
        <v>4650</v>
      </c>
      <c r="B126">
        <v>4650</v>
      </c>
      <c r="C126">
        <v>0</v>
      </c>
      <c r="D126">
        <v>0</v>
      </c>
      <c r="E126">
        <v>334</v>
      </c>
      <c r="F126">
        <v>0</v>
      </c>
      <c r="G126">
        <v>0</v>
      </c>
      <c r="H126">
        <v>0</v>
      </c>
      <c r="I126">
        <v>0</v>
      </c>
      <c r="J126">
        <v>334</v>
      </c>
    </row>
    <row r="127" spans="1:10" x14ac:dyDescent="0.25">
      <c r="A127">
        <v>4675</v>
      </c>
      <c r="B127">
        <v>4675</v>
      </c>
      <c r="C127">
        <v>0</v>
      </c>
      <c r="D127">
        <v>0</v>
      </c>
      <c r="E127">
        <v>59</v>
      </c>
      <c r="F127">
        <v>0</v>
      </c>
      <c r="G127">
        <v>0</v>
      </c>
      <c r="H127">
        <v>0</v>
      </c>
      <c r="I127">
        <v>0</v>
      </c>
      <c r="J127">
        <v>59</v>
      </c>
    </row>
    <row r="128" spans="1:10" x14ac:dyDescent="0.25">
      <c r="A128">
        <v>4700</v>
      </c>
      <c r="B128">
        <v>4700</v>
      </c>
      <c r="C128">
        <v>0</v>
      </c>
      <c r="D128">
        <v>0</v>
      </c>
      <c r="E128">
        <v>102</v>
      </c>
      <c r="F128">
        <v>0</v>
      </c>
      <c r="G128">
        <v>0</v>
      </c>
      <c r="H128">
        <v>0</v>
      </c>
      <c r="I128">
        <v>0</v>
      </c>
      <c r="J128">
        <v>102</v>
      </c>
    </row>
    <row r="129" spans="1:10" x14ac:dyDescent="0.25">
      <c r="A129">
        <v>4725</v>
      </c>
      <c r="B129">
        <v>4725</v>
      </c>
      <c r="C129">
        <v>0</v>
      </c>
      <c r="D129">
        <v>0</v>
      </c>
      <c r="E129">
        <v>38</v>
      </c>
      <c r="F129">
        <v>0</v>
      </c>
      <c r="G129">
        <v>0</v>
      </c>
      <c r="H129">
        <v>0</v>
      </c>
      <c r="I129">
        <v>0</v>
      </c>
      <c r="J129">
        <v>38</v>
      </c>
    </row>
    <row r="130" spans="1:10" x14ac:dyDescent="0.25">
      <c r="A130">
        <v>4750</v>
      </c>
      <c r="B130">
        <v>4750</v>
      </c>
      <c r="C130">
        <v>0</v>
      </c>
      <c r="D130">
        <v>0</v>
      </c>
      <c r="E130">
        <v>7</v>
      </c>
      <c r="F130">
        <v>0</v>
      </c>
      <c r="G130">
        <v>0</v>
      </c>
      <c r="H130">
        <v>0</v>
      </c>
      <c r="I130">
        <v>0</v>
      </c>
      <c r="J130">
        <v>7</v>
      </c>
    </row>
    <row r="131" spans="1:10" x14ac:dyDescent="0.25">
      <c r="A131">
        <v>4775</v>
      </c>
      <c r="B131">
        <v>4775</v>
      </c>
      <c r="C131">
        <v>0</v>
      </c>
      <c r="D131">
        <v>0</v>
      </c>
      <c r="E131">
        <v>0</v>
      </c>
      <c r="F131">
        <v>0</v>
      </c>
      <c r="G131">
        <v>0</v>
      </c>
      <c r="H131">
        <v>0</v>
      </c>
      <c r="I131">
        <v>0</v>
      </c>
      <c r="J131">
        <v>0</v>
      </c>
    </row>
    <row r="132" spans="1:10" x14ac:dyDescent="0.25">
      <c r="A132">
        <v>4800</v>
      </c>
      <c r="B132">
        <v>4800</v>
      </c>
      <c r="C132">
        <v>0</v>
      </c>
      <c r="D132">
        <v>0</v>
      </c>
      <c r="E132">
        <v>40</v>
      </c>
      <c r="F132">
        <v>0</v>
      </c>
      <c r="G132">
        <v>0</v>
      </c>
      <c r="H132">
        <v>0</v>
      </c>
      <c r="I132">
        <v>0</v>
      </c>
      <c r="J132">
        <v>40</v>
      </c>
    </row>
    <row r="133" spans="1:10" x14ac:dyDescent="0.25">
      <c r="A133">
        <v>4825</v>
      </c>
      <c r="B133">
        <v>4825</v>
      </c>
      <c r="C133">
        <v>0</v>
      </c>
      <c r="D133">
        <v>0</v>
      </c>
      <c r="E133">
        <v>0</v>
      </c>
      <c r="F133">
        <v>0</v>
      </c>
      <c r="G133">
        <v>0</v>
      </c>
      <c r="H133">
        <v>0</v>
      </c>
      <c r="I133">
        <v>0</v>
      </c>
      <c r="J133">
        <v>0</v>
      </c>
    </row>
    <row r="134" spans="1:10" x14ac:dyDescent="0.25">
      <c r="A134">
        <v>4850</v>
      </c>
      <c r="B134">
        <v>4850</v>
      </c>
      <c r="C134">
        <v>0</v>
      </c>
      <c r="D134">
        <v>0</v>
      </c>
      <c r="E134">
        <v>2</v>
      </c>
      <c r="F134">
        <v>0</v>
      </c>
      <c r="G134">
        <v>0</v>
      </c>
      <c r="H134">
        <v>0</v>
      </c>
      <c r="I134">
        <v>0</v>
      </c>
      <c r="J134">
        <v>2</v>
      </c>
    </row>
    <row r="135" spans="1:10" x14ac:dyDescent="0.25">
      <c r="A135">
        <v>4875</v>
      </c>
      <c r="B135">
        <v>4875</v>
      </c>
      <c r="C135">
        <v>0</v>
      </c>
      <c r="D135">
        <v>0</v>
      </c>
      <c r="E135">
        <v>0</v>
      </c>
      <c r="F135">
        <v>0</v>
      </c>
      <c r="G135">
        <v>0</v>
      </c>
      <c r="H135">
        <v>0</v>
      </c>
      <c r="I135">
        <v>0</v>
      </c>
      <c r="J135">
        <v>0</v>
      </c>
    </row>
    <row r="136" spans="1:10" x14ac:dyDescent="0.25">
      <c r="A136">
        <v>4900</v>
      </c>
      <c r="B136">
        <v>4900</v>
      </c>
      <c r="C136">
        <v>0</v>
      </c>
      <c r="D136">
        <v>0</v>
      </c>
      <c r="E136">
        <v>2</v>
      </c>
      <c r="F136">
        <v>0</v>
      </c>
      <c r="G136">
        <v>0</v>
      </c>
      <c r="H136">
        <v>0</v>
      </c>
      <c r="I136">
        <v>0</v>
      </c>
      <c r="J136">
        <v>2</v>
      </c>
    </row>
    <row r="137" spans="1:10" x14ac:dyDescent="0.25">
      <c r="A137">
        <v>4925</v>
      </c>
      <c r="B137">
        <v>4925</v>
      </c>
      <c r="C137">
        <v>0</v>
      </c>
      <c r="D137">
        <v>0</v>
      </c>
      <c r="E137">
        <v>0</v>
      </c>
      <c r="F137">
        <v>0</v>
      </c>
      <c r="G137">
        <v>0</v>
      </c>
      <c r="H137">
        <v>0</v>
      </c>
      <c r="I137">
        <v>0</v>
      </c>
      <c r="J137">
        <v>0</v>
      </c>
    </row>
    <row r="138" spans="1:10" x14ac:dyDescent="0.25">
      <c r="A138">
        <v>4950</v>
      </c>
      <c r="B138">
        <v>4950</v>
      </c>
      <c r="C138">
        <v>0</v>
      </c>
      <c r="D138">
        <v>0</v>
      </c>
      <c r="E138">
        <v>0</v>
      </c>
      <c r="F138">
        <v>0</v>
      </c>
      <c r="G138">
        <v>0</v>
      </c>
      <c r="H138">
        <v>0</v>
      </c>
      <c r="I138">
        <v>0</v>
      </c>
      <c r="J138">
        <v>0</v>
      </c>
    </row>
    <row r="139" spans="1:10" x14ac:dyDescent="0.25">
      <c r="A139">
        <v>4975</v>
      </c>
      <c r="B139">
        <v>4975</v>
      </c>
      <c r="C139">
        <v>0</v>
      </c>
      <c r="D139">
        <v>0</v>
      </c>
      <c r="E139">
        <v>0</v>
      </c>
      <c r="F139">
        <v>0</v>
      </c>
      <c r="G139">
        <v>0</v>
      </c>
      <c r="H139">
        <v>0</v>
      </c>
      <c r="I139">
        <v>0</v>
      </c>
      <c r="J139">
        <v>0</v>
      </c>
    </row>
    <row r="140" spans="1:10" x14ac:dyDescent="0.25">
      <c r="A140">
        <v>5000</v>
      </c>
      <c r="B140">
        <v>5000</v>
      </c>
      <c r="C140">
        <v>0</v>
      </c>
      <c r="D140">
        <v>2</v>
      </c>
      <c r="E140">
        <v>41</v>
      </c>
      <c r="F140">
        <v>0</v>
      </c>
      <c r="G140">
        <v>0</v>
      </c>
      <c r="H140">
        <v>0</v>
      </c>
      <c r="I140">
        <v>0</v>
      </c>
      <c r="J140">
        <v>41</v>
      </c>
    </row>
    <row r="141" spans="1:10" x14ac:dyDescent="0.25">
      <c r="A141">
        <v>5025</v>
      </c>
      <c r="B141">
        <v>5025</v>
      </c>
      <c r="C141">
        <v>0</v>
      </c>
      <c r="D141">
        <v>0</v>
      </c>
      <c r="E141">
        <v>0</v>
      </c>
      <c r="F141">
        <v>0</v>
      </c>
      <c r="G141">
        <v>0</v>
      </c>
      <c r="H141">
        <v>0</v>
      </c>
      <c r="I141">
        <v>0</v>
      </c>
      <c r="J141">
        <v>0</v>
      </c>
    </row>
    <row r="142" spans="1:10" x14ac:dyDescent="0.25">
      <c r="A142">
        <v>5050</v>
      </c>
      <c r="B142">
        <v>5050</v>
      </c>
      <c r="C142">
        <v>0</v>
      </c>
      <c r="D142">
        <v>0</v>
      </c>
      <c r="E142">
        <v>0</v>
      </c>
      <c r="F142">
        <v>0</v>
      </c>
      <c r="G142">
        <v>0</v>
      </c>
      <c r="H142">
        <v>0</v>
      </c>
      <c r="I142">
        <v>0</v>
      </c>
      <c r="J142">
        <v>0</v>
      </c>
    </row>
    <row r="143" spans="1:10" x14ac:dyDescent="0.25">
      <c r="A143">
        <v>5075</v>
      </c>
      <c r="B143">
        <v>5075</v>
      </c>
      <c r="C143">
        <v>0</v>
      </c>
      <c r="D143">
        <v>0</v>
      </c>
      <c r="E143">
        <v>0</v>
      </c>
      <c r="F143">
        <v>0</v>
      </c>
      <c r="G143">
        <v>0</v>
      </c>
      <c r="H143">
        <v>0</v>
      </c>
      <c r="I143">
        <v>0</v>
      </c>
      <c r="J143">
        <v>0</v>
      </c>
    </row>
    <row r="144" spans="1:10" x14ac:dyDescent="0.25">
      <c r="A144">
        <v>5100</v>
      </c>
      <c r="B144">
        <v>5100</v>
      </c>
      <c r="C144">
        <v>0</v>
      </c>
      <c r="D144">
        <v>0</v>
      </c>
      <c r="E144">
        <v>0</v>
      </c>
      <c r="F144">
        <v>0</v>
      </c>
      <c r="G144">
        <v>0</v>
      </c>
      <c r="H144">
        <v>0</v>
      </c>
      <c r="I144">
        <v>0</v>
      </c>
      <c r="J144">
        <v>0</v>
      </c>
    </row>
    <row r="145" spans="1:10" x14ac:dyDescent="0.25">
      <c r="A145">
        <v>5125</v>
      </c>
      <c r="B145">
        <v>5125</v>
      </c>
      <c r="C145">
        <v>0</v>
      </c>
      <c r="D145">
        <v>0</v>
      </c>
      <c r="E145">
        <v>0</v>
      </c>
      <c r="F145">
        <v>0</v>
      </c>
      <c r="G145">
        <v>0</v>
      </c>
      <c r="H145">
        <v>0</v>
      </c>
      <c r="I145">
        <v>0</v>
      </c>
      <c r="J145">
        <v>0</v>
      </c>
    </row>
    <row r="146" spans="1:10" x14ac:dyDescent="0.25">
      <c r="A146">
        <v>5150</v>
      </c>
      <c r="B146">
        <v>5150</v>
      </c>
      <c r="C146">
        <v>0</v>
      </c>
      <c r="D146">
        <v>0</v>
      </c>
      <c r="E146">
        <v>0</v>
      </c>
      <c r="F146">
        <v>0</v>
      </c>
      <c r="G146">
        <v>0</v>
      </c>
      <c r="H146">
        <v>0</v>
      </c>
      <c r="I146">
        <v>0</v>
      </c>
      <c r="J146">
        <v>0</v>
      </c>
    </row>
    <row r="147" spans="1:10" x14ac:dyDescent="0.25">
      <c r="A147">
        <v>5175</v>
      </c>
      <c r="B147">
        <v>5175</v>
      </c>
      <c r="C147">
        <v>0</v>
      </c>
      <c r="D147">
        <v>0</v>
      </c>
      <c r="E147">
        <v>0</v>
      </c>
      <c r="F147">
        <v>0</v>
      </c>
      <c r="G147">
        <v>0</v>
      </c>
      <c r="H147">
        <v>0</v>
      </c>
      <c r="I147">
        <v>0</v>
      </c>
      <c r="J147">
        <v>0</v>
      </c>
    </row>
    <row r="148" spans="1:10" x14ac:dyDescent="0.25">
      <c r="A148">
        <v>5200</v>
      </c>
      <c r="B148">
        <v>5200</v>
      </c>
      <c r="C148">
        <v>0</v>
      </c>
      <c r="D148">
        <v>0</v>
      </c>
      <c r="E148">
        <v>3</v>
      </c>
      <c r="F148">
        <v>0</v>
      </c>
      <c r="G148">
        <v>0</v>
      </c>
      <c r="H148">
        <v>0</v>
      </c>
      <c r="I148">
        <v>0</v>
      </c>
      <c r="J148">
        <v>3</v>
      </c>
    </row>
    <row r="149" spans="1:10" x14ac:dyDescent="0.25">
      <c r="A149">
        <v>5225</v>
      </c>
      <c r="B149">
        <v>5225</v>
      </c>
      <c r="C149">
        <v>0</v>
      </c>
      <c r="D149">
        <v>0</v>
      </c>
      <c r="E149">
        <v>0</v>
      </c>
      <c r="F149">
        <v>0</v>
      </c>
      <c r="G149">
        <v>0</v>
      </c>
      <c r="H149">
        <v>0</v>
      </c>
      <c r="I149">
        <v>0</v>
      </c>
      <c r="J149">
        <v>0</v>
      </c>
    </row>
    <row r="150" spans="1:10" x14ac:dyDescent="0.25">
      <c r="A150">
        <v>5250</v>
      </c>
      <c r="B150">
        <v>5250</v>
      </c>
      <c r="C150">
        <v>0</v>
      </c>
      <c r="D150">
        <v>0</v>
      </c>
      <c r="E150">
        <v>1</v>
      </c>
      <c r="F150">
        <v>0</v>
      </c>
      <c r="G150">
        <v>0</v>
      </c>
      <c r="H150">
        <v>0</v>
      </c>
      <c r="I150">
        <v>0</v>
      </c>
      <c r="J150">
        <v>1</v>
      </c>
    </row>
    <row r="151" spans="1:10" x14ac:dyDescent="0.25">
      <c r="A151">
        <v>5275</v>
      </c>
      <c r="B151">
        <v>5275</v>
      </c>
      <c r="C151">
        <v>0</v>
      </c>
      <c r="D151">
        <v>0</v>
      </c>
      <c r="E151">
        <v>0</v>
      </c>
      <c r="F151">
        <v>0</v>
      </c>
      <c r="G151">
        <v>0</v>
      </c>
      <c r="H151">
        <v>0</v>
      </c>
      <c r="I151">
        <v>0</v>
      </c>
      <c r="J151">
        <v>0</v>
      </c>
    </row>
    <row r="152" spans="1:10" x14ac:dyDescent="0.25">
      <c r="A152">
        <v>5300</v>
      </c>
      <c r="B152">
        <v>5300</v>
      </c>
      <c r="C152">
        <v>0</v>
      </c>
      <c r="D152">
        <v>0</v>
      </c>
      <c r="E152">
        <v>7</v>
      </c>
      <c r="F152">
        <v>0</v>
      </c>
      <c r="G152">
        <v>0</v>
      </c>
      <c r="H152">
        <v>0</v>
      </c>
      <c r="I152">
        <v>0</v>
      </c>
      <c r="J152">
        <v>7</v>
      </c>
    </row>
    <row r="153" spans="1:10" x14ac:dyDescent="0.25">
      <c r="A153">
        <v>5325</v>
      </c>
      <c r="B153">
        <v>5325</v>
      </c>
      <c r="C153">
        <v>0</v>
      </c>
      <c r="D153">
        <v>0</v>
      </c>
      <c r="E153">
        <v>0</v>
      </c>
      <c r="F153">
        <v>0</v>
      </c>
      <c r="G153">
        <v>0</v>
      </c>
      <c r="H153">
        <v>0</v>
      </c>
      <c r="I153">
        <v>0</v>
      </c>
      <c r="J153">
        <v>0</v>
      </c>
    </row>
    <row r="154" spans="1:10" x14ac:dyDescent="0.25">
      <c r="A154">
        <v>5375</v>
      </c>
      <c r="B154">
        <v>5375</v>
      </c>
      <c r="C154">
        <v>0</v>
      </c>
      <c r="D154">
        <v>0</v>
      </c>
      <c r="E154">
        <v>0</v>
      </c>
      <c r="F154">
        <v>0</v>
      </c>
      <c r="G154">
        <v>0</v>
      </c>
      <c r="H154">
        <v>0</v>
      </c>
      <c r="I154">
        <v>0</v>
      </c>
      <c r="J154">
        <v>0</v>
      </c>
    </row>
    <row r="155" spans="1:10" x14ac:dyDescent="0.25">
      <c r="A155">
        <v>5400</v>
      </c>
      <c r="B155">
        <v>5400</v>
      </c>
      <c r="C155">
        <v>0</v>
      </c>
      <c r="D155">
        <v>0</v>
      </c>
      <c r="E155">
        <v>7</v>
      </c>
      <c r="F155">
        <v>0</v>
      </c>
      <c r="G155">
        <v>0</v>
      </c>
      <c r="H155">
        <v>0</v>
      </c>
      <c r="I155">
        <v>0</v>
      </c>
      <c r="J155">
        <v>7</v>
      </c>
    </row>
    <row r="156" spans="1:10" x14ac:dyDescent="0.25">
      <c r="A156">
        <v>5500</v>
      </c>
      <c r="B156">
        <v>5500</v>
      </c>
      <c r="C156">
        <v>0</v>
      </c>
      <c r="D156">
        <v>0</v>
      </c>
      <c r="E156">
        <v>42</v>
      </c>
      <c r="F156">
        <v>0</v>
      </c>
      <c r="G156">
        <v>0</v>
      </c>
      <c r="H156">
        <v>0</v>
      </c>
      <c r="I156">
        <v>0</v>
      </c>
      <c r="J156">
        <v>42</v>
      </c>
    </row>
    <row r="157" spans="1:10" x14ac:dyDescent="0.25">
      <c r="A157">
        <v>5600</v>
      </c>
      <c r="B157">
        <v>5600</v>
      </c>
      <c r="C157">
        <v>0</v>
      </c>
      <c r="D157">
        <v>0</v>
      </c>
      <c r="E157">
        <v>111</v>
      </c>
      <c r="F157">
        <v>0</v>
      </c>
      <c r="G157">
        <v>0</v>
      </c>
      <c r="H157">
        <v>0</v>
      </c>
      <c r="I157">
        <v>0</v>
      </c>
      <c r="J157">
        <v>111</v>
      </c>
    </row>
    <row r="158" spans="1:10" x14ac:dyDescent="0.25">
      <c r="A158">
        <v>5700</v>
      </c>
      <c r="B158">
        <v>5700</v>
      </c>
      <c r="C158">
        <v>0</v>
      </c>
      <c r="D158">
        <v>0</v>
      </c>
      <c r="E158">
        <v>0</v>
      </c>
      <c r="F158">
        <v>0</v>
      </c>
      <c r="G158">
        <v>0</v>
      </c>
      <c r="H158">
        <v>0</v>
      </c>
      <c r="I158">
        <v>0</v>
      </c>
      <c r="J158">
        <v>0</v>
      </c>
    </row>
    <row r="159" spans="1:10" x14ac:dyDescent="0.25">
      <c r="A159">
        <v>5800</v>
      </c>
      <c r="B159">
        <v>5800</v>
      </c>
      <c r="C159">
        <v>0</v>
      </c>
      <c r="D159">
        <v>0</v>
      </c>
      <c r="E159">
        <v>0</v>
      </c>
      <c r="F159">
        <v>0</v>
      </c>
      <c r="G159">
        <v>0</v>
      </c>
      <c r="H159">
        <v>0</v>
      </c>
      <c r="I159">
        <v>0</v>
      </c>
      <c r="J159">
        <v>0</v>
      </c>
    </row>
    <row r="160" spans="1:10" x14ac:dyDescent="0.25">
      <c r="A160">
        <v>5900</v>
      </c>
      <c r="B160">
        <v>5900</v>
      </c>
      <c r="C160">
        <v>0</v>
      </c>
      <c r="D160">
        <v>0</v>
      </c>
      <c r="E160">
        <v>0</v>
      </c>
      <c r="F160">
        <v>0</v>
      </c>
      <c r="G160">
        <v>0</v>
      </c>
      <c r="H160">
        <v>0</v>
      </c>
      <c r="I160">
        <v>0</v>
      </c>
      <c r="J160">
        <v>0</v>
      </c>
    </row>
    <row r="161" spans="1:10" x14ac:dyDescent="0.25">
      <c r="A161">
        <v>6000</v>
      </c>
      <c r="B161">
        <v>6000</v>
      </c>
      <c r="C161">
        <v>0</v>
      </c>
      <c r="D161">
        <v>225</v>
      </c>
      <c r="E161">
        <v>27461</v>
      </c>
      <c r="F161">
        <v>0</v>
      </c>
      <c r="G161">
        <v>0</v>
      </c>
      <c r="H161">
        <v>0</v>
      </c>
      <c r="I161">
        <v>0</v>
      </c>
      <c r="J161">
        <v>27461</v>
      </c>
    </row>
    <row r="162" spans="1:10" x14ac:dyDescent="0.25">
      <c r="A162">
        <v>7000</v>
      </c>
      <c r="B162">
        <v>7000</v>
      </c>
      <c r="C162">
        <v>0</v>
      </c>
      <c r="D162">
        <v>0</v>
      </c>
      <c r="E162">
        <v>1</v>
      </c>
      <c r="F162">
        <v>0</v>
      </c>
      <c r="G162">
        <v>0</v>
      </c>
      <c r="H162">
        <v>0</v>
      </c>
      <c r="I162">
        <v>0</v>
      </c>
      <c r="J162">
        <v>1</v>
      </c>
    </row>
    <row r="163" spans="1:10" x14ac:dyDescent="0.25">
      <c r="A163">
        <v>8000</v>
      </c>
      <c r="B163">
        <v>8000</v>
      </c>
      <c r="C163">
        <v>0</v>
      </c>
      <c r="D163">
        <v>0</v>
      </c>
      <c r="E163">
        <v>0</v>
      </c>
      <c r="F163">
        <v>0</v>
      </c>
      <c r="G163">
        <v>0</v>
      </c>
      <c r="H163">
        <v>0</v>
      </c>
      <c r="I163">
        <v>0</v>
      </c>
      <c r="J163">
        <v>0</v>
      </c>
    </row>
    <row r="164" spans="1:10" x14ac:dyDescent="0.25">
      <c r="A164">
        <v>9000</v>
      </c>
      <c r="B164">
        <v>9000</v>
      </c>
      <c r="C164">
        <v>0</v>
      </c>
      <c r="D164">
        <v>0</v>
      </c>
      <c r="E164">
        <v>0</v>
      </c>
      <c r="F164">
        <v>0</v>
      </c>
      <c r="G164">
        <v>0</v>
      </c>
      <c r="H164">
        <v>0</v>
      </c>
      <c r="I164">
        <v>0</v>
      </c>
      <c r="J164">
        <v>0</v>
      </c>
    </row>
    <row r="165" spans="1:10" x14ac:dyDescent="0.25">
      <c r="A165" t="s">
        <v>284</v>
      </c>
      <c r="B165">
        <v>10000</v>
      </c>
      <c r="C165">
        <v>0</v>
      </c>
      <c r="D165">
        <v>0</v>
      </c>
      <c r="E165">
        <v>0</v>
      </c>
      <c r="F165">
        <v>0</v>
      </c>
      <c r="G165">
        <v>0</v>
      </c>
      <c r="H165">
        <v>0</v>
      </c>
      <c r="I165">
        <v>0</v>
      </c>
      <c r="J165">
        <v>5719.1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C0BCA-7977-4C9D-9136-B9154896DC9C}">
  <sheetPr codeName="Tabelle6"/>
  <dimension ref="A1:J165"/>
  <sheetViews>
    <sheetView workbookViewId="0"/>
  </sheetViews>
  <sheetFormatPr defaultColWidth="8.85546875" defaultRowHeight="15" x14ac:dyDescent="0.25"/>
  <sheetData>
    <row r="1" spans="1:10" x14ac:dyDescent="0.25">
      <c r="A1" s="100" t="s">
        <v>283</v>
      </c>
      <c r="B1" s="100" t="s">
        <v>255</v>
      </c>
      <c r="C1" s="100" t="s">
        <v>282</v>
      </c>
      <c r="D1" s="100" t="s">
        <v>281</v>
      </c>
      <c r="E1" s="100" t="s">
        <v>280</v>
      </c>
      <c r="F1" s="100" t="s">
        <v>279</v>
      </c>
      <c r="G1" s="100" t="s">
        <v>278</v>
      </c>
      <c r="H1" s="100" t="s">
        <v>277</v>
      </c>
      <c r="I1" s="100" t="s">
        <v>276</v>
      </c>
      <c r="J1" s="100" t="s">
        <v>275</v>
      </c>
    </row>
    <row r="2" spans="1:10" x14ac:dyDescent="0.25">
      <c r="A2">
        <v>500</v>
      </c>
      <c r="B2">
        <v>500</v>
      </c>
      <c r="C2">
        <v>0</v>
      </c>
      <c r="D2">
        <v>1</v>
      </c>
      <c r="E2">
        <v>1802</v>
      </c>
      <c r="F2">
        <v>0</v>
      </c>
      <c r="G2">
        <v>0</v>
      </c>
      <c r="H2">
        <v>0</v>
      </c>
      <c r="I2">
        <v>0</v>
      </c>
      <c r="J2">
        <v>1802</v>
      </c>
    </row>
    <row r="3" spans="1:10" x14ac:dyDescent="0.25">
      <c r="A3">
        <v>600</v>
      </c>
      <c r="B3">
        <v>600</v>
      </c>
      <c r="C3">
        <v>0</v>
      </c>
      <c r="D3">
        <v>0</v>
      </c>
      <c r="E3">
        <v>0</v>
      </c>
      <c r="F3">
        <v>0</v>
      </c>
      <c r="G3">
        <v>0</v>
      </c>
      <c r="H3">
        <v>0</v>
      </c>
      <c r="I3">
        <v>0</v>
      </c>
      <c r="J3">
        <v>0</v>
      </c>
    </row>
    <row r="4" spans="1:10" x14ac:dyDescent="0.25">
      <c r="A4">
        <v>800</v>
      </c>
      <c r="B4">
        <v>800</v>
      </c>
      <c r="C4">
        <v>0</v>
      </c>
      <c r="D4">
        <v>0</v>
      </c>
      <c r="E4">
        <v>2449</v>
      </c>
      <c r="F4">
        <v>0</v>
      </c>
      <c r="G4">
        <v>0</v>
      </c>
      <c r="H4">
        <v>0</v>
      </c>
      <c r="I4">
        <v>0</v>
      </c>
      <c r="J4">
        <v>2449</v>
      </c>
    </row>
    <row r="5" spans="1:10" x14ac:dyDescent="0.25">
      <c r="A5">
        <v>1000</v>
      </c>
      <c r="B5">
        <v>1000</v>
      </c>
      <c r="C5">
        <v>0</v>
      </c>
      <c r="D5">
        <v>0</v>
      </c>
      <c r="E5">
        <v>27375</v>
      </c>
      <c r="F5">
        <v>0</v>
      </c>
      <c r="G5">
        <v>0</v>
      </c>
      <c r="H5">
        <v>0</v>
      </c>
      <c r="I5">
        <v>0</v>
      </c>
      <c r="J5">
        <v>27375</v>
      </c>
    </row>
    <row r="6" spans="1:10" x14ac:dyDescent="0.25">
      <c r="A6">
        <v>1100</v>
      </c>
      <c r="B6">
        <v>1100</v>
      </c>
      <c r="C6">
        <v>0</v>
      </c>
      <c r="D6">
        <v>0</v>
      </c>
      <c r="E6">
        <v>0</v>
      </c>
      <c r="F6">
        <v>0</v>
      </c>
      <c r="G6">
        <v>0</v>
      </c>
      <c r="H6">
        <v>0</v>
      </c>
      <c r="I6">
        <v>0</v>
      </c>
      <c r="J6">
        <v>0</v>
      </c>
    </row>
    <row r="7" spans="1:10" x14ac:dyDescent="0.25">
      <c r="A7">
        <v>1150</v>
      </c>
      <c r="B7">
        <v>1150</v>
      </c>
      <c r="C7">
        <v>0</v>
      </c>
      <c r="D7">
        <v>0</v>
      </c>
      <c r="E7">
        <v>0</v>
      </c>
      <c r="F7">
        <v>0</v>
      </c>
      <c r="G7">
        <v>0</v>
      </c>
      <c r="H7">
        <v>0</v>
      </c>
      <c r="I7">
        <v>0</v>
      </c>
      <c r="J7">
        <v>0</v>
      </c>
    </row>
    <row r="8" spans="1:10" x14ac:dyDescent="0.25">
      <c r="A8">
        <v>1200</v>
      </c>
      <c r="B8">
        <v>1200</v>
      </c>
      <c r="C8">
        <v>0</v>
      </c>
      <c r="D8">
        <v>0</v>
      </c>
      <c r="E8">
        <v>7</v>
      </c>
      <c r="F8">
        <v>0</v>
      </c>
      <c r="G8">
        <v>0</v>
      </c>
      <c r="H8">
        <v>0</v>
      </c>
      <c r="I8">
        <v>0</v>
      </c>
      <c r="J8">
        <v>7</v>
      </c>
    </row>
    <row r="9" spans="1:10" x14ac:dyDescent="0.25">
      <c r="A9">
        <v>1250</v>
      </c>
      <c r="B9">
        <v>1250</v>
      </c>
      <c r="C9">
        <v>0</v>
      </c>
      <c r="D9">
        <v>0</v>
      </c>
      <c r="E9">
        <v>1</v>
      </c>
      <c r="F9">
        <v>0</v>
      </c>
      <c r="G9">
        <v>0</v>
      </c>
      <c r="H9">
        <v>0</v>
      </c>
      <c r="I9">
        <v>0</v>
      </c>
      <c r="J9">
        <v>1</v>
      </c>
    </row>
    <row r="10" spans="1:10" x14ac:dyDescent="0.25">
      <c r="A10">
        <v>1300</v>
      </c>
      <c r="B10">
        <v>1300</v>
      </c>
      <c r="C10">
        <v>0</v>
      </c>
      <c r="D10">
        <v>0</v>
      </c>
      <c r="E10">
        <v>0</v>
      </c>
      <c r="F10">
        <v>0</v>
      </c>
      <c r="G10">
        <v>0</v>
      </c>
      <c r="H10">
        <v>0</v>
      </c>
      <c r="I10">
        <v>0</v>
      </c>
      <c r="J10">
        <v>0</v>
      </c>
    </row>
    <row r="11" spans="1:10" x14ac:dyDescent="0.25">
      <c r="A11">
        <v>1350</v>
      </c>
      <c r="B11">
        <v>1350</v>
      </c>
      <c r="C11">
        <v>0</v>
      </c>
      <c r="D11">
        <v>0</v>
      </c>
      <c r="E11">
        <v>0</v>
      </c>
      <c r="F11">
        <v>0</v>
      </c>
      <c r="G11">
        <v>0</v>
      </c>
      <c r="H11">
        <v>0</v>
      </c>
      <c r="I11">
        <v>0</v>
      </c>
      <c r="J11">
        <v>0</v>
      </c>
    </row>
    <row r="12" spans="1:10" x14ac:dyDescent="0.25">
      <c r="A12">
        <v>1400</v>
      </c>
      <c r="B12">
        <v>1400</v>
      </c>
      <c r="C12">
        <v>0</v>
      </c>
      <c r="D12">
        <v>0</v>
      </c>
      <c r="E12">
        <v>0</v>
      </c>
      <c r="F12">
        <v>0</v>
      </c>
      <c r="G12">
        <v>0</v>
      </c>
      <c r="H12">
        <v>0</v>
      </c>
      <c r="I12">
        <v>0</v>
      </c>
      <c r="J12">
        <v>0</v>
      </c>
    </row>
    <row r="13" spans="1:10" x14ac:dyDescent="0.25">
      <c r="A13">
        <v>1450</v>
      </c>
      <c r="B13">
        <v>1450</v>
      </c>
      <c r="C13">
        <v>0</v>
      </c>
      <c r="D13">
        <v>0</v>
      </c>
      <c r="E13">
        <v>0</v>
      </c>
      <c r="F13">
        <v>0</v>
      </c>
      <c r="G13">
        <v>0</v>
      </c>
      <c r="H13">
        <v>0</v>
      </c>
      <c r="I13">
        <v>0</v>
      </c>
      <c r="J13">
        <v>0</v>
      </c>
    </row>
    <row r="14" spans="1:10" x14ac:dyDescent="0.25">
      <c r="A14">
        <v>1500</v>
      </c>
      <c r="B14">
        <v>1500</v>
      </c>
      <c r="C14">
        <v>0</v>
      </c>
      <c r="D14">
        <v>0</v>
      </c>
      <c r="E14">
        <v>93</v>
      </c>
      <c r="F14">
        <v>0</v>
      </c>
      <c r="G14">
        <v>0</v>
      </c>
      <c r="H14">
        <v>0</v>
      </c>
      <c r="I14">
        <v>0</v>
      </c>
      <c r="J14">
        <v>93</v>
      </c>
    </row>
    <row r="15" spans="1:10" x14ac:dyDescent="0.25">
      <c r="A15">
        <v>1550</v>
      </c>
      <c r="B15">
        <v>1550</v>
      </c>
      <c r="C15">
        <v>0</v>
      </c>
      <c r="D15">
        <v>0</v>
      </c>
      <c r="E15">
        <v>0</v>
      </c>
      <c r="F15">
        <v>0</v>
      </c>
      <c r="G15">
        <v>0</v>
      </c>
      <c r="H15">
        <v>0</v>
      </c>
      <c r="I15">
        <v>0</v>
      </c>
      <c r="J15">
        <v>0</v>
      </c>
    </row>
    <row r="16" spans="1:10" x14ac:dyDescent="0.25">
      <c r="A16">
        <v>1600</v>
      </c>
      <c r="B16">
        <v>1600</v>
      </c>
      <c r="C16">
        <v>0</v>
      </c>
      <c r="D16">
        <v>0</v>
      </c>
      <c r="E16">
        <v>0</v>
      </c>
      <c r="F16">
        <v>0</v>
      </c>
      <c r="G16">
        <v>0</v>
      </c>
      <c r="H16">
        <v>0</v>
      </c>
      <c r="I16">
        <v>0</v>
      </c>
      <c r="J16">
        <v>0</v>
      </c>
    </row>
    <row r="17" spans="1:10" x14ac:dyDescent="0.25">
      <c r="A17">
        <v>1650</v>
      </c>
      <c r="B17">
        <v>1650</v>
      </c>
      <c r="C17">
        <v>0</v>
      </c>
      <c r="D17">
        <v>0</v>
      </c>
      <c r="E17">
        <v>0</v>
      </c>
      <c r="F17">
        <v>0</v>
      </c>
      <c r="G17">
        <v>0</v>
      </c>
      <c r="H17">
        <v>0</v>
      </c>
      <c r="I17">
        <v>0</v>
      </c>
      <c r="J17">
        <v>0</v>
      </c>
    </row>
    <row r="18" spans="1:10" x14ac:dyDescent="0.25">
      <c r="A18">
        <v>1700</v>
      </c>
      <c r="B18">
        <v>1700</v>
      </c>
      <c r="C18">
        <v>0</v>
      </c>
      <c r="D18">
        <v>0</v>
      </c>
      <c r="E18">
        <v>0</v>
      </c>
      <c r="F18">
        <v>0</v>
      </c>
      <c r="G18">
        <v>0</v>
      </c>
      <c r="H18">
        <v>0</v>
      </c>
      <c r="I18">
        <v>0</v>
      </c>
      <c r="J18">
        <v>0</v>
      </c>
    </row>
    <row r="19" spans="1:10" x14ac:dyDescent="0.25">
      <c r="A19">
        <v>1750</v>
      </c>
      <c r="B19">
        <v>1750</v>
      </c>
      <c r="C19">
        <v>0</v>
      </c>
      <c r="D19">
        <v>0</v>
      </c>
      <c r="E19">
        <v>0</v>
      </c>
      <c r="F19">
        <v>0</v>
      </c>
      <c r="G19">
        <v>0</v>
      </c>
      <c r="H19">
        <v>0</v>
      </c>
      <c r="I19">
        <v>0</v>
      </c>
      <c r="J19">
        <v>0</v>
      </c>
    </row>
    <row r="20" spans="1:10" x14ac:dyDescent="0.25">
      <c r="A20">
        <v>1800</v>
      </c>
      <c r="B20">
        <v>1800</v>
      </c>
      <c r="C20">
        <v>0</v>
      </c>
      <c r="D20">
        <v>0</v>
      </c>
      <c r="E20">
        <v>0</v>
      </c>
      <c r="F20">
        <v>0</v>
      </c>
      <c r="G20">
        <v>0</v>
      </c>
      <c r="H20">
        <v>0</v>
      </c>
      <c r="I20">
        <v>0</v>
      </c>
      <c r="J20">
        <v>0</v>
      </c>
    </row>
    <row r="21" spans="1:10" x14ac:dyDescent="0.25">
      <c r="A21">
        <v>1850</v>
      </c>
      <c r="B21">
        <v>1850</v>
      </c>
      <c r="C21">
        <v>0</v>
      </c>
      <c r="D21">
        <v>0</v>
      </c>
      <c r="E21">
        <v>0</v>
      </c>
      <c r="F21">
        <v>0</v>
      </c>
      <c r="G21">
        <v>0</v>
      </c>
      <c r="H21">
        <v>0</v>
      </c>
      <c r="I21">
        <v>0</v>
      </c>
      <c r="J21">
        <v>0</v>
      </c>
    </row>
    <row r="22" spans="1:10" x14ac:dyDescent="0.25">
      <c r="A22">
        <v>1900</v>
      </c>
      <c r="B22">
        <v>1900</v>
      </c>
      <c r="C22">
        <v>0</v>
      </c>
      <c r="D22">
        <v>0</v>
      </c>
      <c r="E22">
        <v>1</v>
      </c>
      <c r="F22">
        <v>0</v>
      </c>
      <c r="G22">
        <v>0</v>
      </c>
      <c r="H22">
        <v>0</v>
      </c>
      <c r="I22">
        <v>0</v>
      </c>
      <c r="J22">
        <v>1</v>
      </c>
    </row>
    <row r="23" spans="1:10" x14ac:dyDescent="0.25">
      <c r="A23">
        <v>1950</v>
      </c>
      <c r="B23">
        <v>1950</v>
      </c>
      <c r="C23">
        <v>0</v>
      </c>
      <c r="D23">
        <v>0</v>
      </c>
      <c r="E23">
        <v>0</v>
      </c>
      <c r="F23">
        <v>0</v>
      </c>
      <c r="G23">
        <v>0</v>
      </c>
      <c r="H23">
        <v>0</v>
      </c>
      <c r="I23">
        <v>0</v>
      </c>
      <c r="J23">
        <v>0</v>
      </c>
    </row>
    <row r="24" spans="1:10" x14ac:dyDescent="0.25">
      <c r="A24">
        <v>2000</v>
      </c>
      <c r="B24">
        <v>2000</v>
      </c>
      <c r="C24">
        <v>0</v>
      </c>
      <c r="D24">
        <v>0</v>
      </c>
      <c r="E24">
        <v>1</v>
      </c>
      <c r="F24">
        <v>0</v>
      </c>
      <c r="G24">
        <v>0</v>
      </c>
      <c r="H24">
        <v>0</v>
      </c>
      <c r="I24">
        <v>0</v>
      </c>
      <c r="J24">
        <v>1</v>
      </c>
    </row>
    <row r="25" spans="1:10" x14ac:dyDescent="0.25">
      <c r="A25">
        <v>2050</v>
      </c>
      <c r="B25">
        <v>2050</v>
      </c>
      <c r="C25">
        <v>0</v>
      </c>
      <c r="D25">
        <v>0</v>
      </c>
      <c r="E25">
        <v>0</v>
      </c>
      <c r="F25">
        <v>0</v>
      </c>
      <c r="G25">
        <v>0</v>
      </c>
      <c r="H25">
        <v>0</v>
      </c>
      <c r="I25">
        <v>0</v>
      </c>
      <c r="J25">
        <v>0</v>
      </c>
    </row>
    <row r="26" spans="1:10" x14ac:dyDescent="0.25">
      <c r="A26">
        <v>2100</v>
      </c>
      <c r="B26">
        <v>2100</v>
      </c>
      <c r="C26">
        <v>0</v>
      </c>
      <c r="D26">
        <v>0</v>
      </c>
      <c r="E26">
        <v>360</v>
      </c>
      <c r="F26">
        <v>0</v>
      </c>
      <c r="G26">
        <v>0</v>
      </c>
      <c r="H26">
        <v>0</v>
      </c>
      <c r="I26">
        <v>0</v>
      </c>
      <c r="J26">
        <v>360</v>
      </c>
    </row>
    <row r="27" spans="1:10" x14ac:dyDescent="0.25">
      <c r="A27">
        <v>2150</v>
      </c>
      <c r="B27">
        <v>2150</v>
      </c>
      <c r="C27">
        <v>0</v>
      </c>
      <c r="D27">
        <v>0</v>
      </c>
      <c r="E27">
        <v>122</v>
      </c>
      <c r="F27">
        <v>0</v>
      </c>
      <c r="G27">
        <v>0</v>
      </c>
      <c r="H27">
        <v>0</v>
      </c>
      <c r="I27">
        <v>0</v>
      </c>
      <c r="J27">
        <v>122</v>
      </c>
    </row>
    <row r="28" spans="1:10" x14ac:dyDescent="0.25">
      <c r="A28">
        <v>2175</v>
      </c>
      <c r="B28">
        <v>2175</v>
      </c>
      <c r="C28">
        <v>0</v>
      </c>
      <c r="D28">
        <v>0</v>
      </c>
      <c r="E28">
        <v>0</v>
      </c>
      <c r="F28">
        <v>0</v>
      </c>
      <c r="G28">
        <v>0</v>
      </c>
      <c r="H28">
        <v>0</v>
      </c>
      <c r="I28">
        <v>0</v>
      </c>
      <c r="J28">
        <v>0</v>
      </c>
    </row>
    <row r="29" spans="1:10" x14ac:dyDescent="0.25">
      <c r="A29">
        <v>2200</v>
      </c>
      <c r="B29">
        <v>2200</v>
      </c>
      <c r="C29">
        <v>0</v>
      </c>
      <c r="D29">
        <v>0</v>
      </c>
      <c r="E29">
        <v>99</v>
      </c>
      <c r="F29">
        <v>0</v>
      </c>
      <c r="G29">
        <v>0</v>
      </c>
      <c r="H29">
        <v>0</v>
      </c>
      <c r="I29">
        <v>0</v>
      </c>
      <c r="J29">
        <v>99</v>
      </c>
    </row>
    <row r="30" spans="1:10" x14ac:dyDescent="0.25">
      <c r="A30">
        <v>2250</v>
      </c>
      <c r="B30">
        <v>2250</v>
      </c>
      <c r="C30">
        <v>0</v>
      </c>
      <c r="D30">
        <v>0</v>
      </c>
      <c r="E30">
        <v>0</v>
      </c>
      <c r="F30">
        <v>0</v>
      </c>
      <c r="G30">
        <v>0</v>
      </c>
      <c r="H30">
        <v>0</v>
      </c>
      <c r="I30">
        <v>0</v>
      </c>
      <c r="J30">
        <v>0</v>
      </c>
    </row>
    <row r="31" spans="1:10" x14ac:dyDescent="0.25">
      <c r="A31">
        <v>2275</v>
      </c>
      <c r="B31">
        <v>2275</v>
      </c>
      <c r="C31">
        <v>0</v>
      </c>
      <c r="D31">
        <v>0</v>
      </c>
      <c r="E31">
        <v>0</v>
      </c>
      <c r="F31">
        <v>0</v>
      </c>
      <c r="G31">
        <v>0</v>
      </c>
      <c r="H31">
        <v>0</v>
      </c>
      <c r="I31">
        <v>0</v>
      </c>
      <c r="J31">
        <v>0</v>
      </c>
    </row>
    <row r="32" spans="1:10" x14ac:dyDescent="0.25">
      <c r="A32">
        <v>2300</v>
      </c>
      <c r="B32">
        <v>2300</v>
      </c>
      <c r="C32">
        <v>0</v>
      </c>
      <c r="D32">
        <v>0</v>
      </c>
      <c r="E32">
        <v>20</v>
      </c>
      <c r="F32">
        <v>0</v>
      </c>
      <c r="G32">
        <v>0</v>
      </c>
      <c r="H32">
        <v>0</v>
      </c>
      <c r="I32">
        <v>0</v>
      </c>
      <c r="J32">
        <v>20</v>
      </c>
    </row>
    <row r="33" spans="1:10" x14ac:dyDescent="0.25">
      <c r="A33">
        <v>2325</v>
      </c>
      <c r="B33">
        <v>2325</v>
      </c>
      <c r="C33">
        <v>0</v>
      </c>
      <c r="D33">
        <v>0</v>
      </c>
      <c r="E33">
        <v>0</v>
      </c>
      <c r="F33">
        <v>0</v>
      </c>
      <c r="G33">
        <v>0</v>
      </c>
      <c r="H33">
        <v>0</v>
      </c>
      <c r="I33">
        <v>0</v>
      </c>
      <c r="J33">
        <v>0</v>
      </c>
    </row>
    <row r="34" spans="1:10" x14ac:dyDescent="0.25">
      <c r="A34">
        <v>2350</v>
      </c>
      <c r="B34">
        <v>2350</v>
      </c>
      <c r="C34">
        <v>0</v>
      </c>
      <c r="D34">
        <v>0</v>
      </c>
      <c r="E34">
        <v>0</v>
      </c>
      <c r="F34">
        <v>0</v>
      </c>
      <c r="G34">
        <v>0</v>
      </c>
      <c r="H34">
        <v>0</v>
      </c>
      <c r="I34">
        <v>0</v>
      </c>
      <c r="J34">
        <v>0</v>
      </c>
    </row>
    <row r="35" spans="1:10" x14ac:dyDescent="0.25">
      <c r="A35">
        <v>2375</v>
      </c>
      <c r="B35">
        <v>2375</v>
      </c>
      <c r="C35">
        <v>0</v>
      </c>
      <c r="D35">
        <v>0</v>
      </c>
      <c r="E35">
        <v>0</v>
      </c>
      <c r="F35">
        <v>0</v>
      </c>
      <c r="G35">
        <v>0</v>
      </c>
      <c r="H35">
        <v>0</v>
      </c>
      <c r="I35">
        <v>0</v>
      </c>
      <c r="J35">
        <v>0</v>
      </c>
    </row>
    <row r="36" spans="1:10" x14ac:dyDescent="0.25">
      <c r="A36">
        <v>2400</v>
      </c>
      <c r="B36">
        <v>2400</v>
      </c>
      <c r="C36">
        <v>0</v>
      </c>
      <c r="D36">
        <v>0</v>
      </c>
      <c r="E36">
        <v>1486</v>
      </c>
      <c r="F36">
        <v>0</v>
      </c>
      <c r="G36">
        <v>0</v>
      </c>
      <c r="H36">
        <v>0</v>
      </c>
      <c r="I36">
        <v>0</v>
      </c>
      <c r="J36">
        <v>1486</v>
      </c>
    </row>
    <row r="37" spans="1:10" x14ac:dyDescent="0.25">
      <c r="A37">
        <v>2425</v>
      </c>
      <c r="B37">
        <v>2425</v>
      </c>
      <c r="C37">
        <v>0</v>
      </c>
      <c r="D37">
        <v>0</v>
      </c>
      <c r="E37">
        <v>0</v>
      </c>
      <c r="F37">
        <v>0</v>
      </c>
      <c r="G37">
        <v>0</v>
      </c>
      <c r="H37">
        <v>0</v>
      </c>
      <c r="I37">
        <v>0</v>
      </c>
      <c r="J37">
        <v>0</v>
      </c>
    </row>
    <row r="38" spans="1:10" x14ac:dyDescent="0.25">
      <c r="A38">
        <v>2450</v>
      </c>
      <c r="B38">
        <v>2450</v>
      </c>
      <c r="C38">
        <v>0</v>
      </c>
      <c r="D38">
        <v>0</v>
      </c>
      <c r="E38">
        <v>0</v>
      </c>
      <c r="F38">
        <v>0</v>
      </c>
      <c r="G38">
        <v>0</v>
      </c>
      <c r="H38">
        <v>0</v>
      </c>
      <c r="I38">
        <v>0</v>
      </c>
      <c r="J38">
        <v>0</v>
      </c>
    </row>
    <row r="39" spans="1:10" x14ac:dyDescent="0.25">
      <c r="A39">
        <v>2475</v>
      </c>
      <c r="B39">
        <v>2475</v>
      </c>
      <c r="C39">
        <v>0</v>
      </c>
      <c r="D39">
        <v>0</v>
      </c>
      <c r="E39">
        <v>54</v>
      </c>
      <c r="F39">
        <v>0</v>
      </c>
      <c r="G39">
        <v>0</v>
      </c>
      <c r="H39">
        <v>0</v>
      </c>
      <c r="I39">
        <v>0</v>
      </c>
      <c r="J39">
        <v>54</v>
      </c>
    </row>
    <row r="40" spans="1:10" x14ac:dyDescent="0.25">
      <c r="A40">
        <v>2500</v>
      </c>
      <c r="B40">
        <v>2500</v>
      </c>
      <c r="C40">
        <v>0</v>
      </c>
      <c r="D40">
        <v>0</v>
      </c>
      <c r="E40">
        <v>610</v>
      </c>
      <c r="F40">
        <v>0</v>
      </c>
      <c r="G40">
        <v>0</v>
      </c>
      <c r="H40">
        <v>0</v>
      </c>
      <c r="I40">
        <v>0</v>
      </c>
      <c r="J40">
        <v>610</v>
      </c>
    </row>
    <row r="41" spans="1:10" x14ac:dyDescent="0.25">
      <c r="A41">
        <v>2525</v>
      </c>
      <c r="B41">
        <v>2525</v>
      </c>
      <c r="C41">
        <v>0</v>
      </c>
      <c r="D41">
        <v>0</v>
      </c>
      <c r="E41">
        <v>171</v>
      </c>
      <c r="F41">
        <v>0</v>
      </c>
      <c r="G41">
        <v>0</v>
      </c>
      <c r="H41">
        <v>0</v>
      </c>
      <c r="I41">
        <v>0</v>
      </c>
      <c r="J41">
        <v>171</v>
      </c>
    </row>
    <row r="42" spans="1:10" x14ac:dyDescent="0.25">
      <c r="A42">
        <v>2550</v>
      </c>
      <c r="B42">
        <v>2550</v>
      </c>
      <c r="C42">
        <v>0</v>
      </c>
      <c r="D42">
        <v>0</v>
      </c>
      <c r="E42">
        <v>0</v>
      </c>
      <c r="F42">
        <v>0</v>
      </c>
      <c r="G42">
        <v>0</v>
      </c>
      <c r="H42">
        <v>0</v>
      </c>
      <c r="I42">
        <v>0</v>
      </c>
      <c r="J42">
        <v>0</v>
      </c>
    </row>
    <row r="43" spans="1:10" x14ac:dyDescent="0.25">
      <c r="A43">
        <v>2575</v>
      </c>
      <c r="B43">
        <v>2575</v>
      </c>
      <c r="C43">
        <v>0</v>
      </c>
      <c r="D43">
        <v>0</v>
      </c>
      <c r="E43">
        <v>0</v>
      </c>
      <c r="F43">
        <v>0</v>
      </c>
      <c r="G43">
        <v>0</v>
      </c>
      <c r="H43">
        <v>0</v>
      </c>
      <c r="I43">
        <v>0</v>
      </c>
      <c r="J43">
        <v>0</v>
      </c>
    </row>
    <row r="44" spans="1:10" x14ac:dyDescent="0.25">
      <c r="A44">
        <v>2600</v>
      </c>
      <c r="B44">
        <v>2600</v>
      </c>
      <c r="C44">
        <v>0</v>
      </c>
      <c r="D44">
        <v>0</v>
      </c>
      <c r="E44">
        <v>1850</v>
      </c>
      <c r="F44">
        <v>0</v>
      </c>
      <c r="G44">
        <v>0</v>
      </c>
      <c r="H44">
        <v>0</v>
      </c>
      <c r="I44">
        <v>0</v>
      </c>
      <c r="J44">
        <v>1850</v>
      </c>
    </row>
    <row r="45" spans="1:10" x14ac:dyDescent="0.25">
      <c r="A45">
        <v>2625</v>
      </c>
      <c r="B45">
        <v>2625</v>
      </c>
      <c r="C45">
        <v>0</v>
      </c>
      <c r="D45">
        <v>0</v>
      </c>
      <c r="E45">
        <v>20</v>
      </c>
      <c r="F45">
        <v>0</v>
      </c>
      <c r="G45">
        <v>0</v>
      </c>
      <c r="H45">
        <v>0</v>
      </c>
      <c r="I45">
        <v>0</v>
      </c>
      <c r="J45">
        <v>20</v>
      </c>
    </row>
    <row r="46" spans="1:10" x14ac:dyDescent="0.25">
      <c r="A46">
        <v>2650</v>
      </c>
      <c r="B46">
        <v>2650</v>
      </c>
      <c r="C46">
        <v>0</v>
      </c>
      <c r="D46">
        <v>0</v>
      </c>
      <c r="E46">
        <v>60</v>
      </c>
      <c r="F46">
        <v>0</v>
      </c>
      <c r="G46">
        <v>0</v>
      </c>
      <c r="H46">
        <v>0</v>
      </c>
      <c r="I46">
        <v>0</v>
      </c>
      <c r="J46">
        <v>60</v>
      </c>
    </row>
    <row r="47" spans="1:10" x14ac:dyDescent="0.25">
      <c r="A47">
        <v>2675</v>
      </c>
      <c r="B47">
        <v>2675</v>
      </c>
      <c r="C47">
        <v>0</v>
      </c>
      <c r="D47">
        <v>0</v>
      </c>
      <c r="E47">
        <v>20</v>
      </c>
      <c r="F47">
        <v>0</v>
      </c>
      <c r="G47">
        <v>0</v>
      </c>
      <c r="H47">
        <v>0</v>
      </c>
      <c r="I47">
        <v>0</v>
      </c>
      <c r="J47">
        <v>20</v>
      </c>
    </row>
    <row r="48" spans="1:10" x14ac:dyDescent="0.25">
      <c r="A48">
        <v>2700</v>
      </c>
      <c r="B48">
        <v>2700</v>
      </c>
      <c r="C48">
        <v>0</v>
      </c>
      <c r="D48">
        <v>0</v>
      </c>
      <c r="E48">
        <v>1112</v>
      </c>
      <c r="F48">
        <v>0</v>
      </c>
      <c r="G48">
        <v>0</v>
      </c>
      <c r="H48">
        <v>0</v>
      </c>
      <c r="I48">
        <v>0</v>
      </c>
      <c r="J48">
        <v>1112</v>
      </c>
    </row>
    <row r="49" spans="1:10" x14ac:dyDescent="0.25">
      <c r="A49">
        <v>2725</v>
      </c>
      <c r="B49">
        <v>2725</v>
      </c>
      <c r="C49">
        <v>0</v>
      </c>
      <c r="D49">
        <v>0</v>
      </c>
      <c r="E49">
        <v>0</v>
      </c>
      <c r="F49">
        <v>0</v>
      </c>
      <c r="G49">
        <v>0</v>
      </c>
      <c r="H49">
        <v>0</v>
      </c>
      <c r="I49">
        <v>0</v>
      </c>
      <c r="J49">
        <v>0</v>
      </c>
    </row>
    <row r="50" spans="1:10" x14ac:dyDescent="0.25">
      <c r="A50">
        <v>2750</v>
      </c>
      <c r="B50">
        <v>2750</v>
      </c>
      <c r="C50">
        <v>0</v>
      </c>
      <c r="D50">
        <v>0</v>
      </c>
      <c r="E50">
        <v>0</v>
      </c>
      <c r="F50">
        <v>0</v>
      </c>
      <c r="G50">
        <v>0</v>
      </c>
      <c r="H50">
        <v>0</v>
      </c>
      <c r="I50">
        <v>0</v>
      </c>
      <c r="J50">
        <v>0</v>
      </c>
    </row>
    <row r="51" spans="1:10" x14ac:dyDescent="0.25">
      <c r="A51">
        <v>2775</v>
      </c>
      <c r="B51">
        <v>2775</v>
      </c>
      <c r="C51">
        <v>0</v>
      </c>
      <c r="D51">
        <v>0</v>
      </c>
      <c r="E51">
        <v>80</v>
      </c>
      <c r="F51">
        <v>0</v>
      </c>
      <c r="G51">
        <v>0</v>
      </c>
      <c r="H51">
        <v>0</v>
      </c>
      <c r="I51">
        <v>0</v>
      </c>
      <c r="J51">
        <v>80</v>
      </c>
    </row>
    <row r="52" spans="1:10" x14ac:dyDescent="0.25">
      <c r="A52">
        <v>2800</v>
      </c>
      <c r="B52">
        <v>2800</v>
      </c>
      <c r="C52">
        <v>0</v>
      </c>
      <c r="D52">
        <v>0</v>
      </c>
      <c r="E52">
        <v>404</v>
      </c>
      <c r="F52">
        <v>0</v>
      </c>
      <c r="G52">
        <v>0</v>
      </c>
      <c r="H52">
        <v>0</v>
      </c>
      <c r="I52">
        <v>0</v>
      </c>
      <c r="J52">
        <v>404</v>
      </c>
    </row>
    <row r="53" spans="1:10" x14ac:dyDescent="0.25">
      <c r="A53">
        <v>2825</v>
      </c>
      <c r="B53">
        <v>2825</v>
      </c>
      <c r="C53">
        <v>0</v>
      </c>
      <c r="D53">
        <v>0</v>
      </c>
      <c r="E53">
        <v>0</v>
      </c>
      <c r="F53">
        <v>0</v>
      </c>
      <c r="G53">
        <v>0</v>
      </c>
      <c r="H53">
        <v>0</v>
      </c>
      <c r="I53">
        <v>0</v>
      </c>
      <c r="J53">
        <v>0</v>
      </c>
    </row>
    <row r="54" spans="1:10" x14ac:dyDescent="0.25">
      <c r="A54">
        <v>2850</v>
      </c>
      <c r="B54">
        <v>2850</v>
      </c>
      <c r="C54">
        <v>0</v>
      </c>
      <c r="D54">
        <v>0</v>
      </c>
      <c r="E54">
        <v>0</v>
      </c>
      <c r="F54">
        <v>0</v>
      </c>
      <c r="G54">
        <v>0</v>
      </c>
      <c r="H54">
        <v>0</v>
      </c>
      <c r="I54">
        <v>0</v>
      </c>
      <c r="J54">
        <v>0</v>
      </c>
    </row>
    <row r="55" spans="1:10" x14ac:dyDescent="0.25">
      <c r="A55">
        <v>2875</v>
      </c>
      <c r="B55">
        <v>2875</v>
      </c>
      <c r="C55">
        <v>0</v>
      </c>
      <c r="D55">
        <v>0</v>
      </c>
      <c r="E55">
        <v>301</v>
      </c>
      <c r="F55">
        <v>0</v>
      </c>
      <c r="G55">
        <v>0</v>
      </c>
      <c r="H55">
        <v>0</v>
      </c>
      <c r="I55">
        <v>0</v>
      </c>
      <c r="J55">
        <v>301</v>
      </c>
    </row>
    <row r="56" spans="1:10" x14ac:dyDescent="0.25">
      <c r="A56">
        <v>2900</v>
      </c>
      <c r="B56">
        <v>2900</v>
      </c>
      <c r="C56">
        <v>0</v>
      </c>
      <c r="D56">
        <v>0</v>
      </c>
      <c r="E56">
        <v>280</v>
      </c>
      <c r="F56">
        <v>0</v>
      </c>
      <c r="G56">
        <v>0</v>
      </c>
      <c r="H56">
        <v>0</v>
      </c>
      <c r="I56">
        <v>0</v>
      </c>
      <c r="J56">
        <v>280</v>
      </c>
    </row>
    <row r="57" spans="1:10" x14ac:dyDescent="0.25">
      <c r="A57">
        <v>2925</v>
      </c>
      <c r="B57">
        <v>2925</v>
      </c>
      <c r="C57">
        <v>0</v>
      </c>
      <c r="D57">
        <v>0</v>
      </c>
      <c r="E57">
        <v>0</v>
      </c>
      <c r="F57">
        <v>0</v>
      </c>
      <c r="G57">
        <v>0</v>
      </c>
      <c r="H57">
        <v>0</v>
      </c>
      <c r="I57">
        <v>0</v>
      </c>
      <c r="J57">
        <v>0</v>
      </c>
    </row>
    <row r="58" spans="1:10" x14ac:dyDescent="0.25">
      <c r="A58">
        <v>2950</v>
      </c>
      <c r="B58">
        <v>2950</v>
      </c>
      <c r="C58">
        <v>0</v>
      </c>
      <c r="D58">
        <v>0</v>
      </c>
      <c r="E58">
        <v>20</v>
      </c>
      <c r="F58">
        <v>0</v>
      </c>
      <c r="G58">
        <v>0</v>
      </c>
      <c r="H58">
        <v>0</v>
      </c>
      <c r="I58">
        <v>0</v>
      </c>
      <c r="J58">
        <v>20</v>
      </c>
    </row>
    <row r="59" spans="1:10" x14ac:dyDescent="0.25">
      <c r="A59">
        <v>2975</v>
      </c>
      <c r="B59">
        <v>2975</v>
      </c>
      <c r="C59">
        <v>0</v>
      </c>
      <c r="D59">
        <v>0</v>
      </c>
      <c r="E59">
        <v>0</v>
      </c>
      <c r="F59">
        <v>0</v>
      </c>
      <c r="G59">
        <v>0</v>
      </c>
      <c r="H59">
        <v>0</v>
      </c>
      <c r="I59">
        <v>0</v>
      </c>
      <c r="J59">
        <v>0</v>
      </c>
    </row>
    <row r="60" spans="1:10" x14ac:dyDescent="0.25">
      <c r="A60">
        <v>3000</v>
      </c>
      <c r="B60">
        <v>3000</v>
      </c>
      <c r="C60">
        <v>0</v>
      </c>
      <c r="D60">
        <v>0</v>
      </c>
      <c r="E60">
        <v>1485</v>
      </c>
      <c r="F60">
        <v>0</v>
      </c>
      <c r="G60">
        <v>0</v>
      </c>
      <c r="H60">
        <v>0</v>
      </c>
      <c r="I60">
        <v>0</v>
      </c>
      <c r="J60">
        <v>1485</v>
      </c>
    </row>
    <row r="61" spans="1:10" x14ac:dyDescent="0.25">
      <c r="A61">
        <v>3025</v>
      </c>
      <c r="B61">
        <v>3025</v>
      </c>
      <c r="C61">
        <v>0</v>
      </c>
      <c r="D61">
        <v>0</v>
      </c>
      <c r="E61">
        <v>0</v>
      </c>
      <c r="F61">
        <v>0</v>
      </c>
      <c r="G61">
        <v>0</v>
      </c>
      <c r="H61">
        <v>0</v>
      </c>
      <c r="I61">
        <v>0</v>
      </c>
      <c r="J61">
        <v>0</v>
      </c>
    </row>
    <row r="62" spans="1:10" x14ac:dyDescent="0.25">
      <c r="A62">
        <v>3050</v>
      </c>
      <c r="B62">
        <v>3050</v>
      </c>
      <c r="C62">
        <v>0</v>
      </c>
      <c r="D62">
        <v>0</v>
      </c>
      <c r="E62">
        <v>250</v>
      </c>
      <c r="F62">
        <v>0</v>
      </c>
      <c r="G62">
        <v>0</v>
      </c>
      <c r="H62">
        <v>0</v>
      </c>
      <c r="I62">
        <v>0</v>
      </c>
      <c r="J62">
        <v>250</v>
      </c>
    </row>
    <row r="63" spans="1:10" x14ac:dyDescent="0.25">
      <c r="A63">
        <v>3075</v>
      </c>
      <c r="B63">
        <v>3075</v>
      </c>
      <c r="C63">
        <v>0</v>
      </c>
      <c r="D63">
        <v>0</v>
      </c>
      <c r="E63">
        <v>0</v>
      </c>
      <c r="F63">
        <v>0</v>
      </c>
      <c r="G63">
        <v>0</v>
      </c>
      <c r="H63">
        <v>0</v>
      </c>
      <c r="I63">
        <v>0</v>
      </c>
      <c r="J63">
        <v>0</v>
      </c>
    </row>
    <row r="64" spans="1:10" x14ac:dyDescent="0.25">
      <c r="A64">
        <v>3100</v>
      </c>
      <c r="B64">
        <v>3100</v>
      </c>
      <c r="C64">
        <v>0</v>
      </c>
      <c r="D64">
        <v>0</v>
      </c>
      <c r="E64">
        <v>361</v>
      </c>
      <c r="F64">
        <v>0</v>
      </c>
      <c r="G64">
        <v>0</v>
      </c>
      <c r="H64">
        <v>0</v>
      </c>
      <c r="I64">
        <v>0</v>
      </c>
      <c r="J64">
        <v>361</v>
      </c>
    </row>
    <row r="65" spans="1:10" x14ac:dyDescent="0.25">
      <c r="A65">
        <v>3125</v>
      </c>
      <c r="B65">
        <v>3125</v>
      </c>
      <c r="C65">
        <v>0</v>
      </c>
      <c r="D65">
        <v>0</v>
      </c>
      <c r="E65">
        <v>40</v>
      </c>
      <c r="F65">
        <v>0</v>
      </c>
      <c r="G65">
        <v>0</v>
      </c>
      <c r="H65">
        <v>0</v>
      </c>
      <c r="I65">
        <v>0</v>
      </c>
      <c r="J65">
        <v>40</v>
      </c>
    </row>
    <row r="66" spans="1:10" x14ac:dyDescent="0.25">
      <c r="A66">
        <v>3150</v>
      </c>
      <c r="B66">
        <v>3150</v>
      </c>
      <c r="C66">
        <v>0</v>
      </c>
      <c r="D66">
        <v>0</v>
      </c>
      <c r="E66">
        <v>224</v>
      </c>
      <c r="F66">
        <v>0</v>
      </c>
      <c r="G66">
        <v>0</v>
      </c>
      <c r="H66">
        <v>0</v>
      </c>
      <c r="I66">
        <v>0</v>
      </c>
      <c r="J66">
        <v>224</v>
      </c>
    </row>
    <row r="67" spans="1:10" x14ac:dyDescent="0.25">
      <c r="A67">
        <v>3175</v>
      </c>
      <c r="B67">
        <v>3175</v>
      </c>
      <c r="C67">
        <v>0</v>
      </c>
      <c r="D67">
        <v>0</v>
      </c>
      <c r="E67">
        <v>0</v>
      </c>
      <c r="F67">
        <v>0</v>
      </c>
      <c r="G67">
        <v>0</v>
      </c>
      <c r="H67">
        <v>0</v>
      </c>
      <c r="I67">
        <v>0</v>
      </c>
      <c r="J67">
        <v>0</v>
      </c>
    </row>
    <row r="68" spans="1:10" x14ac:dyDescent="0.25">
      <c r="A68">
        <v>3200</v>
      </c>
      <c r="B68">
        <v>3200</v>
      </c>
      <c r="C68">
        <v>0</v>
      </c>
      <c r="D68">
        <v>0</v>
      </c>
      <c r="E68">
        <v>763</v>
      </c>
      <c r="F68">
        <v>0</v>
      </c>
      <c r="G68">
        <v>0</v>
      </c>
      <c r="H68">
        <v>0</v>
      </c>
      <c r="I68">
        <v>0</v>
      </c>
      <c r="J68">
        <v>763</v>
      </c>
    </row>
    <row r="69" spans="1:10" x14ac:dyDescent="0.25">
      <c r="A69">
        <v>3225</v>
      </c>
      <c r="B69">
        <v>3225</v>
      </c>
      <c r="C69">
        <v>0</v>
      </c>
      <c r="D69">
        <v>0</v>
      </c>
      <c r="E69">
        <v>0</v>
      </c>
      <c r="F69">
        <v>0</v>
      </c>
      <c r="G69">
        <v>0</v>
      </c>
      <c r="H69">
        <v>0</v>
      </c>
      <c r="I69">
        <v>0</v>
      </c>
      <c r="J69">
        <v>0</v>
      </c>
    </row>
    <row r="70" spans="1:10" x14ac:dyDescent="0.25">
      <c r="A70">
        <v>3250</v>
      </c>
      <c r="B70">
        <v>3250</v>
      </c>
      <c r="C70">
        <v>0</v>
      </c>
      <c r="D70">
        <v>0</v>
      </c>
      <c r="E70">
        <v>4143</v>
      </c>
      <c r="F70">
        <v>0</v>
      </c>
      <c r="G70">
        <v>0</v>
      </c>
      <c r="H70">
        <v>0</v>
      </c>
      <c r="I70">
        <v>0</v>
      </c>
      <c r="J70">
        <v>4143</v>
      </c>
    </row>
    <row r="71" spans="1:10" x14ac:dyDescent="0.25">
      <c r="A71">
        <v>3275</v>
      </c>
      <c r="B71">
        <v>3275</v>
      </c>
      <c r="C71">
        <v>0</v>
      </c>
      <c r="D71">
        <v>0</v>
      </c>
      <c r="E71">
        <v>0</v>
      </c>
      <c r="F71">
        <v>0</v>
      </c>
      <c r="G71">
        <v>0</v>
      </c>
      <c r="H71">
        <v>0</v>
      </c>
      <c r="I71">
        <v>0</v>
      </c>
      <c r="J71">
        <v>0</v>
      </c>
    </row>
    <row r="72" spans="1:10" x14ac:dyDescent="0.25">
      <c r="A72">
        <v>3300</v>
      </c>
      <c r="B72">
        <v>3300</v>
      </c>
      <c r="C72">
        <v>0</v>
      </c>
      <c r="D72">
        <v>0</v>
      </c>
      <c r="E72">
        <v>3141</v>
      </c>
      <c r="F72">
        <v>0</v>
      </c>
      <c r="G72">
        <v>0</v>
      </c>
      <c r="H72">
        <v>0</v>
      </c>
      <c r="I72">
        <v>0</v>
      </c>
      <c r="J72">
        <v>3141</v>
      </c>
    </row>
    <row r="73" spans="1:10" x14ac:dyDescent="0.25">
      <c r="A73">
        <v>3325</v>
      </c>
      <c r="B73">
        <v>3325</v>
      </c>
      <c r="C73">
        <v>0</v>
      </c>
      <c r="D73">
        <v>0</v>
      </c>
      <c r="E73">
        <v>33</v>
      </c>
      <c r="F73">
        <v>0</v>
      </c>
      <c r="G73">
        <v>0</v>
      </c>
      <c r="H73">
        <v>0</v>
      </c>
      <c r="I73">
        <v>0</v>
      </c>
      <c r="J73">
        <v>33</v>
      </c>
    </row>
    <row r="74" spans="1:10" x14ac:dyDescent="0.25">
      <c r="A74">
        <v>3350</v>
      </c>
      <c r="B74">
        <v>3350</v>
      </c>
      <c r="C74">
        <v>0</v>
      </c>
      <c r="D74">
        <v>0</v>
      </c>
      <c r="E74">
        <v>6095</v>
      </c>
      <c r="F74">
        <v>0</v>
      </c>
      <c r="G74">
        <v>0</v>
      </c>
      <c r="H74">
        <v>0</v>
      </c>
      <c r="I74">
        <v>0</v>
      </c>
      <c r="J74">
        <v>6095</v>
      </c>
    </row>
    <row r="75" spans="1:10" x14ac:dyDescent="0.25">
      <c r="A75">
        <v>3375</v>
      </c>
      <c r="B75">
        <v>3375</v>
      </c>
      <c r="C75">
        <v>0</v>
      </c>
      <c r="D75">
        <v>0</v>
      </c>
      <c r="E75">
        <v>4</v>
      </c>
      <c r="F75">
        <v>0</v>
      </c>
      <c r="G75">
        <v>0</v>
      </c>
      <c r="H75">
        <v>0</v>
      </c>
      <c r="I75">
        <v>0</v>
      </c>
      <c r="J75">
        <v>4</v>
      </c>
    </row>
    <row r="76" spans="1:10" x14ac:dyDescent="0.25">
      <c r="A76">
        <v>3400</v>
      </c>
      <c r="B76">
        <v>3400</v>
      </c>
      <c r="C76">
        <v>0</v>
      </c>
      <c r="D76">
        <v>0</v>
      </c>
      <c r="E76">
        <v>12105</v>
      </c>
      <c r="F76">
        <v>0</v>
      </c>
      <c r="G76">
        <v>0</v>
      </c>
      <c r="H76">
        <v>0</v>
      </c>
      <c r="I76">
        <v>0</v>
      </c>
      <c r="J76">
        <v>12105</v>
      </c>
    </row>
    <row r="77" spans="1:10" x14ac:dyDescent="0.25">
      <c r="A77">
        <v>3425</v>
      </c>
      <c r="B77">
        <v>3425</v>
      </c>
      <c r="C77">
        <v>0</v>
      </c>
      <c r="D77">
        <v>0</v>
      </c>
      <c r="E77">
        <v>1</v>
      </c>
      <c r="F77">
        <v>0</v>
      </c>
      <c r="G77">
        <v>0</v>
      </c>
      <c r="H77">
        <v>0</v>
      </c>
      <c r="I77">
        <v>0</v>
      </c>
      <c r="J77">
        <v>1</v>
      </c>
    </row>
    <row r="78" spans="1:10" x14ac:dyDescent="0.25">
      <c r="A78">
        <v>3450</v>
      </c>
      <c r="B78">
        <v>3450</v>
      </c>
      <c r="C78">
        <v>0</v>
      </c>
      <c r="D78">
        <v>0</v>
      </c>
      <c r="E78">
        <v>385</v>
      </c>
      <c r="F78">
        <v>0</v>
      </c>
      <c r="G78">
        <v>0</v>
      </c>
      <c r="H78">
        <v>0</v>
      </c>
      <c r="I78">
        <v>0</v>
      </c>
      <c r="J78">
        <v>385</v>
      </c>
    </row>
    <row r="79" spans="1:10" x14ac:dyDescent="0.25">
      <c r="A79">
        <v>3475</v>
      </c>
      <c r="B79">
        <v>3475</v>
      </c>
      <c r="C79">
        <v>0</v>
      </c>
      <c r="D79">
        <v>0</v>
      </c>
      <c r="E79">
        <v>0</v>
      </c>
      <c r="F79">
        <v>0</v>
      </c>
      <c r="G79">
        <v>0</v>
      </c>
      <c r="H79">
        <v>0</v>
      </c>
      <c r="I79">
        <v>0</v>
      </c>
      <c r="J79">
        <v>0</v>
      </c>
    </row>
    <row r="80" spans="1:10" x14ac:dyDescent="0.25">
      <c r="A80">
        <v>3500</v>
      </c>
      <c r="B80">
        <v>3500</v>
      </c>
      <c r="C80">
        <v>0</v>
      </c>
      <c r="D80">
        <v>0</v>
      </c>
      <c r="E80">
        <v>15586</v>
      </c>
      <c r="F80">
        <v>0</v>
      </c>
      <c r="G80">
        <v>0</v>
      </c>
      <c r="H80">
        <v>0</v>
      </c>
      <c r="I80">
        <v>0</v>
      </c>
      <c r="J80">
        <v>15586</v>
      </c>
    </row>
    <row r="81" spans="1:10" x14ac:dyDescent="0.25">
      <c r="A81">
        <v>3525</v>
      </c>
      <c r="B81">
        <v>3525</v>
      </c>
      <c r="C81">
        <v>0</v>
      </c>
      <c r="D81">
        <v>0</v>
      </c>
      <c r="E81">
        <v>98</v>
      </c>
      <c r="F81">
        <v>0</v>
      </c>
      <c r="G81">
        <v>0</v>
      </c>
      <c r="H81">
        <v>0</v>
      </c>
      <c r="I81">
        <v>0</v>
      </c>
      <c r="J81">
        <v>98</v>
      </c>
    </row>
    <row r="82" spans="1:10" x14ac:dyDescent="0.25">
      <c r="A82">
        <v>3550</v>
      </c>
      <c r="B82">
        <v>3550</v>
      </c>
      <c r="C82">
        <v>0</v>
      </c>
      <c r="D82">
        <v>0</v>
      </c>
      <c r="E82">
        <v>646</v>
      </c>
      <c r="F82">
        <v>0</v>
      </c>
      <c r="G82">
        <v>0</v>
      </c>
      <c r="H82">
        <v>0</v>
      </c>
      <c r="I82">
        <v>0</v>
      </c>
      <c r="J82">
        <v>646</v>
      </c>
    </row>
    <row r="83" spans="1:10" x14ac:dyDescent="0.25">
      <c r="A83">
        <v>3575</v>
      </c>
      <c r="B83">
        <v>3575</v>
      </c>
      <c r="C83">
        <v>0</v>
      </c>
      <c r="D83">
        <v>0</v>
      </c>
      <c r="E83">
        <v>625</v>
      </c>
      <c r="F83">
        <v>0</v>
      </c>
      <c r="G83">
        <v>0</v>
      </c>
      <c r="H83">
        <v>0</v>
      </c>
      <c r="I83">
        <v>0</v>
      </c>
      <c r="J83">
        <v>625</v>
      </c>
    </row>
    <row r="84" spans="1:10" x14ac:dyDescent="0.25">
      <c r="A84">
        <v>3600</v>
      </c>
      <c r="B84">
        <v>3600</v>
      </c>
      <c r="C84">
        <v>0</v>
      </c>
      <c r="D84">
        <v>0</v>
      </c>
      <c r="E84">
        <v>11855</v>
      </c>
      <c r="F84">
        <v>0</v>
      </c>
      <c r="G84">
        <v>0</v>
      </c>
      <c r="H84">
        <v>0</v>
      </c>
      <c r="I84">
        <v>0</v>
      </c>
      <c r="J84">
        <v>11855</v>
      </c>
    </row>
    <row r="85" spans="1:10" x14ac:dyDescent="0.25">
      <c r="A85">
        <v>3625</v>
      </c>
      <c r="B85">
        <v>3625</v>
      </c>
      <c r="C85">
        <v>0</v>
      </c>
      <c r="D85">
        <v>0</v>
      </c>
      <c r="E85">
        <v>52</v>
      </c>
      <c r="F85">
        <v>0</v>
      </c>
      <c r="G85">
        <v>0</v>
      </c>
      <c r="H85">
        <v>0</v>
      </c>
      <c r="I85">
        <v>0</v>
      </c>
      <c r="J85">
        <v>52</v>
      </c>
    </row>
    <row r="86" spans="1:10" x14ac:dyDescent="0.25">
      <c r="A86">
        <v>3650</v>
      </c>
      <c r="B86">
        <v>3650</v>
      </c>
      <c r="C86">
        <v>0</v>
      </c>
      <c r="D86">
        <v>0</v>
      </c>
      <c r="E86">
        <v>745</v>
      </c>
      <c r="F86">
        <v>0</v>
      </c>
      <c r="G86">
        <v>0</v>
      </c>
      <c r="H86">
        <v>0</v>
      </c>
      <c r="I86">
        <v>0</v>
      </c>
      <c r="J86">
        <v>745</v>
      </c>
    </row>
    <row r="87" spans="1:10" x14ac:dyDescent="0.25">
      <c r="A87">
        <v>3675</v>
      </c>
      <c r="B87">
        <v>3675</v>
      </c>
      <c r="C87">
        <v>0</v>
      </c>
      <c r="D87">
        <v>0</v>
      </c>
      <c r="E87">
        <v>0</v>
      </c>
      <c r="F87">
        <v>0</v>
      </c>
      <c r="G87">
        <v>0</v>
      </c>
      <c r="H87">
        <v>0</v>
      </c>
      <c r="I87">
        <v>0</v>
      </c>
      <c r="J87">
        <v>0</v>
      </c>
    </row>
    <row r="88" spans="1:10" x14ac:dyDescent="0.25">
      <c r="A88">
        <v>3700</v>
      </c>
      <c r="B88">
        <v>3700</v>
      </c>
      <c r="C88">
        <v>0</v>
      </c>
      <c r="D88">
        <v>150</v>
      </c>
      <c r="E88">
        <v>14980</v>
      </c>
      <c r="F88">
        <v>0</v>
      </c>
      <c r="G88">
        <v>0</v>
      </c>
      <c r="H88">
        <v>0</v>
      </c>
      <c r="I88">
        <v>0</v>
      </c>
      <c r="J88">
        <v>14980</v>
      </c>
    </row>
    <row r="89" spans="1:10" x14ac:dyDescent="0.25">
      <c r="A89">
        <v>3725</v>
      </c>
      <c r="B89">
        <v>3725</v>
      </c>
      <c r="C89">
        <v>0</v>
      </c>
      <c r="D89">
        <v>0</v>
      </c>
      <c r="E89">
        <v>42</v>
      </c>
      <c r="F89">
        <v>0</v>
      </c>
      <c r="G89">
        <v>0</v>
      </c>
      <c r="H89">
        <v>0</v>
      </c>
      <c r="I89">
        <v>0</v>
      </c>
      <c r="J89">
        <v>42</v>
      </c>
    </row>
    <row r="90" spans="1:10" x14ac:dyDescent="0.25">
      <c r="A90">
        <v>3750</v>
      </c>
      <c r="B90">
        <v>3750</v>
      </c>
      <c r="C90">
        <v>0</v>
      </c>
      <c r="D90">
        <v>165</v>
      </c>
      <c r="E90">
        <v>9702</v>
      </c>
      <c r="F90">
        <v>575</v>
      </c>
      <c r="G90">
        <v>575</v>
      </c>
      <c r="H90">
        <v>571</v>
      </c>
      <c r="I90">
        <v>571</v>
      </c>
      <c r="J90">
        <v>9702</v>
      </c>
    </row>
    <row r="91" spans="1:10" x14ac:dyDescent="0.25">
      <c r="A91">
        <v>3775</v>
      </c>
      <c r="B91">
        <v>3775</v>
      </c>
      <c r="C91">
        <v>0</v>
      </c>
      <c r="D91">
        <v>0</v>
      </c>
      <c r="E91">
        <v>138</v>
      </c>
      <c r="F91">
        <v>0</v>
      </c>
      <c r="G91">
        <v>0</v>
      </c>
      <c r="H91">
        <v>0</v>
      </c>
      <c r="I91">
        <v>0</v>
      </c>
      <c r="J91">
        <v>138</v>
      </c>
    </row>
    <row r="92" spans="1:10" x14ac:dyDescent="0.25">
      <c r="A92">
        <v>3800</v>
      </c>
      <c r="B92">
        <v>3800</v>
      </c>
      <c r="C92">
        <v>0</v>
      </c>
      <c r="D92">
        <v>0</v>
      </c>
      <c r="E92">
        <v>10560</v>
      </c>
      <c r="F92">
        <v>0</v>
      </c>
      <c r="G92">
        <v>0</v>
      </c>
      <c r="H92">
        <v>0</v>
      </c>
      <c r="I92">
        <v>0</v>
      </c>
      <c r="J92">
        <v>10560</v>
      </c>
    </row>
    <row r="93" spans="1:10" x14ac:dyDescent="0.25">
      <c r="A93">
        <v>3825</v>
      </c>
      <c r="B93">
        <v>3825</v>
      </c>
      <c r="C93">
        <v>0</v>
      </c>
      <c r="D93">
        <v>0</v>
      </c>
      <c r="E93">
        <v>44</v>
      </c>
      <c r="F93">
        <v>0</v>
      </c>
      <c r="G93">
        <v>0</v>
      </c>
      <c r="H93">
        <v>0</v>
      </c>
      <c r="I93">
        <v>0</v>
      </c>
      <c r="J93">
        <v>44</v>
      </c>
    </row>
    <row r="94" spans="1:10" x14ac:dyDescent="0.25">
      <c r="A94">
        <v>3850</v>
      </c>
      <c r="B94">
        <v>3850</v>
      </c>
      <c r="C94">
        <v>0</v>
      </c>
      <c r="D94">
        <v>0</v>
      </c>
      <c r="E94">
        <v>13234</v>
      </c>
      <c r="F94">
        <v>0</v>
      </c>
      <c r="G94">
        <v>0</v>
      </c>
      <c r="H94">
        <v>0</v>
      </c>
      <c r="I94">
        <v>0</v>
      </c>
      <c r="J94">
        <v>13234</v>
      </c>
    </row>
    <row r="95" spans="1:10" x14ac:dyDescent="0.25">
      <c r="A95">
        <v>3875</v>
      </c>
      <c r="B95">
        <v>3875</v>
      </c>
      <c r="C95">
        <v>0</v>
      </c>
      <c r="D95">
        <v>0</v>
      </c>
      <c r="E95">
        <v>490</v>
      </c>
      <c r="F95">
        <v>0</v>
      </c>
      <c r="G95">
        <v>0</v>
      </c>
      <c r="H95">
        <v>0</v>
      </c>
      <c r="I95">
        <v>0</v>
      </c>
      <c r="J95">
        <v>490</v>
      </c>
    </row>
    <row r="96" spans="1:10" x14ac:dyDescent="0.25">
      <c r="A96">
        <v>3900</v>
      </c>
      <c r="B96">
        <v>3900</v>
      </c>
      <c r="C96">
        <v>0</v>
      </c>
      <c r="D96">
        <v>0</v>
      </c>
      <c r="E96">
        <v>26935</v>
      </c>
      <c r="F96">
        <v>0</v>
      </c>
      <c r="G96">
        <v>0</v>
      </c>
      <c r="H96">
        <v>0</v>
      </c>
      <c r="I96">
        <v>0</v>
      </c>
      <c r="J96">
        <v>26935</v>
      </c>
    </row>
    <row r="97" spans="1:10" x14ac:dyDescent="0.25">
      <c r="A97">
        <v>3925</v>
      </c>
      <c r="B97">
        <v>3925</v>
      </c>
      <c r="C97">
        <v>0</v>
      </c>
      <c r="D97">
        <v>0</v>
      </c>
      <c r="E97">
        <v>398</v>
      </c>
      <c r="F97">
        <v>0</v>
      </c>
      <c r="G97">
        <v>0</v>
      </c>
      <c r="H97">
        <v>0</v>
      </c>
      <c r="I97">
        <v>0</v>
      </c>
      <c r="J97">
        <v>398</v>
      </c>
    </row>
    <row r="98" spans="1:10" x14ac:dyDescent="0.25">
      <c r="A98">
        <v>3950</v>
      </c>
      <c r="B98">
        <v>3950</v>
      </c>
      <c r="C98">
        <v>0</v>
      </c>
      <c r="D98">
        <v>0</v>
      </c>
      <c r="E98">
        <v>12490</v>
      </c>
      <c r="F98">
        <v>0</v>
      </c>
      <c r="G98">
        <v>0</v>
      </c>
      <c r="H98">
        <v>0</v>
      </c>
      <c r="I98">
        <v>0</v>
      </c>
      <c r="J98">
        <v>12490</v>
      </c>
    </row>
    <row r="99" spans="1:10" x14ac:dyDescent="0.25">
      <c r="A99">
        <v>3975</v>
      </c>
      <c r="B99">
        <v>3975</v>
      </c>
      <c r="C99">
        <v>0</v>
      </c>
      <c r="D99">
        <v>0</v>
      </c>
      <c r="E99">
        <v>266</v>
      </c>
      <c r="F99">
        <v>0</v>
      </c>
      <c r="G99">
        <v>0</v>
      </c>
      <c r="H99">
        <v>0</v>
      </c>
      <c r="I99">
        <v>0</v>
      </c>
      <c r="J99">
        <v>266</v>
      </c>
    </row>
    <row r="100" spans="1:10" x14ac:dyDescent="0.25">
      <c r="A100">
        <v>4000</v>
      </c>
      <c r="B100">
        <v>4000</v>
      </c>
      <c r="C100">
        <v>0</v>
      </c>
      <c r="D100">
        <v>0</v>
      </c>
      <c r="E100">
        <v>53628</v>
      </c>
      <c r="F100">
        <v>0</v>
      </c>
      <c r="G100">
        <v>0</v>
      </c>
      <c r="H100">
        <v>0</v>
      </c>
      <c r="I100">
        <v>0</v>
      </c>
      <c r="J100">
        <v>53628</v>
      </c>
    </row>
    <row r="101" spans="1:10" x14ac:dyDescent="0.25">
      <c r="A101">
        <v>4025</v>
      </c>
      <c r="B101">
        <v>4025</v>
      </c>
      <c r="C101">
        <v>0</v>
      </c>
      <c r="D101">
        <v>0</v>
      </c>
      <c r="E101">
        <v>1091</v>
      </c>
      <c r="F101">
        <v>0</v>
      </c>
      <c r="G101">
        <v>0</v>
      </c>
      <c r="H101">
        <v>0</v>
      </c>
      <c r="I101">
        <v>0</v>
      </c>
      <c r="J101">
        <v>1091</v>
      </c>
    </row>
    <row r="102" spans="1:10" x14ac:dyDescent="0.25">
      <c r="A102">
        <v>4050</v>
      </c>
      <c r="B102">
        <v>4050</v>
      </c>
      <c r="C102">
        <v>0</v>
      </c>
      <c r="D102">
        <v>0</v>
      </c>
      <c r="E102">
        <v>12116</v>
      </c>
      <c r="F102">
        <v>0</v>
      </c>
      <c r="G102">
        <v>0</v>
      </c>
      <c r="H102">
        <v>0</v>
      </c>
      <c r="I102">
        <v>0</v>
      </c>
      <c r="J102">
        <v>12116</v>
      </c>
    </row>
    <row r="103" spans="1:10" x14ac:dyDescent="0.25">
      <c r="A103">
        <v>4075</v>
      </c>
      <c r="B103">
        <v>4075</v>
      </c>
      <c r="C103">
        <v>0</v>
      </c>
      <c r="D103">
        <v>0</v>
      </c>
      <c r="E103">
        <v>1789</v>
      </c>
      <c r="F103">
        <v>0</v>
      </c>
      <c r="G103">
        <v>0</v>
      </c>
      <c r="H103">
        <v>0</v>
      </c>
      <c r="I103">
        <v>0</v>
      </c>
      <c r="J103">
        <v>1789</v>
      </c>
    </row>
    <row r="104" spans="1:10" x14ac:dyDescent="0.25">
      <c r="A104">
        <v>4100</v>
      </c>
      <c r="B104">
        <v>4100</v>
      </c>
      <c r="C104">
        <v>0</v>
      </c>
      <c r="D104">
        <v>1</v>
      </c>
      <c r="E104">
        <v>29671</v>
      </c>
      <c r="F104">
        <v>188.2</v>
      </c>
      <c r="G104">
        <v>188.2</v>
      </c>
      <c r="H104">
        <v>188.2</v>
      </c>
      <c r="I104">
        <v>188.2</v>
      </c>
      <c r="J104">
        <v>29671</v>
      </c>
    </row>
    <row r="105" spans="1:10" x14ac:dyDescent="0.25">
      <c r="A105">
        <v>4125</v>
      </c>
      <c r="B105">
        <v>4125</v>
      </c>
      <c r="C105">
        <v>0</v>
      </c>
      <c r="D105">
        <v>1</v>
      </c>
      <c r="E105">
        <v>6520</v>
      </c>
      <c r="F105">
        <v>0</v>
      </c>
      <c r="G105">
        <v>0</v>
      </c>
      <c r="H105">
        <v>0</v>
      </c>
      <c r="I105">
        <v>0</v>
      </c>
      <c r="J105">
        <v>6520</v>
      </c>
    </row>
    <row r="106" spans="1:10" x14ac:dyDescent="0.25">
      <c r="A106">
        <v>4150</v>
      </c>
      <c r="B106">
        <v>4150</v>
      </c>
      <c r="C106">
        <v>0</v>
      </c>
      <c r="D106">
        <v>0</v>
      </c>
      <c r="E106">
        <v>12899</v>
      </c>
      <c r="F106">
        <v>0</v>
      </c>
      <c r="G106">
        <v>0</v>
      </c>
      <c r="H106">
        <v>0</v>
      </c>
      <c r="I106">
        <v>0</v>
      </c>
      <c r="J106">
        <v>12899</v>
      </c>
    </row>
    <row r="107" spans="1:10" x14ac:dyDescent="0.25">
      <c r="A107">
        <v>4175</v>
      </c>
      <c r="B107">
        <v>4175</v>
      </c>
      <c r="C107">
        <v>0</v>
      </c>
      <c r="D107">
        <v>0</v>
      </c>
      <c r="E107">
        <v>2333</v>
      </c>
      <c r="F107">
        <v>0</v>
      </c>
      <c r="G107">
        <v>0</v>
      </c>
      <c r="H107">
        <v>0</v>
      </c>
      <c r="I107">
        <v>0</v>
      </c>
      <c r="J107">
        <v>2333</v>
      </c>
    </row>
    <row r="108" spans="1:10" x14ac:dyDescent="0.25">
      <c r="A108">
        <v>4200</v>
      </c>
      <c r="B108">
        <v>4200</v>
      </c>
      <c r="C108">
        <v>0</v>
      </c>
      <c r="D108">
        <v>1</v>
      </c>
      <c r="E108">
        <v>53314</v>
      </c>
      <c r="F108">
        <v>0</v>
      </c>
      <c r="G108">
        <v>0</v>
      </c>
      <c r="H108">
        <v>0</v>
      </c>
      <c r="I108">
        <v>0</v>
      </c>
      <c r="J108">
        <v>53314</v>
      </c>
    </row>
    <row r="109" spans="1:10" x14ac:dyDescent="0.25">
      <c r="A109">
        <v>4225</v>
      </c>
      <c r="B109">
        <v>4225</v>
      </c>
      <c r="C109">
        <v>0</v>
      </c>
      <c r="D109">
        <v>1413</v>
      </c>
      <c r="E109">
        <v>9607</v>
      </c>
      <c r="F109">
        <v>95</v>
      </c>
      <c r="G109">
        <v>95</v>
      </c>
      <c r="H109">
        <v>82.7</v>
      </c>
      <c r="I109">
        <v>82.7</v>
      </c>
      <c r="J109">
        <v>9607</v>
      </c>
    </row>
    <row r="110" spans="1:10" x14ac:dyDescent="0.25">
      <c r="A110">
        <v>4250</v>
      </c>
      <c r="B110">
        <v>4250</v>
      </c>
      <c r="C110">
        <v>0</v>
      </c>
      <c r="D110">
        <v>576</v>
      </c>
      <c r="E110">
        <v>25696</v>
      </c>
      <c r="F110">
        <v>76.099999999999994</v>
      </c>
      <c r="G110">
        <v>77.8</v>
      </c>
      <c r="H110">
        <v>61.7</v>
      </c>
      <c r="I110">
        <v>62.1</v>
      </c>
      <c r="J110">
        <v>25696</v>
      </c>
    </row>
    <row r="111" spans="1:10" x14ac:dyDescent="0.25">
      <c r="A111">
        <v>4275</v>
      </c>
      <c r="B111">
        <v>4275</v>
      </c>
      <c r="C111">
        <v>0</v>
      </c>
      <c r="D111">
        <v>80</v>
      </c>
      <c r="E111">
        <v>23708</v>
      </c>
      <c r="F111">
        <v>72</v>
      </c>
      <c r="G111">
        <v>74.2</v>
      </c>
      <c r="H111">
        <v>46.6</v>
      </c>
      <c r="I111">
        <v>46.6</v>
      </c>
      <c r="J111">
        <v>23708</v>
      </c>
    </row>
    <row r="112" spans="1:10" x14ac:dyDescent="0.25">
      <c r="A112">
        <v>4300</v>
      </c>
      <c r="B112">
        <v>4300</v>
      </c>
      <c r="C112">
        <v>0</v>
      </c>
      <c r="D112">
        <v>2374</v>
      </c>
      <c r="E112">
        <v>106167</v>
      </c>
      <c r="F112">
        <v>50.7</v>
      </c>
      <c r="G112">
        <v>50.7</v>
      </c>
      <c r="H112">
        <v>34</v>
      </c>
      <c r="I112">
        <v>35</v>
      </c>
      <c r="J112">
        <v>106167</v>
      </c>
    </row>
    <row r="113" spans="1:10" x14ac:dyDescent="0.25">
      <c r="A113">
        <v>4325</v>
      </c>
      <c r="B113">
        <v>4325</v>
      </c>
      <c r="C113">
        <v>0</v>
      </c>
      <c r="D113">
        <v>2575</v>
      </c>
      <c r="E113">
        <v>27258</v>
      </c>
      <c r="F113">
        <v>36.5</v>
      </c>
      <c r="G113">
        <v>42.9</v>
      </c>
      <c r="H113">
        <v>28.5</v>
      </c>
      <c r="I113">
        <v>28.5</v>
      </c>
      <c r="J113">
        <v>27258</v>
      </c>
    </row>
    <row r="114" spans="1:10" x14ac:dyDescent="0.25">
      <c r="A114">
        <v>4350</v>
      </c>
      <c r="B114">
        <v>4350</v>
      </c>
      <c r="C114">
        <v>0</v>
      </c>
      <c r="D114">
        <v>9033</v>
      </c>
      <c r="E114">
        <v>67179</v>
      </c>
      <c r="F114">
        <v>23.9</v>
      </c>
      <c r="G114">
        <v>31.5</v>
      </c>
      <c r="H114">
        <v>15.8</v>
      </c>
      <c r="I114">
        <v>16.600000000000001</v>
      </c>
      <c r="J114">
        <v>67179</v>
      </c>
    </row>
    <row r="115" spans="1:10" x14ac:dyDescent="0.25">
      <c r="A115">
        <v>4375</v>
      </c>
      <c r="B115">
        <v>4375</v>
      </c>
      <c r="C115">
        <v>0</v>
      </c>
      <c r="D115">
        <v>549</v>
      </c>
      <c r="E115">
        <v>20192</v>
      </c>
      <c r="F115">
        <v>17.100000000000001</v>
      </c>
      <c r="G115">
        <v>21</v>
      </c>
      <c r="H115">
        <v>10.5</v>
      </c>
      <c r="I115">
        <v>10.5</v>
      </c>
      <c r="J115">
        <v>20192</v>
      </c>
    </row>
    <row r="116" spans="1:10" x14ac:dyDescent="0.25">
      <c r="A116">
        <v>4400</v>
      </c>
      <c r="B116">
        <v>4400</v>
      </c>
      <c r="C116">
        <v>0</v>
      </c>
      <c r="D116">
        <v>7107</v>
      </c>
      <c r="E116">
        <v>76184</v>
      </c>
      <c r="F116">
        <v>11.5</v>
      </c>
      <c r="G116">
        <v>14.6</v>
      </c>
      <c r="H116">
        <v>6.6</v>
      </c>
      <c r="I116">
        <v>6.8</v>
      </c>
      <c r="J116">
        <v>76184</v>
      </c>
    </row>
    <row r="117" spans="1:10" x14ac:dyDescent="0.25">
      <c r="A117">
        <v>4425</v>
      </c>
      <c r="B117">
        <v>4425</v>
      </c>
      <c r="C117">
        <v>0</v>
      </c>
      <c r="D117">
        <v>731</v>
      </c>
      <c r="E117">
        <v>15624</v>
      </c>
      <c r="F117">
        <v>8.8000000000000007</v>
      </c>
      <c r="G117">
        <v>8.8000000000000007</v>
      </c>
      <c r="H117">
        <v>4.3</v>
      </c>
      <c r="I117">
        <v>4.4000000000000004</v>
      </c>
      <c r="J117">
        <v>15624</v>
      </c>
    </row>
    <row r="118" spans="1:10" x14ac:dyDescent="0.25">
      <c r="A118">
        <v>4450</v>
      </c>
      <c r="B118">
        <v>4450</v>
      </c>
      <c r="C118">
        <v>0</v>
      </c>
      <c r="D118">
        <v>3492</v>
      </c>
      <c r="E118">
        <v>58823</v>
      </c>
      <c r="F118">
        <v>4.4000000000000004</v>
      </c>
      <c r="G118">
        <v>5.9</v>
      </c>
      <c r="H118">
        <v>2.9</v>
      </c>
      <c r="I118">
        <v>2.9</v>
      </c>
      <c r="J118">
        <v>58823</v>
      </c>
    </row>
    <row r="119" spans="1:10" x14ac:dyDescent="0.25">
      <c r="A119">
        <v>4475</v>
      </c>
      <c r="B119">
        <v>4475</v>
      </c>
      <c r="C119">
        <v>0</v>
      </c>
      <c r="D119">
        <v>1586</v>
      </c>
      <c r="E119">
        <v>30161</v>
      </c>
      <c r="F119">
        <v>3.3</v>
      </c>
      <c r="G119">
        <v>3.7</v>
      </c>
      <c r="H119">
        <v>1.8</v>
      </c>
      <c r="I119">
        <v>1.8</v>
      </c>
      <c r="J119">
        <v>30161</v>
      </c>
    </row>
    <row r="120" spans="1:10" x14ac:dyDescent="0.25">
      <c r="A120">
        <v>4500</v>
      </c>
      <c r="B120">
        <v>4500</v>
      </c>
      <c r="C120">
        <v>0</v>
      </c>
      <c r="D120">
        <v>16028</v>
      </c>
      <c r="E120">
        <v>158047</v>
      </c>
      <c r="F120">
        <v>2</v>
      </c>
      <c r="G120">
        <v>2.6</v>
      </c>
      <c r="H120">
        <v>1.2</v>
      </c>
      <c r="I120">
        <v>1.2</v>
      </c>
      <c r="J120">
        <v>158047</v>
      </c>
    </row>
    <row r="121" spans="1:10" x14ac:dyDescent="0.25">
      <c r="A121">
        <v>4525</v>
      </c>
      <c r="B121">
        <v>4525</v>
      </c>
      <c r="C121">
        <v>0</v>
      </c>
      <c r="D121">
        <v>15</v>
      </c>
      <c r="E121">
        <v>29403</v>
      </c>
      <c r="F121">
        <v>1.5</v>
      </c>
      <c r="G121">
        <v>1.5</v>
      </c>
      <c r="H121">
        <v>1.3</v>
      </c>
      <c r="I121">
        <v>1.3</v>
      </c>
      <c r="J121">
        <v>29403</v>
      </c>
    </row>
    <row r="122" spans="1:10" x14ac:dyDescent="0.25">
      <c r="A122">
        <v>4550</v>
      </c>
      <c r="B122">
        <v>4550</v>
      </c>
      <c r="C122">
        <v>0</v>
      </c>
      <c r="D122">
        <v>0</v>
      </c>
      <c r="E122">
        <v>111851</v>
      </c>
      <c r="F122">
        <v>0</v>
      </c>
      <c r="G122">
        <v>0</v>
      </c>
      <c r="H122">
        <v>0</v>
      </c>
      <c r="I122">
        <v>0</v>
      </c>
      <c r="J122">
        <v>111851</v>
      </c>
    </row>
    <row r="123" spans="1:10" x14ac:dyDescent="0.25">
      <c r="A123">
        <v>4575</v>
      </c>
      <c r="B123">
        <v>4575</v>
      </c>
      <c r="C123">
        <v>0</v>
      </c>
      <c r="D123">
        <v>214</v>
      </c>
      <c r="E123">
        <v>20222</v>
      </c>
      <c r="F123">
        <v>0.8</v>
      </c>
      <c r="G123">
        <v>0.9</v>
      </c>
      <c r="H123">
        <v>0.8</v>
      </c>
      <c r="I123">
        <v>0.9</v>
      </c>
      <c r="J123">
        <v>20222</v>
      </c>
    </row>
    <row r="124" spans="1:10" x14ac:dyDescent="0.25">
      <c r="A124">
        <v>4600</v>
      </c>
      <c r="B124">
        <v>4600</v>
      </c>
      <c r="C124">
        <v>0</v>
      </c>
      <c r="D124">
        <v>897</v>
      </c>
      <c r="E124">
        <v>121528</v>
      </c>
      <c r="F124">
        <v>0.7</v>
      </c>
      <c r="G124">
        <v>0.7</v>
      </c>
      <c r="H124">
        <v>0.7</v>
      </c>
      <c r="I124">
        <v>0.7</v>
      </c>
      <c r="J124">
        <v>121528</v>
      </c>
    </row>
    <row r="125" spans="1:10" x14ac:dyDescent="0.25">
      <c r="A125">
        <v>4625</v>
      </c>
      <c r="B125">
        <v>4625</v>
      </c>
      <c r="C125">
        <v>0</v>
      </c>
      <c r="D125">
        <v>1000</v>
      </c>
      <c r="E125">
        <v>34669</v>
      </c>
      <c r="F125">
        <v>0.6</v>
      </c>
      <c r="G125">
        <v>0.6</v>
      </c>
      <c r="H125">
        <v>0.6</v>
      </c>
      <c r="I125">
        <v>0.6</v>
      </c>
      <c r="J125">
        <v>34669</v>
      </c>
    </row>
    <row r="126" spans="1:10" x14ac:dyDescent="0.25">
      <c r="A126">
        <v>4650</v>
      </c>
      <c r="B126">
        <v>4650</v>
      </c>
      <c r="C126">
        <v>0</v>
      </c>
      <c r="D126">
        <v>1046</v>
      </c>
      <c r="E126">
        <v>133941</v>
      </c>
      <c r="F126">
        <v>0.4</v>
      </c>
      <c r="G126">
        <v>0.5</v>
      </c>
      <c r="H126">
        <v>0.4</v>
      </c>
      <c r="I126">
        <v>0.5</v>
      </c>
      <c r="J126">
        <v>133941</v>
      </c>
    </row>
    <row r="127" spans="1:10" x14ac:dyDescent="0.25">
      <c r="A127">
        <v>4675</v>
      </c>
      <c r="B127">
        <v>4675</v>
      </c>
      <c r="C127">
        <v>0</v>
      </c>
      <c r="D127">
        <v>0</v>
      </c>
      <c r="E127">
        <v>10311</v>
      </c>
      <c r="F127">
        <v>0</v>
      </c>
      <c r="G127">
        <v>0</v>
      </c>
      <c r="H127">
        <v>0</v>
      </c>
      <c r="I127">
        <v>0</v>
      </c>
      <c r="J127">
        <v>10311</v>
      </c>
    </row>
    <row r="128" spans="1:10" x14ac:dyDescent="0.25">
      <c r="A128">
        <v>4700</v>
      </c>
      <c r="B128">
        <v>4700</v>
      </c>
      <c r="C128">
        <v>0</v>
      </c>
      <c r="D128">
        <v>1</v>
      </c>
      <c r="E128">
        <v>90769</v>
      </c>
      <c r="F128">
        <v>0.3</v>
      </c>
      <c r="G128">
        <v>0.3</v>
      </c>
      <c r="H128">
        <v>0.3</v>
      </c>
      <c r="I128">
        <v>0.3</v>
      </c>
      <c r="J128">
        <v>90769</v>
      </c>
    </row>
    <row r="129" spans="1:10" x14ac:dyDescent="0.25">
      <c r="A129">
        <v>4725</v>
      </c>
      <c r="B129">
        <v>4725</v>
      </c>
      <c r="C129">
        <v>0</v>
      </c>
      <c r="D129">
        <v>300</v>
      </c>
      <c r="E129">
        <v>6051</v>
      </c>
      <c r="F129">
        <v>0.2</v>
      </c>
      <c r="G129">
        <v>0.2</v>
      </c>
      <c r="H129">
        <v>0.2</v>
      </c>
      <c r="I129">
        <v>0.2</v>
      </c>
      <c r="J129">
        <v>6051</v>
      </c>
    </row>
    <row r="130" spans="1:10" x14ac:dyDescent="0.25">
      <c r="A130">
        <v>4750</v>
      </c>
      <c r="B130">
        <v>4750</v>
      </c>
      <c r="C130">
        <v>0</v>
      </c>
      <c r="D130">
        <v>0</v>
      </c>
      <c r="E130">
        <v>34105</v>
      </c>
      <c r="F130">
        <v>0</v>
      </c>
      <c r="G130">
        <v>0</v>
      </c>
      <c r="H130">
        <v>0</v>
      </c>
      <c r="I130">
        <v>0</v>
      </c>
      <c r="J130">
        <v>34105</v>
      </c>
    </row>
    <row r="131" spans="1:10" x14ac:dyDescent="0.25">
      <c r="A131">
        <v>4775</v>
      </c>
      <c r="B131">
        <v>4775</v>
      </c>
      <c r="C131">
        <v>0</v>
      </c>
      <c r="D131">
        <v>0</v>
      </c>
      <c r="E131">
        <v>3492</v>
      </c>
      <c r="F131">
        <v>0</v>
      </c>
      <c r="G131">
        <v>0</v>
      </c>
      <c r="H131">
        <v>0</v>
      </c>
      <c r="I131">
        <v>0</v>
      </c>
      <c r="J131">
        <v>3492</v>
      </c>
    </row>
    <row r="132" spans="1:10" x14ac:dyDescent="0.25">
      <c r="A132">
        <v>4800</v>
      </c>
      <c r="B132">
        <v>4800</v>
      </c>
      <c r="C132">
        <v>0</v>
      </c>
      <c r="D132">
        <v>0</v>
      </c>
      <c r="E132">
        <v>53798</v>
      </c>
      <c r="F132">
        <v>0</v>
      </c>
      <c r="G132">
        <v>0</v>
      </c>
      <c r="H132">
        <v>0</v>
      </c>
      <c r="I132">
        <v>0</v>
      </c>
      <c r="J132">
        <v>53798</v>
      </c>
    </row>
    <row r="133" spans="1:10" x14ac:dyDescent="0.25">
      <c r="A133">
        <v>4825</v>
      </c>
      <c r="B133">
        <v>4825</v>
      </c>
      <c r="C133">
        <v>0</v>
      </c>
      <c r="D133">
        <v>0</v>
      </c>
      <c r="E133">
        <v>1477</v>
      </c>
      <c r="F133">
        <v>0</v>
      </c>
      <c r="G133">
        <v>0</v>
      </c>
      <c r="H133">
        <v>0</v>
      </c>
      <c r="I133">
        <v>0</v>
      </c>
      <c r="J133">
        <v>1477</v>
      </c>
    </row>
    <row r="134" spans="1:10" x14ac:dyDescent="0.25">
      <c r="A134">
        <v>4850</v>
      </c>
      <c r="B134">
        <v>4850</v>
      </c>
      <c r="C134">
        <v>0</v>
      </c>
      <c r="D134">
        <v>0</v>
      </c>
      <c r="E134">
        <v>4976</v>
      </c>
      <c r="F134">
        <v>0</v>
      </c>
      <c r="G134">
        <v>0</v>
      </c>
      <c r="H134">
        <v>0</v>
      </c>
      <c r="I134">
        <v>0</v>
      </c>
      <c r="J134">
        <v>4976</v>
      </c>
    </row>
    <row r="135" spans="1:10" x14ac:dyDescent="0.25">
      <c r="A135">
        <v>4875</v>
      </c>
      <c r="B135">
        <v>4875</v>
      </c>
      <c r="C135">
        <v>0</v>
      </c>
      <c r="D135">
        <v>0</v>
      </c>
      <c r="E135">
        <v>1061</v>
      </c>
      <c r="F135">
        <v>0</v>
      </c>
      <c r="G135">
        <v>0</v>
      </c>
      <c r="H135">
        <v>0</v>
      </c>
      <c r="I135">
        <v>0</v>
      </c>
      <c r="J135">
        <v>1061</v>
      </c>
    </row>
    <row r="136" spans="1:10" x14ac:dyDescent="0.25">
      <c r="A136">
        <v>4900</v>
      </c>
      <c r="B136">
        <v>4900</v>
      </c>
      <c r="C136">
        <v>0</v>
      </c>
      <c r="D136">
        <v>0</v>
      </c>
      <c r="E136">
        <v>5835</v>
      </c>
      <c r="F136">
        <v>0</v>
      </c>
      <c r="G136">
        <v>0</v>
      </c>
      <c r="H136">
        <v>0</v>
      </c>
      <c r="I136">
        <v>0</v>
      </c>
      <c r="J136">
        <v>5835</v>
      </c>
    </row>
    <row r="137" spans="1:10" x14ac:dyDescent="0.25">
      <c r="A137">
        <v>4925</v>
      </c>
      <c r="B137">
        <v>4925</v>
      </c>
      <c r="C137">
        <v>0</v>
      </c>
      <c r="D137">
        <v>0</v>
      </c>
      <c r="E137">
        <v>481</v>
      </c>
      <c r="F137">
        <v>0</v>
      </c>
      <c r="G137">
        <v>0</v>
      </c>
      <c r="H137">
        <v>0</v>
      </c>
      <c r="I137">
        <v>0</v>
      </c>
      <c r="J137">
        <v>481</v>
      </c>
    </row>
    <row r="138" spans="1:10" x14ac:dyDescent="0.25">
      <c r="A138">
        <v>4950</v>
      </c>
      <c r="B138">
        <v>4950</v>
      </c>
      <c r="C138">
        <v>0</v>
      </c>
      <c r="D138">
        <v>0</v>
      </c>
      <c r="E138">
        <v>390</v>
      </c>
      <c r="F138">
        <v>0</v>
      </c>
      <c r="G138">
        <v>0</v>
      </c>
      <c r="H138">
        <v>0</v>
      </c>
      <c r="I138">
        <v>0</v>
      </c>
      <c r="J138">
        <v>390</v>
      </c>
    </row>
    <row r="139" spans="1:10" x14ac:dyDescent="0.25">
      <c r="A139">
        <v>4975</v>
      </c>
      <c r="B139">
        <v>4975</v>
      </c>
      <c r="C139">
        <v>0</v>
      </c>
      <c r="D139">
        <v>0</v>
      </c>
      <c r="E139">
        <v>851</v>
      </c>
      <c r="F139">
        <v>0</v>
      </c>
      <c r="G139">
        <v>0</v>
      </c>
      <c r="H139">
        <v>0</v>
      </c>
      <c r="I139">
        <v>0</v>
      </c>
      <c r="J139">
        <v>851</v>
      </c>
    </row>
    <row r="140" spans="1:10" x14ac:dyDescent="0.25">
      <c r="A140">
        <v>5000</v>
      </c>
      <c r="B140">
        <v>5000</v>
      </c>
      <c r="C140">
        <v>0</v>
      </c>
      <c r="D140">
        <v>0</v>
      </c>
      <c r="E140">
        <v>17560</v>
      </c>
      <c r="F140">
        <v>0</v>
      </c>
      <c r="G140">
        <v>0</v>
      </c>
      <c r="H140">
        <v>0</v>
      </c>
      <c r="I140">
        <v>0</v>
      </c>
      <c r="J140">
        <v>17560</v>
      </c>
    </row>
    <row r="141" spans="1:10" x14ac:dyDescent="0.25">
      <c r="A141">
        <v>5025</v>
      </c>
      <c r="B141">
        <v>5025</v>
      </c>
      <c r="C141">
        <v>0</v>
      </c>
      <c r="D141">
        <v>0</v>
      </c>
      <c r="E141">
        <v>346</v>
      </c>
      <c r="F141">
        <v>0</v>
      </c>
      <c r="G141">
        <v>0</v>
      </c>
      <c r="H141">
        <v>0</v>
      </c>
      <c r="I141">
        <v>0</v>
      </c>
      <c r="J141">
        <v>346</v>
      </c>
    </row>
    <row r="142" spans="1:10" x14ac:dyDescent="0.25">
      <c r="A142">
        <v>5050</v>
      </c>
      <c r="B142">
        <v>5050</v>
      </c>
      <c r="C142">
        <v>0</v>
      </c>
      <c r="D142">
        <v>0</v>
      </c>
      <c r="E142">
        <v>13</v>
      </c>
      <c r="F142">
        <v>0</v>
      </c>
      <c r="G142">
        <v>0</v>
      </c>
      <c r="H142">
        <v>0</v>
      </c>
      <c r="I142">
        <v>0</v>
      </c>
      <c r="J142">
        <v>13</v>
      </c>
    </row>
    <row r="143" spans="1:10" x14ac:dyDescent="0.25">
      <c r="A143">
        <v>5075</v>
      </c>
      <c r="B143">
        <v>5075</v>
      </c>
      <c r="C143">
        <v>0</v>
      </c>
      <c r="D143">
        <v>0</v>
      </c>
      <c r="E143">
        <v>520</v>
      </c>
      <c r="F143">
        <v>0</v>
      </c>
      <c r="G143">
        <v>0</v>
      </c>
      <c r="H143">
        <v>0</v>
      </c>
      <c r="I143">
        <v>0</v>
      </c>
      <c r="J143">
        <v>520</v>
      </c>
    </row>
    <row r="144" spans="1:10" x14ac:dyDescent="0.25">
      <c r="A144">
        <v>5100</v>
      </c>
      <c r="B144">
        <v>5100</v>
      </c>
      <c r="C144">
        <v>0</v>
      </c>
      <c r="D144">
        <v>0</v>
      </c>
      <c r="E144">
        <v>4029</v>
      </c>
      <c r="F144">
        <v>0</v>
      </c>
      <c r="G144">
        <v>0</v>
      </c>
      <c r="H144">
        <v>0</v>
      </c>
      <c r="I144">
        <v>0</v>
      </c>
      <c r="J144">
        <v>4029</v>
      </c>
    </row>
    <row r="145" spans="1:10" x14ac:dyDescent="0.25">
      <c r="A145">
        <v>5125</v>
      </c>
      <c r="B145">
        <v>5125</v>
      </c>
      <c r="C145">
        <v>0</v>
      </c>
      <c r="D145">
        <v>0</v>
      </c>
      <c r="E145">
        <v>0</v>
      </c>
      <c r="F145">
        <v>0</v>
      </c>
      <c r="G145">
        <v>0</v>
      </c>
      <c r="H145">
        <v>0</v>
      </c>
      <c r="I145">
        <v>0</v>
      </c>
      <c r="J145">
        <v>0</v>
      </c>
    </row>
    <row r="146" spans="1:10" x14ac:dyDescent="0.25">
      <c r="A146">
        <v>5150</v>
      </c>
      <c r="B146">
        <v>5150</v>
      </c>
      <c r="C146">
        <v>0</v>
      </c>
      <c r="D146">
        <v>0</v>
      </c>
      <c r="E146">
        <v>505</v>
      </c>
      <c r="F146">
        <v>0</v>
      </c>
      <c r="G146">
        <v>0</v>
      </c>
      <c r="H146">
        <v>0</v>
      </c>
      <c r="I146">
        <v>0</v>
      </c>
      <c r="J146">
        <v>505</v>
      </c>
    </row>
    <row r="147" spans="1:10" x14ac:dyDescent="0.25">
      <c r="A147">
        <v>5175</v>
      </c>
      <c r="B147">
        <v>5175</v>
      </c>
      <c r="C147">
        <v>0</v>
      </c>
      <c r="D147">
        <v>0</v>
      </c>
      <c r="E147">
        <v>854</v>
      </c>
      <c r="F147">
        <v>0</v>
      </c>
      <c r="G147">
        <v>0</v>
      </c>
      <c r="H147">
        <v>0</v>
      </c>
      <c r="I147">
        <v>0</v>
      </c>
      <c r="J147">
        <v>854</v>
      </c>
    </row>
    <row r="148" spans="1:10" x14ac:dyDescent="0.25">
      <c r="A148">
        <v>5200</v>
      </c>
      <c r="B148">
        <v>5200</v>
      </c>
      <c r="C148">
        <v>0</v>
      </c>
      <c r="D148">
        <v>0</v>
      </c>
      <c r="E148">
        <v>2423</v>
      </c>
      <c r="F148">
        <v>0</v>
      </c>
      <c r="G148">
        <v>0</v>
      </c>
      <c r="H148">
        <v>0</v>
      </c>
      <c r="I148">
        <v>0</v>
      </c>
      <c r="J148">
        <v>2423</v>
      </c>
    </row>
    <row r="149" spans="1:10" x14ac:dyDescent="0.25">
      <c r="A149">
        <v>5225</v>
      </c>
      <c r="B149">
        <v>5225</v>
      </c>
      <c r="C149">
        <v>0</v>
      </c>
      <c r="D149">
        <v>0</v>
      </c>
      <c r="E149">
        <v>600</v>
      </c>
      <c r="F149">
        <v>0</v>
      </c>
      <c r="G149">
        <v>0</v>
      </c>
      <c r="H149">
        <v>0</v>
      </c>
      <c r="I149">
        <v>0</v>
      </c>
      <c r="J149">
        <v>600</v>
      </c>
    </row>
    <row r="150" spans="1:10" x14ac:dyDescent="0.25">
      <c r="A150">
        <v>5250</v>
      </c>
      <c r="B150">
        <v>5250</v>
      </c>
      <c r="C150">
        <v>0</v>
      </c>
      <c r="D150">
        <v>0</v>
      </c>
      <c r="E150">
        <v>1500</v>
      </c>
      <c r="F150">
        <v>0</v>
      </c>
      <c r="G150">
        <v>0</v>
      </c>
      <c r="H150">
        <v>0</v>
      </c>
      <c r="I150">
        <v>0</v>
      </c>
      <c r="J150">
        <v>1500</v>
      </c>
    </row>
    <row r="151" spans="1:10" x14ac:dyDescent="0.25">
      <c r="A151">
        <v>5275</v>
      </c>
      <c r="B151">
        <v>5275</v>
      </c>
      <c r="C151">
        <v>0</v>
      </c>
      <c r="D151">
        <v>0</v>
      </c>
      <c r="E151">
        <v>314</v>
      </c>
      <c r="F151">
        <v>0</v>
      </c>
      <c r="G151">
        <v>0</v>
      </c>
      <c r="H151">
        <v>0</v>
      </c>
      <c r="I151">
        <v>0</v>
      </c>
      <c r="J151">
        <v>314</v>
      </c>
    </row>
    <row r="152" spans="1:10" x14ac:dyDescent="0.25">
      <c r="A152">
        <v>5300</v>
      </c>
      <c r="B152">
        <v>5300</v>
      </c>
      <c r="C152">
        <v>0</v>
      </c>
      <c r="D152">
        <v>0</v>
      </c>
      <c r="E152">
        <v>417</v>
      </c>
      <c r="F152">
        <v>0</v>
      </c>
      <c r="G152">
        <v>0</v>
      </c>
      <c r="H152">
        <v>0</v>
      </c>
      <c r="I152">
        <v>0</v>
      </c>
      <c r="J152">
        <v>417</v>
      </c>
    </row>
    <row r="153" spans="1:10" x14ac:dyDescent="0.25">
      <c r="A153">
        <v>5325</v>
      </c>
      <c r="B153">
        <v>5325</v>
      </c>
      <c r="C153">
        <v>0</v>
      </c>
      <c r="D153">
        <v>0</v>
      </c>
      <c r="E153">
        <v>1758</v>
      </c>
      <c r="F153">
        <v>0</v>
      </c>
      <c r="G153">
        <v>0</v>
      </c>
      <c r="H153">
        <v>0</v>
      </c>
      <c r="I153">
        <v>0</v>
      </c>
      <c r="J153">
        <v>1758</v>
      </c>
    </row>
    <row r="154" spans="1:10" x14ac:dyDescent="0.25">
      <c r="A154">
        <v>5375</v>
      </c>
      <c r="B154">
        <v>5375</v>
      </c>
      <c r="C154">
        <v>0</v>
      </c>
      <c r="D154">
        <v>0</v>
      </c>
      <c r="E154">
        <v>624</v>
      </c>
      <c r="F154">
        <v>0</v>
      </c>
      <c r="G154">
        <v>0</v>
      </c>
      <c r="H154">
        <v>0</v>
      </c>
      <c r="I154">
        <v>0</v>
      </c>
      <c r="J154">
        <v>624</v>
      </c>
    </row>
    <row r="155" spans="1:10" x14ac:dyDescent="0.25">
      <c r="A155">
        <v>5400</v>
      </c>
      <c r="B155">
        <v>5400</v>
      </c>
      <c r="C155">
        <v>0</v>
      </c>
      <c r="D155">
        <v>0</v>
      </c>
      <c r="E155">
        <v>568</v>
      </c>
      <c r="F155">
        <v>0</v>
      </c>
      <c r="G155">
        <v>0</v>
      </c>
      <c r="H155">
        <v>0</v>
      </c>
      <c r="I155">
        <v>0</v>
      </c>
      <c r="J155">
        <v>568</v>
      </c>
    </row>
    <row r="156" spans="1:10" x14ac:dyDescent="0.25">
      <c r="A156">
        <v>5500</v>
      </c>
      <c r="B156">
        <v>5500</v>
      </c>
      <c r="C156">
        <v>0</v>
      </c>
      <c r="D156">
        <v>0</v>
      </c>
      <c r="E156">
        <v>1374</v>
      </c>
      <c r="F156">
        <v>0</v>
      </c>
      <c r="G156">
        <v>0</v>
      </c>
      <c r="H156">
        <v>0</v>
      </c>
      <c r="I156">
        <v>0</v>
      </c>
      <c r="J156">
        <v>1374</v>
      </c>
    </row>
    <row r="157" spans="1:10" x14ac:dyDescent="0.25">
      <c r="A157">
        <v>5600</v>
      </c>
      <c r="B157">
        <v>5600</v>
      </c>
      <c r="C157">
        <v>0</v>
      </c>
      <c r="D157">
        <v>0</v>
      </c>
      <c r="E157">
        <v>0</v>
      </c>
      <c r="F157">
        <v>0</v>
      </c>
      <c r="G157">
        <v>0</v>
      </c>
      <c r="H157">
        <v>0</v>
      </c>
      <c r="I157">
        <v>0</v>
      </c>
      <c r="J157">
        <v>0</v>
      </c>
    </row>
    <row r="158" spans="1:10" x14ac:dyDescent="0.25">
      <c r="A158">
        <v>5700</v>
      </c>
      <c r="B158">
        <v>5700</v>
      </c>
      <c r="C158">
        <v>0</v>
      </c>
      <c r="D158">
        <v>0</v>
      </c>
      <c r="E158">
        <v>0</v>
      </c>
      <c r="F158">
        <v>0</v>
      </c>
      <c r="G158">
        <v>0</v>
      </c>
      <c r="H158">
        <v>0</v>
      </c>
      <c r="I158">
        <v>0</v>
      </c>
      <c r="J158">
        <v>0</v>
      </c>
    </row>
    <row r="159" spans="1:10" x14ac:dyDescent="0.25">
      <c r="A159">
        <v>5800</v>
      </c>
      <c r="B159">
        <v>5800</v>
      </c>
      <c r="C159">
        <v>0</v>
      </c>
      <c r="D159">
        <v>0</v>
      </c>
      <c r="E159">
        <v>0</v>
      </c>
      <c r="F159">
        <v>0</v>
      </c>
      <c r="G159">
        <v>0</v>
      </c>
      <c r="H159">
        <v>0</v>
      </c>
      <c r="I159">
        <v>0</v>
      </c>
      <c r="J159">
        <v>0</v>
      </c>
    </row>
    <row r="160" spans="1:10" x14ac:dyDescent="0.25">
      <c r="A160">
        <v>5900</v>
      </c>
      <c r="B160">
        <v>5900</v>
      </c>
      <c r="C160">
        <v>0</v>
      </c>
      <c r="D160">
        <v>0</v>
      </c>
      <c r="E160">
        <v>0</v>
      </c>
      <c r="F160">
        <v>0</v>
      </c>
      <c r="G160">
        <v>0</v>
      </c>
      <c r="H160">
        <v>0</v>
      </c>
      <c r="I160">
        <v>0</v>
      </c>
      <c r="J160">
        <v>0</v>
      </c>
    </row>
    <row r="161" spans="1:10" x14ac:dyDescent="0.25">
      <c r="A161">
        <v>6000</v>
      </c>
      <c r="B161">
        <v>6000</v>
      </c>
      <c r="C161">
        <v>0</v>
      </c>
      <c r="D161">
        <v>0</v>
      </c>
      <c r="E161">
        <v>27493</v>
      </c>
      <c r="F161">
        <v>0</v>
      </c>
      <c r="G161">
        <v>0</v>
      </c>
      <c r="H161">
        <v>0</v>
      </c>
      <c r="I161">
        <v>0</v>
      </c>
      <c r="J161">
        <v>27493</v>
      </c>
    </row>
    <row r="162" spans="1:10" x14ac:dyDescent="0.25">
      <c r="A162">
        <v>7000</v>
      </c>
      <c r="B162">
        <v>7000</v>
      </c>
      <c r="C162">
        <v>0</v>
      </c>
      <c r="D162">
        <v>0</v>
      </c>
      <c r="E162">
        <v>0</v>
      </c>
      <c r="F162">
        <v>0</v>
      </c>
      <c r="G162">
        <v>0</v>
      </c>
      <c r="H162">
        <v>0</v>
      </c>
      <c r="I162">
        <v>0</v>
      </c>
      <c r="J162">
        <v>0</v>
      </c>
    </row>
    <row r="163" spans="1:10" x14ac:dyDescent="0.25">
      <c r="A163">
        <v>8000</v>
      </c>
      <c r="B163">
        <v>8000</v>
      </c>
      <c r="C163">
        <v>0</v>
      </c>
      <c r="D163">
        <v>0</v>
      </c>
      <c r="E163">
        <v>0</v>
      </c>
      <c r="F163">
        <v>0</v>
      </c>
      <c r="G163">
        <v>0</v>
      </c>
      <c r="H163">
        <v>0</v>
      </c>
      <c r="I163">
        <v>0</v>
      </c>
      <c r="J163">
        <v>0</v>
      </c>
    </row>
    <row r="164" spans="1:10" x14ac:dyDescent="0.25">
      <c r="A164">
        <v>9000</v>
      </c>
      <c r="B164">
        <v>9000</v>
      </c>
      <c r="C164">
        <v>0</v>
      </c>
      <c r="D164">
        <v>0</v>
      </c>
      <c r="E164">
        <v>0</v>
      </c>
      <c r="F164">
        <v>0</v>
      </c>
      <c r="G164">
        <v>0</v>
      </c>
      <c r="H164">
        <v>0</v>
      </c>
      <c r="I164">
        <v>0</v>
      </c>
      <c r="J164">
        <v>0</v>
      </c>
    </row>
    <row r="165" spans="1:10" x14ac:dyDescent="0.25">
      <c r="A165" t="s">
        <v>274</v>
      </c>
      <c r="B165">
        <v>10000</v>
      </c>
      <c r="C165">
        <v>0</v>
      </c>
      <c r="D165">
        <v>0</v>
      </c>
      <c r="E165">
        <v>0</v>
      </c>
      <c r="F165">
        <v>0</v>
      </c>
      <c r="G165">
        <v>0</v>
      </c>
      <c r="H165">
        <v>0</v>
      </c>
      <c r="I165">
        <v>0</v>
      </c>
      <c r="J165">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E2C15-86F5-434E-B062-BBFDC5B9EAB2}">
  <sheetPr codeName="Tabelle9"/>
  <dimension ref="A1:J165"/>
  <sheetViews>
    <sheetView workbookViewId="0"/>
  </sheetViews>
  <sheetFormatPr defaultColWidth="8.85546875" defaultRowHeight="15" x14ac:dyDescent="0.25"/>
  <sheetData>
    <row r="1" spans="1:10" x14ac:dyDescent="0.25">
      <c r="A1" s="100" t="s">
        <v>283</v>
      </c>
      <c r="B1" s="100" t="s">
        <v>255</v>
      </c>
      <c r="C1" s="100" t="s">
        <v>282</v>
      </c>
      <c r="D1" s="100" t="s">
        <v>281</v>
      </c>
      <c r="E1" s="100" t="s">
        <v>280</v>
      </c>
      <c r="F1" s="100" t="s">
        <v>279</v>
      </c>
      <c r="G1" s="100" t="s">
        <v>278</v>
      </c>
      <c r="H1" s="100" t="s">
        <v>277</v>
      </c>
      <c r="I1" s="100" t="s">
        <v>276</v>
      </c>
      <c r="J1" s="100" t="s">
        <v>275</v>
      </c>
    </row>
    <row r="2" spans="1:10" x14ac:dyDescent="0.25">
      <c r="A2">
        <v>500</v>
      </c>
      <c r="B2">
        <v>500</v>
      </c>
      <c r="C2">
        <v>0</v>
      </c>
      <c r="D2">
        <v>0</v>
      </c>
      <c r="E2">
        <v>4</v>
      </c>
      <c r="F2">
        <v>0</v>
      </c>
      <c r="G2">
        <v>0</v>
      </c>
      <c r="H2">
        <v>0</v>
      </c>
      <c r="I2">
        <v>0</v>
      </c>
      <c r="J2">
        <v>4</v>
      </c>
    </row>
    <row r="3" spans="1:10" x14ac:dyDescent="0.25">
      <c r="A3">
        <v>600</v>
      </c>
      <c r="B3">
        <v>600</v>
      </c>
      <c r="C3">
        <v>0</v>
      </c>
      <c r="D3">
        <v>0</v>
      </c>
      <c r="E3">
        <v>1</v>
      </c>
      <c r="F3">
        <v>0</v>
      </c>
      <c r="G3">
        <v>0</v>
      </c>
      <c r="H3">
        <v>0</v>
      </c>
      <c r="I3">
        <v>0</v>
      </c>
      <c r="J3">
        <v>1</v>
      </c>
    </row>
    <row r="4" spans="1:10" x14ac:dyDescent="0.25">
      <c r="A4">
        <v>800</v>
      </c>
      <c r="B4">
        <v>800</v>
      </c>
      <c r="C4">
        <v>0</v>
      </c>
      <c r="D4">
        <v>0</v>
      </c>
      <c r="E4">
        <v>0</v>
      </c>
      <c r="F4">
        <v>0</v>
      </c>
      <c r="G4">
        <v>0</v>
      </c>
      <c r="H4">
        <v>0</v>
      </c>
      <c r="I4">
        <v>0</v>
      </c>
      <c r="J4">
        <v>0</v>
      </c>
    </row>
    <row r="5" spans="1:10" x14ac:dyDescent="0.25">
      <c r="A5">
        <v>1000</v>
      </c>
      <c r="B5">
        <v>1000</v>
      </c>
      <c r="C5">
        <v>0</v>
      </c>
      <c r="D5">
        <v>0</v>
      </c>
      <c r="E5">
        <v>33391</v>
      </c>
      <c r="F5">
        <v>0</v>
      </c>
      <c r="G5">
        <v>0</v>
      </c>
      <c r="H5">
        <v>0</v>
      </c>
      <c r="I5">
        <v>0</v>
      </c>
      <c r="J5">
        <v>33391</v>
      </c>
    </row>
    <row r="6" spans="1:10" x14ac:dyDescent="0.25">
      <c r="A6">
        <v>1100</v>
      </c>
      <c r="B6">
        <v>1100</v>
      </c>
      <c r="C6">
        <v>0</v>
      </c>
      <c r="D6">
        <v>0</v>
      </c>
      <c r="E6">
        <v>34</v>
      </c>
      <c r="F6">
        <v>0</v>
      </c>
      <c r="G6">
        <v>0</v>
      </c>
      <c r="H6">
        <v>0</v>
      </c>
      <c r="I6">
        <v>0</v>
      </c>
      <c r="J6">
        <v>34</v>
      </c>
    </row>
    <row r="7" spans="1:10" x14ac:dyDescent="0.25">
      <c r="A7">
        <v>1150</v>
      </c>
      <c r="B7">
        <v>1150</v>
      </c>
      <c r="C7">
        <v>0</v>
      </c>
      <c r="D7">
        <v>0</v>
      </c>
      <c r="E7">
        <v>200</v>
      </c>
      <c r="F7">
        <v>0</v>
      </c>
      <c r="G7">
        <v>0</v>
      </c>
      <c r="H7">
        <v>0</v>
      </c>
      <c r="I7">
        <v>0</v>
      </c>
      <c r="J7">
        <v>200</v>
      </c>
    </row>
    <row r="8" spans="1:10" x14ac:dyDescent="0.25">
      <c r="A8">
        <v>1200</v>
      </c>
      <c r="B8">
        <v>1200</v>
      </c>
      <c r="C8">
        <v>0</v>
      </c>
      <c r="D8">
        <v>0</v>
      </c>
      <c r="E8">
        <v>9041</v>
      </c>
      <c r="F8">
        <v>0</v>
      </c>
      <c r="G8">
        <v>0</v>
      </c>
      <c r="H8">
        <v>0</v>
      </c>
      <c r="I8">
        <v>0</v>
      </c>
      <c r="J8">
        <v>9041</v>
      </c>
    </row>
    <row r="9" spans="1:10" x14ac:dyDescent="0.25">
      <c r="A9">
        <v>1250</v>
      </c>
      <c r="B9">
        <v>1250</v>
      </c>
      <c r="C9">
        <v>0</v>
      </c>
      <c r="D9">
        <v>0</v>
      </c>
      <c r="E9">
        <v>10</v>
      </c>
      <c r="F9">
        <v>0</v>
      </c>
      <c r="G9">
        <v>0</v>
      </c>
      <c r="H9">
        <v>0</v>
      </c>
      <c r="I9">
        <v>0</v>
      </c>
      <c r="J9">
        <v>10</v>
      </c>
    </row>
    <row r="10" spans="1:10" x14ac:dyDescent="0.25">
      <c r="A10">
        <v>1300</v>
      </c>
      <c r="B10">
        <v>1300</v>
      </c>
      <c r="C10">
        <v>0</v>
      </c>
      <c r="D10">
        <v>0</v>
      </c>
      <c r="E10">
        <v>173</v>
      </c>
      <c r="F10">
        <v>0</v>
      </c>
      <c r="G10">
        <v>0</v>
      </c>
      <c r="H10">
        <v>0</v>
      </c>
      <c r="I10">
        <v>0</v>
      </c>
      <c r="J10">
        <v>173</v>
      </c>
    </row>
    <row r="11" spans="1:10" x14ac:dyDescent="0.25">
      <c r="A11">
        <v>1350</v>
      </c>
      <c r="B11">
        <v>1350</v>
      </c>
      <c r="C11">
        <v>0</v>
      </c>
      <c r="D11">
        <v>0</v>
      </c>
      <c r="E11">
        <v>5</v>
      </c>
      <c r="F11">
        <v>0</v>
      </c>
      <c r="G11">
        <v>0</v>
      </c>
      <c r="H11">
        <v>0</v>
      </c>
      <c r="I11">
        <v>0</v>
      </c>
      <c r="J11">
        <v>5</v>
      </c>
    </row>
    <row r="12" spans="1:10" x14ac:dyDescent="0.25">
      <c r="A12">
        <v>1400</v>
      </c>
      <c r="B12">
        <v>1400</v>
      </c>
      <c r="C12">
        <v>0</v>
      </c>
      <c r="D12">
        <v>0</v>
      </c>
      <c r="E12">
        <v>4045</v>
      </c>
      <c r="F12">
        <v>0</v>
      </c>
      <c r="G12">
        <v>0</v>
      </c>
      <c r="H12">
        <v>0</v>
      </c>
      <c r="I12">
        <v>0</v>
      </c>
      <c r="J12">
        <v>4045</v>
      </c>
    </row>
    <row r="13" spans="1:10" x14ac:dyDescent="0.25">
      <c r="A13">
        <v>1450</v>
      </c>
      <c r="B13">
        <v>1450</v>
      </c>
      <c r="C13">
        <v>0</v>
      </c>
      <c r="D13">
        <v>0</v>
      </c>
      <c r="E13">
        <v>1343</v>
      </c>
      <c r="F13">
        <v>0</v>
      </c>
      <c r="G13">
        <v>0</v>
      </c>
      <c r="H13">
        <v>0</v>
      </c>
      <c r="I13">
        <v>0</v>
      </c>
      <c r="J13">
        <v>1343</v>
      </c>
    </row>
    <row r="14" spans="1:10" x14ac:dyDescent="0.25">
      <c r="A14">
        <v>1500</v>
      </c>
      <c r="B14">
        <v>1500</v>
      </c>
      <c r="C14">
        <v>0</v>
      </c>
      <c r="D14">
        <v>0</v>
      </c>
      <c r="E14">
        <v>20358</v>
      </c>
      <c r="F14">
        <v>0</v>
      </c>
      <c r="G14">
        <v>0</v>
      </c>
      <c r="H14">
        <v>0</v>
      </c>
      <c r="I14">
        <v>0</v>
      </c>
      <c r="J14">
        <v>20358</v>
      </c>
    </row>
    <row r="15" spans="1:10" x14ac:dyDescent="0.25">
      <c r="A15">
        <v>1550</v>
      </c>
      <c r="B15">
        <v>1550</v>
      </c>
      <c r="C15">
        <v>0</v>
      </c>
      <c r="D15">
        <v>0</v>
      </c>
      <c r="E15">
        <v>306</v>
      </c>
      <c r="F15">
        <v>0</v>
      </c>
      <c r="G15">
        <v>0</v>
      </c>
      <c r="H15">
        <v>0</v>
      </c>
      <c r="I15">
        <v>0</v>
      </c>
      <c r="J15">
        <v>306</v>
      </c>
    </row>
    <row r="16" spans="1:10" x14ac:dyDescent="0.25">
      <c r="A16">
        <v>1600</v>
      </c>
      <c r="B16">
        <v>1600</v>
      </c>
      <c r="C16">
        <v>0</v>
      </c>
      <c r="D16">
        <v>0</v>
      </c>
      <c r="E16">
        <v>16376</v>
      </c>
      <c r="F16">
        <v>0</v>
      </c>
      <c r="G16">
        <v>0</v>
      </c>
      <c r="H16">
        <v>0</v>
      </c>
      <c r="I16">
        <v>0</v>
      </c>
      <c r="J16">
        <v>16376</v>
      </c>
    </row>
    <row r="17" spans="1:10" x14ac:dyDescent="0.25">
      <c r="A17">
        <v>1650</v>
      </c>
      <c r="B17">
        <v>1650</v>
      </c>
      <c r="C17">
        <v>0</v>
      </c>
      <c r="D17">
        <v>0</v>
      </c>
      <c r="E17">
        <v>34</v>
      </c>
      <c r="F17">
        <v>0</v>
      </c>
      <c r="G17">
        <v>0</v>
      </c>
      <c r="H17">
        <v>0</v>
      </c>
      <c r="I17">
        <v>0</v>
      </c>
      <c r="J17">
        <v>34</v>
      </c>
    </row>
    <row r="18" spans="1:10" x14ac:dyDescent="0.25">
      <c r="A18">
        <v>1700</v>
      </c>
      <c r="B18">
        <v>1700</v>
      </c>
      <c r="C18">
        <v>0</v>
      </c>
      <c r="D18">
        <v>0</v>
      </c>
      <c r="E18">
        <v>2549</v>
      </c>
      <c r="F18">
        <v>0</v>
      </c>
      <c r="G18">
        <v>0</v>
      </c>
      <c r="H18">
        <v>0</v>
      </c>
      <c r="I18">
        <v>0</v>
      </c>
      <c r="J18">
        <v>2549</v>
      </c>
    </row>
    <row r="19" spans="1:10" x14ac:dyDescent="0.25">
      <c r="A19">
        <v>1750</v>
      </c>
      <c r="B19">
        <v>1750</v>
      </c>
      <c r="C19">
        <v>0</v>
      </c>
      <c r="D19">
        <v>0</v>
      </c>
      <c r="E19">
        <v>201</v>
      </c>
      <c r="F19">
        <v>0</v>
      </c>
      <c r="G19">
        <v>0</v>
      </c>
      <c r="H19">
        <v>0</v>
      </c>
      <c r="I19">
        <v>0</v>
      </c>
      <c r="J19">
        <v>201</v>
      </c>
    </row>
    <row r="20" spans="1:10" x14ac:dyDescent="0.25">
      <c r="A20">
        <v>1800</v>
      </c>
      <c r="B20">
        <v>1800</v>
      </c>
      <c r="C20">
        <v>0</v>
      </c>
      <c r="D20">
        <v>0</v>
      </c>
      <c r="E20">
        <v>12797</v>
      </c>
      <c r="F20">
        <v>0</v>
      </c>
      <c r="G20">
        <v>0</v>
      </c>
      <c r="H20">
        <v>0</v>
      </c>
      <c r="I20">
        <v>0</v>
      </c>
      <c r="J20">
        <v>12797</v>
      </c>
    </row>
    <row r="21" spans="1:10" x14ac:dyDescent="0.25">
      <c r="A21">
        <v>1850</v>
      </c>
      <c r="B21">
        <v>1850</v>
      </c>
      <c r="C21">
        <v>0</v>
      </c>
      <c r="D21">
        <v>0</v>
      </c>
      <c r="E21">
        <v>338</v>
      </c>
      <c r="F21">
        <v>0</v>
      </c>
      <c r="G21">
        <v>0</v>
      </c>
      <c r="H21">
        <v>0</v>
      </c>
      <c r="I21">
        <v>0</v>
      </c>
      <c r="J21">
        <v>338</v>
      </c>
    </row>
    <row r="22" spans="1:10" x14ac:dyDescent="0.25">
      <c r="A22">
        <v>1900</v>
      </c>
      <c r="B22">
        <v>1900</v>
      </c>
      <c r="C22">
        <v>0</v>
      </c>
      <c r="D22">
        <v>0</v>
      </c>
      <c r="E22">
        <v>2151</v>
      </c>
      <c r="F22">
        <v>0</v>
      </c>
      <c r="G22">
        <v>0</v>
      </c>
      <c r="H22">
        <v>0</v>
      </c>
      <c r="I22">
        <v>0</v>
      </c>
      <c r="J22">
        <v>2151</v>
      </c>
    </row>
    <row r="23" spans="1:10" x14ac:dyDescent="0.25">
      <c r="A23">
        <v>1950</v>
      </c>
      <c r="B23">
        <v>1950</v>
      </c>
      <c r="C23">
        <v>0</v>
      </c>
      <c r="D23">
        <v>0</v>
      </c>
      <c r="E23">
        <v>170</v>
      </c>
      <c r="F23">
        <v>0</v>
      </c>
      <c r="G23">
        <v>0</v>
      </c>
      <c r="H23">
        <v>0</v>
      </c>
      <c r="I23">
        <v>0</v>
      </c>
      <c r="J23">
        <v>170</v>
      </c>
    </row>
    <row r="24" spans="1:10" x14ac:dyDescent="0.25">
      <c r="A24">
        <v>2000</v>
      </c>
      <c r="B24">
        <v>2000</v>
      </c>
      <c r="C24">
        <v>0</v>
      </c>
      <c r="D24">
        <v>0</v>
      </c>
      <c r="E24">
        <v>28265</v>
      </c>
      <c r="F24">
        <v>0</v>
      </c>
      <c r="G24">
        <v>0</v>
      </c>
      <c r="H24">
        <v>0</v>
      </c>
      <c r="I24">
        <v>0</v>
      </c>
      <c r="J24">
        <v>28265</v>
      </c>
    </row>
    <row r="25" spans="1:10" x14ac:dyDescent="0.25">
      <c r="A25">
        <v>2050</v>
      </c>
      <c r="B25">
        <v>2050</v>
      </c>
      <c r="C25">
        <v>0</v>
      </c>
      <c r="D25">
        <v>0</v>
      </c>
      <c r="E25">
        <v>267</v>
      </c>
      <c r="F25">
        <v>0</v>
      </c>
      <c r="G25">
        <v>0</v>
      </c>
      <c r="H25">
        <v>0</v>
      </c>
      <c r="I25">
        <v>0</v>
      </c>
      <c r="J25">
        <v>267</v>
      </c>
    </row>
    <row r="26" spans="1:10" x14ac:dyDescent="0.25">
      <c r="A26">
        <v>2100</v>
      </c>
      <c r="B26">
        <v>2100</v>
      </c>
      <c r="C26">
        <v>0</v>
      </c>
      <c r="D26">
        <v>0</v>
      </c>
      <c r="E26">
        <v>30986</v>
      </c>
      <c r="F26">
        <v>0</v>
      </c>
      <c r="G26">
        <v>0</v>
      </c>
      <c r="H26">
        <v>0</v>
      </c>
      <c r="I26">
        <v>0</v>
      </c>
      <c r="J26">
        <v>30986</v>
      </c>
    </row>
    <row r="27" spans="1:10" x14ac:dyDescent="0.25">
      <c r="A27">
        <v>2150</v>
      </c>
      <c r="B27">
        <v>2150</v>
      </c>
      <c r="C27">
        <v>0</v>
      </c>
      <c r="D27">
        <v>0</v>
      </c>
      <c r="E27">
        <v>2249</v>
      </c>
      <c r="F27">
        <v>0</v>
      </c>
      <c r="G27">
        <v>0</v>
      </c>
      <c r="H27">
        <v>0</v>
      </c>
      <c r="I27">
        <v>0</v>
      </c>
      <c r="J27">
        <v>2249</v>
      </c>
    </row>
    <row r="28" spans="1:10" x14ac:dyDescent="0.25">
      <c r="A28">
        <v>2175</v>
      </c>
      <c r="B28">
        <v>2175</v>
      </c>
      <c r="C28">
        <v>0</v>
      </c>
      <c r="D28">
        <v>0</v>
      </c>
      <c r="E28">
        <v>1738</v>
      </c>
      <c r="F28">
        <v>0</v>
      </c>
      <c r="G28">
        <v>0</v>
      </c>
      <c r="H28">
        <v>0</v>
      </c>
      <c r="I28">
        <v>0</v>
      </c>
      <c r="J28">
        <v>1738</v>
      </c>
    </row>
    <row r="29" spans="1:10" x14ac:dyDescent="0.25">
      <c r="A29">
        <v>2200</v>
      </c>
      <c r="B29">
        <v>2200</v>
      </c>
      <c r="C29">
        <v>0</v>
      </c>
      <c r="D29">
        <v>0</v>
      </c>
      <c r="E29">
        <v>29617</v>
      </c>
      <c r="F29">
        <v>0</v>
      </c>
      <c r="G29">
        <v>0</v>
      </c>
      <c r="H29">
        <v>0</v>
      </c>
      <c r="I29">
        <v>0</v>
      </c>
      <c r="J29">
        <v>29617</v>
      </c>
    </row>
    <row r="30" spans="1:10" x14ac:dyDescent="0.25">
      <c r="A30">
        <v>2250</v>
      </c>
      <c r="B30">
        <v>2250</v>
      </c>
      <c r="C30">
        <v>0</v>
      </c>
      <c r="D30">
        <v>0</v>
      </c>
      <c r="E30">
        <v>6287</v>
      </c>
      <c r="F30">
        <v>0</v>
      </c>
      <c r="G30">
        <v>0</v>
      </c>
      <c r="H30">
        <v>0</v>
      </c>
      <c r="I30">
        <v>0</v>
      </c>
      <c r="J30">
        <v>6287</v>
      </c>
    </row>
    <row r="31" spans="1:10" x14ac:dyDescent="0.25">
      <c r="A31">
        <v>2275</v>
      </c>
      <c r="B31">
        <v>2275</v>
      </c>
      <c r="C31">
        <v>0</v>
      </c>
      <c r="D31">
        <v>0</v>
      </c>
      <c r="E31">
        <v>61</v>
      </c>
      <c r="F31">
        <v>0</v>
      </c>
      <c r="G31">
        <v>0</v>
      </c>
      <c r="H31">
        <v>0</v>
      </c>
      <c r="I31">
        <v>0</v>
      </c>
      <c r="J31">
        <v>61</v>
      </c>
    </row>
    <row r="32" spans="1:10" x14ac:dyDescent="0.25">
      <c r="A32">
        <v>2300</v>
      </c>
      <c r="B32">
        <v>2300</v>
      </c>
      <c r="C32">
        <v>0</v>
      </c>
      <c r="D32">
        <v>0</v>
      </c>
      <c r="E32">
        <v>8063</v>
      </c>
      <c r="F32">
        <v>0</v>
      </c>
      <c r="G32">
        <v>0</v>
      </c>
      <c r="H32">
        <v>0</v>
      </c>
      <c r="I32">
        <v>0</v>
      </c>
      <c r="J32">
        <v>8063</v>
      </c>
    </row>
    <row r="33" spans="1:10" x14ac:dyDescent="0.25">
      <c r="A33">
        <v>2325</v>
      </c>
      <c r="B33">
        <v>2325</v>
      </c>
      <c r="C33">
        <v>0</v>
      </c>
      <c r="D33">
        <v>0</v>
      </c>
      <c r="E33">
        <v>624</v>
      </c>
      <c r="F33">
        <v>0</v>
      </c>
      <c r="G33">
        <v>0</v>
      </c>
      <c r="H33">
        <v>0</v>
      </c>
      <c r="I33">
        <v>0</v>
      </c>
      <c r="J33">
        <v>624</v>
      </c>
    </row>
    <row r="34" spans="1:10" x14ac:dyDescent="0.25">
      <c r="A34">
        <v>2350</v>
      </c>
      <c r="B34">
        <v>2350</v>
      </c>
      <c r="C34">
        <v>0</v>
      </c>
      <c r="D34">
        <v>0</v>
      </c>
      <c r="E34">
        <v>5869</v>
      </c>
      <c r="F34">
        <v>0</v>
      </c>
      <c r="G34">
        <v>0</v>
      </c>
      <c r="H34">
        <v>0</v>
      </c>
      <c r="I34">
        <v>0</v>
      </c>
      <c r="J34">
        <v>5869</v>
      </c>
    </row>
    <row r="35" spans="1:10" x14ac:dyDescent="0.25">
      <c r="A35">
        <v>2375</v>
      </c>
      <c r="B35">
        <v>2375</v>
      </c>
      <c r="C35">
        <v>0</v>
      </c>
      <c r="D35">
        <v>0</v>
      </c>
      <c r="E35">
        <v>1056</v>
      </c>
      <c r="F35">
        <v>0</v>
      </c>
      <c r="G35">
        <v>0</v>
      </c>
      <c r="H35">
        <v>0</v>
      </c>
      <c r="I35">
        <v>0</v>
      </c>
      <c r="J35">
        <v>1056</v>
      </c>
    </row>
    <row r="36" spans="1:10" x14ac:dyDescent="0.25">
      <c r="A36">
        <v>2400</v>
      </c>
      <c r="B36">
        <v>2400</v>
      </c>
      <c r="C36">
        <v>0</v>
      </c>
      <c r="D36">
        <v>0</v>
      </c>
      <c r="E36">
        <v>26278</v>
      </c>
      <c r="F36">
        <v>0</v>
      </c>
      <c r="G36">
        <v>0</v>
      </c>
      <c r="H36">
        <v>0</v>
      </c>
      <c r="I36">
        <v>0</v>
      </c>
      <c r="J36">
        <v>26278</v>
      </c>
    </row>
    <row r="37" spans="1:10" x14ac:dyDescent="0.25">
      <c r="A37">
        <v>2425</v>
      </c>
      <c r="B37">
        <v>2425</v>
      </c>
      <c r="C37">
        <v>0</v>
      </c>
      <c r="D37">
        <v>0</v>
      </c>
      <c r="E37">
        <v>1247</v>
      </c>
      <c r="F37">
        <v>0</v>
      </c>
      <c r="G37">
        <v>0</v>
      </c>
      <c r="H37">
        <v>0</v>
      </c>
      <c r="I37">
        <v>0</v>
      </c>
      <c r="J37">
        <v>1247</v>
      </c>
    </row>
    <row r="38" spans="1:10" x14ac:dyDescent="0.25">
      <c r="A38">
        <v>2450</v>
      </c>
      <c r="B38">
        <v>2450</v>
      </c>
      <c r="C38">
        <v>0</v>
      </c>
      <c r="D38">
        <v>0</v>
      </c>
      <c r="E38">
        <v>3566</v>
      </c>
      <c r="F38">
        <v>0</v>
      </c>
      <c r="G38">
        <v>0</v>
      </c>
      <c r="H38">
        <v>0</v>
      </c>
      <c r="I38">
        <v>0</v>
      </c>
      <c r="J38">
        <v>3566</v>
      </c>
    </row>
    <row r="39" spans="1:10" x14ac:dyDescent="0.25">
      <c r="A39">
        <v>2475</v>
      </c>
      <c r="B39">
        <v>2475</v>
      </c>
      <c r="C39">
        <v>0</v>
      </c>
      <c r="D39">
        <v>0</v>
      </c>
      <c r="E39">
        <v>1958</v>
      </c>
      <c r="F39">
        <v>0</v>
      </c>
      <c r="G39">
        <v>0</v>
      </c>
      <c r="H39">
        <v>0</v>
      </c>
      <c r="I39">
        <v>0</v>
      </c>
      <c r="J39">
        <v>1958</v>
      </c>
    </row>
    <row r="40" spans="1:10" x14ac:dyDescent="0.25">
      <c r="A40">
        <v>2500</v>
      </c>
      <c r="B40">
        <v>2500</v>
      </c>
      <c r="C40">
        <v>0</v>
      </c>
      <c r="D40">
        <v>0</v>
      </c>
      <c r="E40">
        <v>46940</v>
      </c>
      <c r="F40">
        <v>0</v>
      </c>
      <c r="G40">
        <v>0</v>
      </c>
      <c r="H40">
        <v>0</v>
      </c>
      <c r="I40">
        <v>0</v>
      </c>
      <c r="J40">
        <v>46940</v>
      </c>
    </row>
    <row r="41" spans="1:10" x14ac:dyDescent="0.25">
      <c r="A41">
        <v>2525</v>
      </c>
      <c r="B41">
        <v>2525</v>
      </c>
      <c r="C41">
        <v>0</v>
      </c>
      <c r="D41">
        <v>0</v>
      </c>
      <c r="E41">
        <v>4061</v>
      </c>
      <c r="F41">
        <v>0</v>
      </c>
      <c r="G41">
        <v>0</v>
      </c>
      <c r="H41">
        <v>0</v>
      </c>
      <c r="I41">
        <v>0</v>
      </c>
      <c r="J41">
        <v>4061</v>
      </c>
    </row>
    <row r="42" spans="1:10" x14ac:dyDescent="0.25">
      <c r="A42">
        <v>2550</v>
      </c>
      <c r="B42">
        <v>2550</v>
      </c>
      <c r="C42">
        <v>0</v>
      </c>
      <c r="D42">
        <v>0</v>
      </c>
      <c r="E42">
        <v>2282</v>
      </c>
      <c r="F42">
        <v>0</v>
      </c>
      <c r="G42">
        <v>0</v>
      </c>
      <c r="H42">
        <v>0</v>
      </c>
      <c r="I42">
        <v>0</v>
      </c>
      <c r="J42">
        <v>2282</v>
      </c>
    </row>
    <row r="43" spans="1:10" x14ac:dyDescent="0.25">
      <c r="A43">
        <v>2575</v>
      </c>
      <c r="B43">
        <v>2575</v>
      </c>
      <c r="C43">
        <v>0</v>
      </c>
      <c r="D43">
        <v>0</v>
      </c>
      <c r="E43">
        <v>948</v>
      </c>
      <c r="F43">
        <v>0</v>
      </c>
      <c r="G43">
        <v>0</v>
      </c>
      <c r="H43">
        <v>0</v>
      </c>
      <c r="I43">
        <v>0</v>
      </c>
      <c r="J43">
        <v>948</v>
      </c>
    </row>
    <row r="44" spans="1:10" x14ac:dyDescent="0.25">
      <c r="A44">
        <v>2600</v>
      </c>
      <c r="B44">
        <v>2600</v>
      </c>
      <c r="C44">
        <v>0</v>
      </c>
      <c r="D44">
        <v>0</v>
      </c>
      <c r="E44">
        <v>32225</v>
      </c>
      <c r="F44">
        <v>0</v>
      </c>
      <c r="G44">
        <v>0</v>
      </c>
      <c r="H44">
        <v>0</v>
      </c>
      <c r="I44">
        <v>0</v>
      </c>
      <c r="J44">
        <v>32225</v>
      </c>
    </row>
    <row r="45" spans="1:10" x14ac:dyDescent="0.25">
      <c r="A45">
        <v>2625</v>
      </c>
      <c r="B45">
        <v>2625</v>
      </c>
      <c r="C45">
        <v>0</v>
      </c>
      <c r="D45">
        <v>0</v>
      </c>
      <c r="E45">
        <v>2734</v>
      </c>
      <c r="F45">
        <v>0</v>
      </c>
      <c r="G45">
        <v>0</v>
      </c>
      <c r="H45">
        <v>0</v>
      </c>
      <c r="I45">
        <v>0</v>
      </c>
      <c r="J45">
        <v>2734</v>
      </c>
    </row>
    <row r="46" spans="1:10" x14ac:dyDescent="0.25">
      <c r="A46">
        <v>2650</v>
      </c>
      <c r="B46">
        <v>2650</v>
      </c>
      <c r="C46">
        <v>0</v>
      </c>
      <c r="D46">
        <v>0</v>
      </c>
      <c r="E46">
        <v>7857</v>
      </c>
      <c r="F46">
        <v>0</v>
      </c>
      <c r="G46">
        <v>0</v>
      </c>
      <c r="H46">
        <v>0</v>
      </c>
      <c r="I46">
        <v>0</v>
      </c>
      <c r="J46">
        <v>7857</v>
      </c>
    </row>
    <row r="47" spans="1:10" x14ac:dyDescent="0.25">
      <c r="A47">
        <v>2675</v>
      </c>
      <c r="B47">
        <v>2675</v>
      </c>
      <c r="C47">
        <v>0</v>
      </c>
      <c r="D47">
        <v>0</v>
      </c>
      <c r="E47">
        <v>1979</v>
      </c>
      <c r="F47">
        <v>0</v>
      </c>
      <c r="G47">
        <v>0</v>
      </c>
      <c r="H47">
        <v>0</v>
      </c>
      <c r="I47">
        <v>0</v>
      </c>
      <c r="J47">
        <v>1979</v>
      </c>
    </row>
    <row r="48" spans="1:10" x14ac:dyDescent="0.25">
      <c r="A48">
        <v>2700</v>
      </c>
      <c r="B48">
        <v>2700</v>
      </c>
      <c r="C48">
        <v>0</v>
      </c>
      <c r="D48">
        <v>0</v>
      </c>
      <c r="E48">
        <v>19853</v>
      </c>
      <c r="F48">
        <v>0</v>
      </c>
      <c r="G48">
        <v>0</v>
      </c>
      <c r="H48">
        <v>0</v>
      </c>
      <c r="I48">
        <v>0</v>
      </c>
      <c r="J48">
        <v>19853</v>
      </c>
    </row>
    <row r="49" spans="1:10" x14ac:dyDescent="0.25">
      <c r="A49">
        <v>2725</v>
      </c>
      <c r="B49">
        <v>2725</v>
      </c>
      <c r="C49">
        <v>0</v>
      </c>
      <c r="D49">
        <v>0</v>
      </c>
      <c r="E49">
        <v>1583</v>
      </c>
      <c r="F49">
        <v>0</v>
      </c>
      <c r="G49">
        <v>0</v>
      </c>
      <c r="H49">
        <v>0</v>
      </c>
      <c r="I49">
        <v>0</v>
      </c>
      <c r="J49">
        <v>1583</v>
      </c>
    </row>
    <row r="50" spans="1:10" x14ac:dyDescent="0.25">
      <c r="A50">
        <v>2750</v>
      </c>
      <c r="B50">
        <v>2750</v>
      </c>
      <c r="C50">
        <v>0</v>
      </c>
      <c r="D50">
        <v>0</v>
      </c>
      <c r="E50">
        <v>20326</v>
      </c>
      <c r="F50">
        <v>0</v>
      </c>
      <c r="G50">
        <v>0</v>
      </c>
      <c r="H50">
        <v>0</v>
      </c>
      <c r="I50">
        <v>0</v>
      </c>
      <c r="J50">
        <v>20326</v>
      </c>
    </row>
    <row r="51" spans="1:10" x14ac:dyDescent="0.25">
      <c r="A51">
        <v>2775</v>
      </c>
      <c r="B51">
        <v>2775</v>
      </c>
      <c r="C51">
        <v>0</v>
      </c>
      <c r="D51">
        <v>0</v>
      </c>
      <c r="E51">
        <v>2347</v>
      </c>
      <c r="F51">
        <v>0</v>
      </c>
      <c r="G51">
        <v>0</v>
      </c>
      <c r="H51">
        <v>0</v>
      </c>
      <c r="I51">
        <v>0</v>
      </c>
      <c r="J51">
        <v>2347</v>
      </c>
    </row>
    <row r="52" spans="1:10" x14ac:dyDescent="0.25">
      <c r="A52">
        <v>2800</v>
      </c>
      <c r="B52">
        <v>2800</v>
      </c>
      <c r="C52">
        <v>0</v>
      </c>
      <c r="D52">
        <v>0</v>
      </c>
      <c r="E52">
        <v>28298</v>
      </c>
      <c r="F52">
        <v>0</v>
      </c>
      <c r="G52">
        <v>0</v>
      </c>
      <c r="H52">
        <v>0</v>
      </c>
      <c r="I52">
        <v>0</v>
      </c>
      <c r="J52">
        <v>28298</v>
      </c>
    </row>
    <row r="53" spans="1:10" x14ac:dyDescent="0.25">
      <c r="A53">
        <v>2825</v>
      </c>
      <c r="B53">
        <v>2825</v>
      </c>
      <c r="C53">
        <v>0</v>
      </c>
      <c r="D53">
        <v>0</v>
      </c>
      <c r="E53">
        <v>1682</v>
      </c>
      <c r="F53">
        <v>0</v>
      </c>
      <c r="G53">
        <v>0</v>
      </c>
      <c r="H53">
        <v>0</v>
      </c>
      <c r="I53">
        <v>0</v>
      </c>
      <c r="J53">
        <v>1682</v>
      </c>
    </row>
    <row r="54" spans="1:10" x14ac:dyDescent="0.25">
      <c r="A54">
        <v>2850</v>
      </c>
      <c r="B54">
        <v>2850</v>
      </c>
      <c r="C54">
        <v>0</v>
      </c>
      <c r="D54">
        <v>0</v>
      </c>
      <c r="E54">
        <v>5040</v>
      </c>
      <c r="F54">
        <v>0</v>
      </c>
      <c r="G54">
        <v>0</v>
      </c>
      <c r="H54">
        <v>0</v>
      </c>
      <c r="I54">
        <v>0</v>
      </c>
      <c r="J54">
        <v>5040</v>
      </c>
    </row>
    <row r="55" spans="1:10" x14ac:dyDescent="0.25">
      <c r="A55">
        <v>2875</v>
      </c>
      <c r="B55">
        <v>2875</v>
      </c>
      <c r="C55">
        <v>0</v>
      </c>
      <c r="D55">
        <v>0</v>
      </c>
      <c r="E55">
        <v>2033</v>
      </c>
      <c r="F55">
        <v>0</v>
      </c>
      <c r="G55">
        <v>0</v>
      </c>
      <c r="H55">
        <v>0</v>
      </c>
      <c r="I55">
        <v>0</v>
      </c>
      <c r="J55">
        <v>2033</v>
      </c>
    </row>
    <row r="56" spans="1:10" x14ac:dyDescent="0.25">
      <c r="A56">
        <v>2900</v>
      </c>
      <c r="B56">
        <v>2900</v>
      </c>
      <c r="C56">
        <v>0</v>
      </c>
      <c r="D56">
        <v>0</v>
      </c>
      <c r="E56">
        <v>23413</v>
      </c>
      <c r="F56">
        <v>0</v>
      </c>
      <c r="G56">
        <v>0</v>
      </c>
      <c r="H56">
        <v>0</v>
      </c>
      <c r="I56">
        <v>0</v>
      </c>
      <c r="J56">
        <v>23413</v>
      </c>
    </row>
    <row r="57" spans="1:10" x14ac:dyDescent="0.25">
      <c r="A57">
        <v>2925</v>
      </c>
      <c r="B57">
        <v>2925</v>
      </c>
      <c r="C57">
        <v>0</v>
      </c>
      <c r="D57">
        <v>0</v>
      </c>
      <c r="E57">
        <v>1476</v>
      </c>
      <c r="F57">
        <v>0</v>
      </c>
      <c r="G57">
        <v>0</v>
      </c>
      <c r="H57">
        <v>0</v>
      </c>
      <c r="I57">
        <v>0</v>
      </c>
      <c r="J57">
        <v>1476</v>
      </c>
    </row>
    <row r="58" spans="1:10" x14ac:dyDescent="0.25">
      <c r="A58">
        <v>2950</v>
      </c>
      <c r="B58">
        <v>2950</v>
      </c>
      <c r="C58">
        <v>0</v>
      </c>
      <c r="D58">
        <v>6</v>
      </c>
      <c r="E58">
        <v>1369</v>
      </c>
      <c r="F58">
        <v>0.1</v>
      </c>
      <c r="G58">
        <v>0.1</v>
      </c>
      <c r="H58">
        <v>0.1</v>
      </c>
      <c r="I58">
        <v>0.1</v>
      </c>
      <c r="J58">
        <v>1369</v>
      </c>
    </row>
    <row r="59" spans="1:10" x14ac:dyDescent="0.25">
      <c r="A59">
        <v>2975</v>
      </c>
      <c r="B59">
        <v>2975</v>
      </c>
      <c r="C59">
        <v>0</v>
      </c>
      <c r="D59">
        <v>0</v>
      </c>
      <c r="E59">
        <v>1333</v>
      </c>
      <c r="F59">
        <v>0</v>
      </c>
      <c r="G59">
        <v>0</v>
      </c>
      <c r="H59">
        <v>0</v>
      </c>
      <c r="I59">
        <v>0</v>
      </c>
      <c r="J59">
        <v>1333</v>
      </c>
    </row>
    <row r="60" spans="1:10" x14ac:dyDescent="0.25">
      <c r="A60">
        <v>3000</v>
      </c>
      <c r="B60">
        <v>3000</v>
      </c>
      <c r="C60">
        <v>0</v>
      </c>
      <c r="D60">
        <v>44</v>
      </c>
      <c r="E60">
        <v>60045</v>
      </c>
      <c r="F60">
        <v>0.1</v>
      </c>
      <c r="G60">
        <v>0.1</v>
      </c>
      <c r="H60">
        <v>0.1</v>
      </c>
      <c r="I60">
        <v>0.1</v>
      </c>
      <c r="J60">
        <v>60045</v>
      </c>
    </row>
    <row r="61" spans="1:10" x14ac:dyDescent="0.25">
      <c r="A61">
        <v>3025</v>
      </c>
      <c r="B61">
        <v>3025</v>
      </c>
      <c r="C61">
        <v>0</v>
      </c>
      <c r="D61">
        <v>55</v>
      </c>
      <c r="E61">
        <v>10914</v>
      </c>
      <c r="F61">
        <v>0.1</v>
      </c>
      <c r="G61">
        <v>0.1</v>
      </c>
      <c r="H61">
        <v>0.1</v>
      </c>
      <c r="I61">
        <v>0.1</v>
      </c>
      <c r="J61">
        <v>10914</v>
      </c>
    </row>
    <row r="62" spans="1:10" x14ac:dyDescent="0.25">
      <c r="A62">
        <v>3050</v>
      </c>
      <c r="B62">
        <v>3050</v>
      </c>
      <c r="C62">
        <v>0</v>
      </c>
      <c r="D62">
        <v>66</v>
      </c>
      <c r="E62">
        <v>21386</v>
      </c>
      <c r="F62">
        <v>0.1</v>
      </c>
      <c r="G62">
        <v>0.1</v>
      </c>
      <c r="H62">
        <v>0.1</v>
      </c>
      <c r="I62">
        <v>0.1</v>
      </c>
      <c r="J62">
        <v>21386</v>
      </c>
    </row>
    <row r="63" spans="1:10" x14ac:dyDescent="0.25">
      <c r="A63">
        <v>3075</v>
      </c>
      <c r="B63">
        <v>3075</v>
      </c>
      <c r="C63">
        <v>0</v>
      </c>
      <c r="D63">
        <v>0</v>
      </c>
      <c r="E63">
        <v>33928</v>
      </c>
      <c r="F63">
        <v>0</v>
      </c>
      <c r="G63">
        <v>0</v>
      </c>
      <c r="H63">
        <v>0</v>
      </c>
      <c r="I63">
        <v>0</v>
      </c>
      <c r="J63">
        <v>33928</v>
      </c>
    </row>
    <row r="64" spans="1:10" x14ac:dyDescent="0.25">
      <c r="A64">
        <v>3100</v>
      </c>
      <c r="B64">
        <v>3100</v>
      </c>
      <c r="C64">
        <v>0</v>
      </c>
      <c r="D64">
        <v>0</v>
      </c>
      <c r="E64">
        <v>29357</v>
      </c>
      <c r="F64">
        <v>0</v>
      </c>
      <c r="G64">
        <v>0</v>
      </c>
      <c r="H64">
        <v>0</v>
      </c>
      <c r="I64">
        <v>0</v>
      </c>
      <c r="J64">
        <v>29357</v>
      </c>
    </row>
    <row r="65" spans="1:10" x14ac:dyDescent="0.25">
      <c r="A65">
        <v>3125</v>
      </c>
      <c r="B65">
        <v>3125</v>
      </c>
      <c r="C65">
        <v>0</v>
      </c>
      <c r="D65">
        <v>880</v>
      </c>
      <c r="E65">
        <v>3329</v>
      </c>
      <c r="F65">
        <v>0</v>
      </c>
      <c r="G65">
        <v>0</v>
      </c>
      <c r="H65">
        <v>0</v>
      </c>
      <c r="I65">
        <v>0</v>
      </c>
      <c r="J65">
        <v>3329</v>
      </c>
    </row>
    <row r="66" spans="1:10" x14ac:dyDescent="0.25">
      <c r="A66">
        <v>3150</v>
      </c>
      <c r="B66">
        <v>3150</v>
      </c>
      <c r="C66">
        <v>0</v>
      </c>
      <c r="D66">
        <v>0</v>
      </c>
      <c r="E66">
        <v>15798</v>
      </c>
      <c r="F66">
        <v>0</v>
      </c>
      <c r="G66">
        <v>0</v>
      </c>
      <c r="H66">
        <v>0</v>
      </c>
      <c r="I66">
        <v>0</v>
      </c>
      <c r="J66">
        <v>15798</v>
      </c>
    </row>
    <row r="67" spans="1:10" x14ac:dyDescent="0.25">
      <c r="A67">
        <v>3175</v>
      </c>
      <c r="B67">
        <v>3175</v>
      </c>
      <c r="C67">
        <v>0</v>
      </c>
      <c r="D67">
        <v>0</v>
      </c>
      <c r="E67">
        <v>2410</v>
      </c>
      <c r="F67">
        <v>0</v>
      </c>
      <c r="G67">
        <v>0</v>
      </c>
      <c r="H67">
        <v>0</v>
      </c>
      <c r="I67">
        <v>0</v>
      </c>
      <c r="J67">
        <v>2410</v>
      </c>
    </row>
    <row r="68" spans="1:10" x14ac:dyDescent="0.25">
      <c r="A68">
        <v>3200</v>
      </c>
      <c r="B68">
        <v>3200</v>
      </c>
      <c r="C68">
        <v>0</v>
      </c>
      <c r="D68">
        <v>0</v>
      </c>
      <c r="E68">
        <v>92213</v>
      </c>
      <c r="F68">
        <v>0</v>
      </c>
      <c r="G68">
        <v>0</v>
      </c>
      <c r="H68">
        <v>0</v>
      </c>
      <c r="I68">
        <v>0</v>
      </c>
      <c r="J68">
        <v>92213</v>
      </c>
    </row>
    <row r="69" spans="1:10" x14ac:dyDescent="0.25">
      <c r="A69">
        <v>3225</v>
      </c>
      <c r="B69">
        <v>3225</v>
      </c>
      <c r="C69">
        <v>0</v>
      </c>
      <c r="D69">
        <v>50</v>
      </c>
      <c r="E69">
        <v>19583</v>
      </c>
      <c r="F69">
        <v>0.2</v>
      </c>
      <c r="G69">
        <v>0.2</v>
      </c>
      <c r="H69">
        <v>0.2</v>
      </c>
      <c r="I69">
        <v>0.2</v>
      </c>
      <c r="J69">
        <v>19583</v>
      </c>
    </row>
    <row r="70" spans="1:10" x14ac:dyDescent="0.25">
      <c r="A70">
        <v>3250</v>
      </c>
      <c r="B70">
        <v>3250</v>
      </c>
      <c r="C70">
        <v>0</v>
      </c>
      <c r="D70">
        <v>350</v>
      </c>
      <c r="E70">
        <v>44416</v>
      </c>
      <c r="F70">
        <v>0.2</v>
      </c>
      <c r="G70">
        <v>0.2</v>
      </c>
      <c r="H70">
        <v>0.2</v>
      </c>
      <c r="I70">
        <v>0.2</v>
      </c>
      <c r="J70">
        <v>44416</v>
      </c>
    </row>
    <row r="71" spans="1:10" x14ac:dyDescent="0.25">
      <c r="A71">
        <v>3275</v>
      </c>
      <c r="B71">
        <v>3275</v>
      </c>
      <c r="C71">
        <v>0</v>
      </c>
      <c r="D71">
        <v>0</v>
      </c>
      <c r="E71">
        <v>3341</v>
      </c>
      <c r="F71">
        <v>0</v>
      </c>
      <c r="G71">
        <v>0</v>
      </c>
      <c r="H71">
        <v>0</v>
      </c>
      <c r="I71">
        <v>0</v>
      </c>
      <c r="J71">
        <v>3341</v>
      </c>
    </row>
    <row r="72" spans="1:10" x14ac:dyDescent="0.25">
      <c r="A72">
        <v>3300</v>
      </c>
      <c r="B72">
        <v>3300</v>
      </c>
      <c r="C72">
        <v>0</v>
      </c>
      <c r="D72">
        <v>110</v>
      </c>
      <c r="E72">
        <v>77792</v>
      </c>
      <c r="F72">
        <v>0.3</v>
      </c>
      <c r="G72">
        <v>0.3</v>
      </c>
      <c r="H72">
        <v>0.3</v>
      </c>
      <c r="I72">
        <v>0.3</v>
      </c>
      <c r="J72">
        <v>77792</v>
      </c>
    </row>
    <row r="73" spans="1:10" x14ac:dyDescent="0.25">
      <c r="A73">
        <v>3325</v>
      </c>
      <c r="B73">
        <v>3325</v>
      </c>
      <c r="C73">
        <v>0</v>
      </c>
      <c r="D73">
        <v>1700</v>
      </c>
      <c r="E73">
        <v>3468</v>
      </c>
      <c r="F73">
        <v>0.3</v>
      </c>
      <c r="G73">
        <v>0.3</v>
      </c>
      <c r="H73">
        <v>0.3</v>
      </c>
      <c r="I73">
        <v>0.3</v>
      </c>
      <c r="J73">
        <v>3468</v>
      </c>
    </row>
    <row r="74" spans="1:10" x14ac:dyDescent="0.25">
      <c r="A74">
        <v>3350</v>
      </c>
      <c r="B74">
        <v>3350</v>
      </c>
      <c r="C74">
        <v>0</v>
      </c>
      <c r="D74">
        <v>1363</v>
      </c>
      <c r="E74">
        <v>16668</v>
      </c>
      <c r="F74">
        <v>0.2</v>
      </c>
      <c r="G74">
        <v>0.3</v>
      </c>
      <c r="H74">
        <v>0.2</v>
      </c>
      <c r="I74">
        <v>0.3</v>
      </c>
      <c r="J74">
        <v>16668</v>
      </c>
    </row>
    <row r="75" spans="1:10" x14ac:dyDescent="0.25">
      <c r="A75">
        <v>3375</v>
      </c>
      <c r="B75">
        <v>3375</v>
      </c>
      <c r="C75">
        <v>0</v>
      </c>
      <c r="D75">
        <v>0</v>
      </c>
      <c r="E75">
        <v>5917</v>
      </c>
      <c r="F75">
        <v>0</v>
      </c>
      <c r="G75">
        <v>0</v>
      </c>
      <c r="H75">
        <v>0</v>
      </c>
      <c r="I75">
        <v>0</v>
      </c>
      <c r="J75">
        <v>5917</v>
      </c>
    </row>
    <row r="76" spans="1:10" x14ac:dyDescent="0.25">
      <c r="A76">
        <v>3400</v>
      </c>
      <c r="B76">
        <v>3400</v>
      </c>
      <c r="C76">
        <v>0</v>
      </c>
      <c r="D76">
        <v>2285</v>
      </c>
      <c r="E76">
        <v>53654</v>
      </c>
      <c r="F76">
        <v>0.3</v>
      </c>
      <c r="G76">
        <v>0.4</v>
      </c>
      <c r="H76">
        <v>0.3</v>
      </c>
      <c r="I76">
        <v>0.3</v>
      </c>
      <c r="J76">
        <v>53654</v>
      </c>
    </row>
    <row r="77" spans="1:10" x14ac:dyDescent="0.25">
      <c r="A77">
        <v>3425</v>
      </c>
      <c r="B77">
        <v>3425</v>
      </c>
      <c r="C77">
        <v>0</v>
      </c>
      <c r="D77">
        <v>1000</v>
      </c>
      <c r="E77">
        <v>5771</v>
      </c>
      <c r="F77">
        <v>0.3</v>
      </c>
      <c r="G77">
        <v>0.3</v>
      </c>
      <c r="H77">
        <v>0.3</v>
      </c>
      <c r="I77">
        <v>0.3</v>
      </c>
      <c r="J77">
        <v>5771</v>
      </c>
    </row>
    <row r="78" spans="1:10" x14ac:dyDescent="0.25">
      <c r="A78">
        <v>3450</v>
      </c>
      <c r="B78">
        <v>3450</v>
      </c>
      <c r="C78">
        <v>0</v>
      </c>
      <c r="D78">
        <v>1009</v>
      </c>
      <c r="E78">
        <v>33565</v>
      </c>
      <c r="F78">
        <v>0.3</v>
      </c>
      <c r="G78">
        <v>0.4</v>
      </c>
      <c r="H78">
        <v>0.3</v>
      </c>
      <c r="I78">
        <v>0.4</v>
      </c>
      <c r="J78">
        <v>33565</v>
      </c>
    </row>
    <row r="79" spans="1:10" x14ac:dyDescent="0.25">
      <c r="A79">
        <v>3475</v>
      </c>
      <c r="B79">
        <v>3475</v>
      </c>
      <c r="C79">
        <v>0</v>
      </c>
      <c r="D79">
        <v>0</v>
      </c>
      <c r="E79">
        <v>9454</v>
      </c>
      <c r="F79">
        <v>0</v>
      </c>
      <c r="G79">
        <v>0</v>
      </c>
      <c r="H79">
        <v>0</v>
      </c>
      <c r="I79">
        <v>0</v>
      </c>
      <c r="J79">
        <v>9454</v>
      </c>
    </row>
    <row r="80" spans="1:10" x14ac:dyDescent="0.25">
      <c r="A80">
        <v>3500</v>
      </c>
      <c r="B80">
        <v>3500</v>
      </c>
      <c r="C80">
        <v>0</v>
      </c>
      <c r="D80">
        <v>2000</v>
      </c>
      <c r="E80">
        <v>110728</v>
      </c>
      <c r="F80">
        <v>0</v>
      </c>
      <c r="G80">
        <v>0</v>
      </c>
      <c r="H80">
        <v>0</v>
      </c>
      <c r="I80">
        <v>0</v>
      </c>
      <c r="J80">
        <v>110728</v>
      </c>
    </row>
    <row r="81" spans="1:10" x14ac:dyDescent="0.25">
      <c r="A81">
        <v>3525</v>
      </c>
      <c r="B81">
        <v>3525</v>
      </c>
      <c r="C81">
        <v>0</v>
      </c>
      <c r="D81">
        <v>2700</v>
      </c>
      <c r="E81">
        <v>9255</v>
      </c>
      <c r="F81">
        <v>0.4</v>
      </c>
      <c r="G81">
        <v>0.5</v>
      </c>
      <c r="H81">
        <v>0.4</v>
      </c>
      <c r="I81">
        <v>0.5</v>
      </c>
      <c r="J81">
        <v>9255</v>
      </c>
    </row>
    <row r="82" spans="1:10" x14ac:dyDescent="0.25">
      <c r="A82">
        <v>3550</v>
      </c>
      <c r="B82">
        <v>3550</v>
      </c>
      <c r="C82">
        <v>0</v>
      </c>
      <c r="D82">
        <v>1333</v>
      </c>
      <c r="E82">
        <v>34099</v>
      </c>
      <c r="F82">
        <v>0.5</v>
      </c>
      <c r="G82">
        <v>0.5</v>
      </c>
      <c r="H82">
        <v>0.4</v>
      </c>
      <c r="I82">
        <v>0.5</v>
      </c>
      <c r="J82">
        <v>34099</v>
      </c>
    </row>
    <row r="83" spans="1:10" x14ac:dyDescent="0.25">
      <c r="A83">
        <v>3575</v>
      </c>
      <c r="B83">
        <v>3575</v>
      </c>
      <c r="C83">
        <v>0</v>
      </c>
      <c r="D83">
        <v>643</v>
      </c>
      <c r="E83">
        <v>5759</v>
      </c>
      <c r="F83">
        <v>0.6</v>
      </c>
      <c r="G83">
        <v>0.6</v>
      </c>
      <c r="H83">
        <v>0.5</v>
      </c>
      <c r="I83">
        <v>0.5</v>
      </c>
      <c r="J83">
        <v>5759</v>
      </c>
    </row>
    <row r="84" spans="1:10" x14ac:dyDescent="0.25">
      <c r="A84">
        <v>3600</v>
      </c>
      <c r="B84">
        <v>3600</v>
      </c>
      <c r="C84">
        <v>0</v>
      </c>
      <c r="D84">
        <v>770</v>
      </c>
      <c r="E84">
        <v>111729</v>
      </c>
      <c r="F84">
        <v>0.5</v>
      </c>
      <c r="G84">
        <v>0.6</v>
      </c>
      <c r="H84">
        <v>0.5</v>
      </c>
      <c r="I84">
        <v>0.6</v>
      </c>
      <c r="J84">
        <v>111729</v>
      </c>
    </row>
    <row r="85" spans="1:10" x14ac:dyDescent="0.25">
      <c r="A85">
        <v>3625</v>
      </c>
      <c r="B85">
        <v>3625</v>
      </c>
      <c r="C85">
        <v>0</v>
      </c>
      <c r="D85">
        <v>500</v>
      </c>
      <c r="E85">
        <v>6713</v>
      </c>
      <c r="F85">
        <v>0.5</v>
      </c>
      <c r="G85">
        <v>0.5</v>
      </c>
      <c r="H85">
        <v>0.5</v>
      </c>
      <c r="I85">
        <v>0.5</v>
      </c>
      <c r="J85">
        <v>6713</v>
      </c>
    </row>
    <row r="86" spans="1:10" x14ac:dyDescent="0.25">
      <c r="A86">
        <v>3650</v>
      </c>
      <c r="B86">
        <v>3650</v>
      </c>
      <c r="C86">
        <v>0</v>
      </c>
      <c r="D86">
        <v>201</v>
      </c>
      <c r="E86">
        <v>52717</v>
      </c>
      <c r="F86">
        <v>0.7</v>
      </c>
      <c r="G86">
        <v>0.7</v>
      </c>
      <c r="H86">
        <v>0.7</v>
      </c>
      <c r="I86">
        <v>0.7</v>
      </c>
      <c r="J86">
        <v>52717</v>
      </c>
    </row>
    <row r="87" spans="1:10" x14ac:dyDescent="0.25">
      <c r="A87">
        <v>3675</v>
      </c>
      <c r="B87">
        <v>3675</v>
      </c>
      <c r="C87">
        <v>0</v>
      </c>
      <c r="D87">
        <v>108</v>
      </c>
      <c r="E87">
        <v>14021</v>
      </c>
      <c r="F87">
        <v>0.6</v>
      </c>
      <c r="G87">
        <v>0.6</v>
      </c>
      <c r="H87">
        <v>0.6</v>
      </c>
      <c r="I87">
        <v>0.6</v>
      </c>
      <c r="J87">
        <v>14021</v>
      </c>
    </row>
    <row r="88" spans="1:10" x14ac:dyDescent="0.25">
      <c r="A88">
        <v>3700</v>
      </c>
      <c r="B88">
        <v>3700</v>
      </c>
      <c r="C88">
        <v>0</v>
      </c>
      <c r="D88">
        <v>1</v>
      </c>
      <c r="E88">
        <v>88794</v>
      </c>
      <c r="F88">
        <v>0.9</v>
      </c>
      <c r="G88">
        <v>0.9</v>
      </c>
      <c r="H88">
        <v>0.9</v>
      </c>
      <c r="I88">
        <v>0.9</v>
      </c>
      <c r="J88">
        <v>88794</v>
      </c>
    </row>
    <row r="89" spans="1:10" x14ac:dyDescent="0.25">
      <c r="A89">
        <v>3725</v>
      </c>
      <c r="B89">
        <v>3725</v>
      </c>
      <c r="C89">
        <v>0</v>
      </c>
      <c r="D89">
        <v>0</v>
      </c>
      <c r="E89">
        <v>13805</v>
      </c>
      <c r="F89">
        <v>0</v>
      </c>
      <c r="G89">
        <v>0</v>
      </c>
      <c r="H89">
        <v>0</v>
      </c>
      <c r="I89">
        <v>0</v>
      </c>
      <c r="J89">
        <v>13805</v>
      </c>
    </row>
    <row r="90" spans="1:10" x14ac:dyDescent="0.25">
      <c r="A90">
        <v>3750</v>
      </c>
      <c r="B90">
        <v>3750</v>
      </c>
      <c r="C90">
        <v>0</v>
      </c>
      <c r="D90">
        <v>51</v>
      </c>
      <c r="E90">
        <v>81801</v>
      </c>
      <c r="F90">
        <v>0.8</v>
      </c>
      <c r="G90">
        <v>0.9</v>
      </c>
      <c r="H90">
        <v>0.8</v>
      </c>
      <c r="I90">
        <v>0.9</v>
      </c>
      <c r="J90">
        <v>81801</v>
      </c>
    </row>
    <row r="91" spans="1:10" x14ac:dyDescent="0.25">
      <c r="A91">
        <v>3775</v>
      </c>
      <c r="B91">
        <v>3775</v>
      </c>
      <c r="C91">
        <v>0</v>
      </c>
      <c r="D91">
        <v>1200</v>
      </c>
      <c r="E91">
        <v>24531</v>
      </c>
      <c r="F91">
        <v>0.9</v>
      </c>
      <c r="G91">
        <v>0.9</v>
      </c>
      <c r="H91">
        <v>0.9</v>
      </c>
      <c r="I91">
        <v>0.9</v>
      </c>
      <c r="J91">
        <v>24531</v>
      </c>
    </row>
    <row r="92" spans="1:10" x14ac:dyDescent="0.25">
      <c r="A92">
        <v>3800</v>
      </c>
      <c r="B92">
        <v>3800</v>
      </c>
      <c r="C92">
        <v>0</v>
      </c>
      <c r="D92">
        <v>105</v>
      </c>
      <c r="E92">
        <v>161907</v>
      </c>
      <c r="F92">
        <v>1.2</v>
      </c>
      <c r="G92">
        <v>1.2</v>
      </c>
      <c r="H92">
        <v>1.2</v>
      </c>
      <c r="I92">
        <v>1.2</v>
      </c>
      <c r="J92">
        <v>161907</v>
      </c>
    </row>
    <row r="93" spans="1:10" x14ac:dyDescent="0.25">
      <c r="A93">
        <v>3825</v>
      </c>
      <c r="B93">
        <v>3825</v>
      </c>
      <c r="C93">
        <v>0</v>
      </c>
      <c r="D93">
        <v>1000</v>
      </c>
      <c r="E93">
        <v>48217</v>
      </c>
      <c r="F93">
        <v>0</v>
      </c>
      <c r="G93">
        <v>0</v>
      </c>
      <c r="H93">
        <v>0</v>
      </c>
      <c r="I93">
        <v>0</v>
      </c>
      <c r="J93">
        <v>48217</v>
      </c>
    </row>
    <row r="94" spans="1:10" x14ac:dyDescent="0.25">
      <c r="A94">
        <v>3850</v>
      </c>
      <c r="B94">
        <v>3850</v>
      </c>
      <c r="C94">
        <v>0</v>
      </c>
      <c r="D94">
        <v>2</v>
      </c>
      <c r="E94">
        <v>146335</v>
      </c>
      <c r="F94">
        <v>1.5</v>
      </c>
      <c r="G94">
        <v>1.5</v>
      </c>
      <c r="H94">
        <v>1.5</v>
      </c>
      <c r="I94">
        <v>1.5</v>
      </c>
      <c r="J94">
        <v>146335</v>
      </c>
    </row>
    <row r="95" spans="1:10" x14ac:dyDescent="0.25">
      <c r="A95">
        <v>3875</v>
      </c>
      <c r="B95">
        <v>3875</v>
      </c>
      <c r="C95">
        <v>0</v>
      </c>
      <c r="D95">
        <v>233</v>
      </c>
      <c r="E95">
        <v>40695</v>
      </c>
      <c r="F95">
        <v>1.5</v>
      </c>
      <c r="G95">
        <v>1.7</v>
      </c>
      <c r="H95">
        <v>1.5</v>
      </c>
      <c r="I95">
        <v>1.7</v>
      </c>
      <c r="J95">
        <v>40695</v>
      </c>
    </row>
    <row r="96" spans="1:10" x14ac:dyDescent="0.25">
      <c r="A96">
        <v>3900</v>
      </c>
      <c r="B96">
        <v>3900</v>
      </c>
      <c r="C96">
        <v>0</v>
      </c>
      <c r="D96">
        <v>2027</v>
      </c>
      <c r="E96">
        <v>248344</v>
      </c>
      <c r="F96">
        <v>1.5</v>
      </c>
      <c r="G96">
        <v>1.7</v>
      </c>
      <c r="H96">
        <v>1.5</v>
      </c>
      <c r="I96">
        <v>1.7</v>
      </c>
      <c r="J96">
        <v>248344</v>
      </c>
    </row>
    <row r="97" spans="1:10" x14ac:dyDescent="0.25">
      <c r="A97">
        <v>3925</v>
      </c>
      <c r="B97">
        <v>3925</v>
      </c>
      <c r="C97">
        <v>0</v>
      </c>
      <c r="D97">
        <v>18</v>
      </c>
      <c r="E97">
        <v>16784</v>
      </c>
      <c r="F97">
        <v>1.6</v>
      </c>
      <c r="G97">
        <v>1.9</v>
      </c>
      <c r="H97">
        <v>1.6</v>
      </c>
      <c r="I97">
        <v>1.9</v>
      </c>
      <c r="J97">
        <v>16784</v>
      </c>
    </row>
    <row r="98" spans="1:10" x14ac:dyDescent="0.25">
      <c r="A98">
        <v>3950</v>
      </c>
      <c r="B98">
        <v>3950</v>
      </c>
      <c r="C98">
        <v>0</v>
      </c>
      <c r="D98">
        <v>734</v>
      </c>
      <c r="E98">
        <v>78534</v>
      </c>
      <c r="F98">
        <v>1.8</v>
      </c>
      <c r="G98">
        <v>2.2999999999999998</v>
      </c>
      <c r="H98">
        <v>1.8</v>
      </c>
      <c r="I98">
        <v>2.2999999999999998</v>
      </c>
      <c r="J98">
        <v>78534</v>
      </c>
    </row>
    <row r="99" spans="1:10" x14ac:dyDescent="0.25">
      <c r="A99">
        <v>3975</v>
      </c>
      <c r="B99">
        <v>3975</v>
      </c>
      <c r="C99">
        <v>0</v>
      </c>
      <c r="D99">
        <v>145</v>
      </c>
      <c r="E99">
        <v>13964</v>
      </c>
      <c r="F99">
        <v>2.9</v>
      </c>
      <c r="G99">
        <v>2.9</v>
      </c>
      <c r="H99">
        <v>2.9</v>
      </c>
      <c r="I99">
        <v>2.9</v>
      </c>
      <c r="J99">
        <v>13964</v>
      </c>
    </row>
    <row r="100" spans="1:10" x14ac:dyDescent="0.25">
      <c r="A100">
        <v>4000</v>
      </c>
      <c r="B100">
        <v>4000</v>
      </c>
      <c r="C100">
        <v>0</v>
      </c>
      <c r="D100">
        <v>9808</v>
      </c>
      <c r="E100">
        <v>219081</v>
      </c>
      <c r="F100">
        <v>2.4</v>
      </c>
      <c r="G100">
        <v>3.7</v>
      </c>
      <c r="H100">
        <v>2.2000000000000002</v>
      </c>
      <c r="I100">
        <v>3.6</v>
      </c>
      <c r="J100">
        <v>219081</v>
      </c>
    </row>
    <row r="101" spans="1:10" x14ac:dyDescent="0.25">
      <c r="A101">
        <v>4025</v>
      </c>
      <c r="B101">
        <v>4025</v>
      </c>
      <c r="C101">
        <v>0</v>
      </c>
      <c r="D101">
        <v>30</v>
      </c>
      <c r="E101">
        <v>20856</v>
      </c>
      <c r="F101">
        <v>2.5</v>
      </c>
      <c r="G101">
        <v>2.7</v>
      </c>
      <c r="H101">
        <v>2.5</v>
      </c>
      <c r="I101">
        <v>2.7</v>
      </c>
      <c r="J101">
        <v>20856</v>
      </c>
    </row>
    <row r="102" spans="1:10" x14ac:dyDescent="0.25">
      <c r="A102">
        <v>4050</v>
      </c>
      <c r="B102">
        <v>4050</v>
      </c>
      <c r="C102">
        <v>0</v>
      </c>
      <c r="D102">
        <v>1851</v>
      </c>
      <c r="E102">
        <v>60109</v>
      </c>
      <c r="F102">
        <v>2.9</v>
      </c>
      <c r="G102">
        <v>4.9000000000000004</v>
      </c>
      <c r="H102">
        <v>2.9</v>
      </c>
      <c r="I102">
        <v>4.5999999999999996</v>
      </c>
      <c r="J102">
        <v>60109</v>
      </c>
    </row>
    <row r="103" spans="1:10" x14ac:dyDescent="0.25">
      <c r="A103">
        <v>4075</v>
      </c>
      <c r="B103">
        <v>4075</v>
      </c>
      <c r="C103">
        <v>0</v>
      </c>
      <c r="D103">
        <v>85</v>
      </c>
      <c r="E103">
        <v>78700</v>
      </c>
      <c r="F103">
        <v>3.4</v>
      </c>
      <c r="G103">
        <v>6.4</v>
      </c>
      <c r="H103">
        <v>3.4</v>
      </c>
      <c r="I103">
        <v>5.6</v>
      </c>
      <c r="J103">
        <v>78700</v>
      </c>
    </row>
    <row r="104" spans="1:10" x14ac:dyDescent="0.25">
      <c r="A104">
        <v>4100</v>
      </c>
      <c r="B104">
        <v>4100</v>
      </c>
      <c r="C104">
        <v>0</v>
      </c>
      <c r="D104">
        <v>12921</v>
      </c>
      <c r="E104">
        <v>113591</v>
      </c>
      <c r="F104">
        <v>5</v>
      </c>
      <c r="G104">
        <v>7.8</v>
      </c>
      <c r="H104">
        <v>4.3</v>
      </c>
      <c r="I104">
        <v>6.9</v>
      </c>
      <c r="J104">
        <v>113591</v>
      </c>
    </row>
    <row r="105" spans="1:10" x14ac:dyDescent="0.25">
      <c r="A105">
        <v>4125</v>
      </c>
      <c r="B105">
        <v>4125</v>
      </c>
      <c r="C105">
        <v>0</v>
      </c>
      <c r="D105">
        <v>1431</v>
      </c>
      <c r="E105">
        <v>40624</v>
      </c>
      <c r="F105">
        <v>5.5</v>
      </c>
      <c r="G105">
        <v>9.5</v>
      </c>
      <c r="H105">
        <v>5.5</v>
      </c>
      <c r="I105">
        <v>8.6999999999999993</v>
      </c>
      <c r="J105">
        <v>40624</v>
      </c>
    </row>
    <row r="106" spans="1:10" x14ac:dyDescent="0.25">
      <c r="A106">
        <v>4150</v>
      </c>
      <c r="B106">
        <v>4150</v>
      </c>
      <c r="C106">
        <v>0</v>
      </c>
      <c r="D106">
        <v>4866</v>
      </c>
      <c r="E106">
        <v>102084</v>
      </c>
      <c r="F106">
        <v>7.3</v>
      </c>
      <c r="G106">
        <v>12</v>
      </c>
      <c r="H106">
        <v>6.8</v>
      </c>
      <c r="I106">
        <v>11.7</v>
      </c>
      <c r="J106">
        <v>102084</v>
      </c>
    </row>
    <row r="107" spans="1:10" x14ac:dyDescent="0.25">
      <c r="A107">
        <v>4175</v>
      </c>
      <c r="B107">
        <v>4175</v>
      </c>
      <c r="C107">
        <v>0</v>
      </c>
      <c r="D107">
        <v>3152</v>
      </c>
      <c r="E107">
        <v>19203</v>
      </c>
      <c r="F107">
        <v>10</v>
      </c>
      <c r="G107">
        <v>12.7</v>
      </c>
      <c r="H107">
        <v>8.1999999999999993</v>
      </c>
      <c r="I107">
        <v>12.7</v>
      </c>
      <c r="J107">
        <v>19203</v>
      </c>
    </row>
    <row r="108" spans="1:10" x14ac:dyDescent="0.25">
      <c r="A108">
        <v>4200</v>
      </c>
      <c r="B108">
        <v>4200</v>
      </c>
      <c r="C108">
        <v>0</v>
      </c>
      <c r="D108">
        <v>14767</v>
      </c>
      <c r="E108">
        <v>156629</v>
      </c>
      <c r="F108">
        <v>14.2</v>
      </c>
      <c r="G108">
        <v>20.5</v>
      </c>
      <c r="H108">
        <v>10.4</v>
      </c>
      <c r="I108">
        <v>18.5</v>
      </c>
      <c r="J108">
        <v>156629</v>
      </c>
    </row>
    <row r="109" spans="1:10" x14ac:dyDescent="0.25">
      <c r="A109">
        <v>4225</v>
      </c>
      <c r="B109">
        <v>4225</v>
      </c>
      <c r="C109">
        <v>0</v>
      </c>
      <c r="D109">
        <v>1078</v>
      </c>
      <c r="E109">
        <v>25124</v>
      </c>
      <c r="F109">
        <v>16</v>
      </c>
      <c r="G109">
        <v>26.1</v>
      </c>
      <c r="H109">
        <v>13.5</v>
      </c>
      <c r="I109">
        <v>24.2</v>
      </c>
      <c r="J109">
        <v>25124</v>
      </c>
    </row>
    <row r="110" spans="1:10" x14ac:dyDescent="0.25">
      <c r="A110">
        <v>4250</v>
      </c>
      <c r="B110">
        <v>4250</v>
      </c>
      <c r="C110">
        <v>0</v>
      </c>
      <c r="D110">
        <v>14407</v>
      </c>
      <c r="E110">
        <v>108987</v>
      </c>
      <c r="F110">
        <v>21.9</v>
      </c>
      <c r="G110">
        <v>33.5</v>
      </c>
      <c r="H110">
        <v>17.399999999999999</v>
      </c>
      <c r="I110">
        <v>31.1</v>
      </c>
      <c r="J110">
        <v>108987</v>
      </c>
    </row>
    <row r="111" spans="1:10" x14ac:dyDescent="0.25">
      <c r="A111">
        <v>4275</v>
      </c>
      <c r="B111">
        <v>4275</v>
      </c>
      <c r="C111">
        <v>0</v>
      </c>
      <c r="D111">
        <v>4095</v>
      </c>
      <c r="E111">
        <v>28350</v>
      </c>
      <c r="F111">
        <v>27.2</v>
      </c>
      <c r="G111">
        <v>43</v>
      </c>
      <c r="H111">
        <v>23.2</v>
      </c>
      <c r="I111">
        <v>40.700000000000003</v>
      </c>
      <c r="J111">
        <v>28350</v>
      </c>
    </row>
    <row r="112" spans="1:10" x14ac:dyDescent="0.25">
      <c r="A112">
        <v>4300</v>
      </c>
      <c r="B112">
        <v>4300</v>
      </c>
      <c r="C112">
        <v>0</v>
      </c>
      <c r="D112">
        <v>7484</v>
      </c>
      <c r="E112">
        <v>92980</v>
      </c>
      <c r="F112">
        <v>36.299999999999997</v>
      </c>
      <c r="G112">
        <v>55</v>
      </c>
      <c r="H112">
        <v>30.5</v>
      </c>
      <c r="I112">
        <v>53</v>
      </c>
      <c r="J112">
        <v>92980</v>
      </c>
    </row>
    <row r="113" spans="1:10" x14ac:dyDescent="0.25">
      <c r="A113">
        <v>4325</v>
      </c>
      <c r="B113">
        <v>4325</v>
      </c>
      <c r="C113">
        <v>0</v>
      </c>
      <c r="D113">
        <v>1284</v>
      </c>
      <c r="E113">
        <v>21662</v>
      </c>
      <c r="F113">
        <v>41.8</v>
      </c>
      <c r="G113">
        <v>50.8</v>
      </c>
      <c r="H113">
        <v>40</v>
      </c>
      <c r="I113">
        <v>50.7</v>
      </c>
      <c r="J113">
        <v>21662</v>
      </c>
    </row>
    <row r="114" spans="1:10" x14ac:dyDescent="0.25">
      <c r="A114">
        <v>4350</v>
      </c>
      <c r="B114">
        <v>4350</v>
      </c>
      <c r="C114">
        <v>0</v>
      </c>
      <c r="D114">
        <v>3709</v>
      </c>
      <c r="E114">
        <v>75432</v>
      </c>
      <c r="F114">
        <v>63</v>
      </c>
      <c r="G114">
        <v>83</v>
      </c>
      <c r="H114">
        <v>53.3</v>
      </c>
      <c r="I114">
        <v>83</v>
      </c>
      <c r="J114">
        <v>75432</v>
      </c>
    </row>
    <row r="115" spans="1:10" x14ac:dyDescent="0.25">
      <c r="A115">
        <v>4375</v>
      </c>
      <c r="B115">
        <v>4375</v>
      </c>
      <c r="C115">
        <v>0</v>
      </c>
      <c r="D115">
        <v>2</v>
      </c>
      <c r="E115">
        <v>17582</v>
      </c>
      <c r="F115">
        <v>102</v>
      </c>
      <c r="G115">
        <v>102</v>
      </c>
      <c r="H115">
        <v>102</v>
      </c>
      <c r="I115">
        <v>102</v>
      </c>
      <c r="J115">
        <v>17582</v>
      </c>
    </row>
    <row r="116" spans="1:10" x14ac:dyDescent="0.25">
      <c r="A116">
        <v>4400</v>
      </c>
      <c r="B116">
        <v>4400</v>
      </c>
      <c r="C116">
        <v>0</v>
      </c>
      <c r="D116">
        <v>546</v>
      </c>
      <c r="E116">
        <v>35672</v>
      </c>
      <c r="F116">
        <v>91.1</v>
      </c>
      <c r="G116">
        <v>128</v>
      </c>
      <c r="H116">
        <v>88</v>
      </c>
      <c r="I116">
        <v>128</v>
      </c>
      <c r="J116">
        <v>35672</v>
      </c>
    </row>
    <row r="117" spans="1:10" x14ac:dyDescent="0.25">
      <c r="A117">
        <v>4425</v>
      </c>
      <c r="B117">
        <v>4425</v>
      </c>
      <c r="C117">
        <v>0</v>
      </c>
      <c r="D117">
        <v>107</v>
      </c>
      <c r="E117">
        <v>6285</v>
      </c>
      <c r="F117">
        <v>112</v>
      </c>
      <c r="G117">
        <v>148.5</v>
      </c>
      <c r="H117">
        <v>110</v>
      </c>
      <c r="I117">
        <v>147.80000000000001</v>
      </c>
      <c r="J117">
        <v>6285</v>
      </c>
    </row>
    <row r="118" spans="1:10" x14ac:dyDescent="0.25">
      <c r="A118">
        <v>4450</v>
      </c>
      <c r="B118">
        <v>4450</v>
      </c>
      <c r="C118">
        <v>0</v>
      </c>
      <c r="D118">
        <v>2</v>
      </c>
      <c r="E118">
        <v>9872</v>
      </c>
      <c r="F118">
        <v>143.4</v>
      </c>
      <c r="G118">
        <v>143.4</v>
      </c>
      <c r="H118">
        <v>143.4</v>
      </c>
      <c r="I118">
        <v>143.4</v>
      </c>
      <c r="J118">
        <v>9872</v>
      </c>
    </row>
    <row r="119" spans="1:10" x14ac:dyDescent="0.25">
      <c r="A119">
        <v>4475</v>
      </c>
      <c r="B119">
        <v>4475</v>
      </c>
      <c r="C119">
        <v>0</v>
      </c>
      <c r="D119">
        <v>0</v>
      </c>
      <c r="E119">
        <v>967</v>
      </c>
      <c r="F119">
        <v>0</v>
      </c>
      <c r="G119">
        <v>0</v>
      </c>
      <c r="H119">
        <v>0</v>
      </c>
      <c r="I119">
        <v>0</v>
      </c>
      <c r="J119">
        <v>967</v>
      </c>
    </row>
    <row r="120" spans="1:10" x14ac:dyDescent="0.25">
      <c r="A120">
        <v>4500</v>
      </c>
      <c r="B120">
        <v>4500</v>
      </c>
      <c r="C120">
        <v>0</v>
      </c>
      <c r="D120">
        <v>0</v>
      </c>
      <c r="E120">
        <v>20331</v>
      </c>
      <c r="F120">
        <v>0</v>
      </c>
      <c r="G120">
        <v>0</v>
      </c>
      <c r="H120">
        <v>0</v>
      </c>
      <c r="I120">
        <v>0</v>
      </c>
      <c r="J120">
        <v>20331</v>
      </c>
    </row>
    <row r="121" spans="1:10" x14ac:dyDescent="0.25">
      <c r="A121">
        <v>4525</v>
      </c>
      <c r="B121">
        <v>4525</v>
      </c>
      <c r="C121">
        <v>0</v>
      </c>
      <c r="D121">
        <v>0</v>
      </c>
      <c r="E121">
        <v>252</v>
      </c>
      <c r="F121">
        <v>0</v>
      </c>
      <c r="G121">
        <v>0</v>
      </c>
      <c r="H121">
        <v>0</v>
      </c>
      <c r="I121">
        <v>0</v>
      </c>
      <c r="J121">
        <v>252</v>
      </c>
    </row>
    <row r="122" spans="1:10" x14ac:dyDescent="0.25">
      <c r="A122">
        <v>4550</v>
      </c>
      <c r="B122">
        <v>4550</v>
      </c>
      <c r="C122">
        <v>0</v>
      </c>
      <c r="D122">
        <v>0</v>
      </c>
      <c r="E122">
        <v>3492</v>
      </c>
      <c r="F122">
        <v>0</v>
      </c>
      <c r="G122">
        <v>0</v>
      </c>
      <c r="H122">
        <v>0</v>
      </c>
      <c r="I122">
        <v>0</v>
      </c>
      <c r="J122">
        <v>3492</v>
      </c>
    </row>
    <row r="123" spans="1:10" x14ac:dyDescent="0.25">
      <c r="A123">
        <v>4575</v>
      </c>
      <c r="B123">
        <v>4575</v>
      </c>
      <c r="C123">
        <v>0</v>
      </c>
      <c r="D123">
        <v>0</v>
      </c>
      <c r="E123">
        <v>10</v>
      </c>
      <c r="F123">
        <v>0</v>
      </c>
      <c r="G123">
        <v>0</v>
      </c>
      <c r="H123">
        <v>0</v>
      </c>
      <c r="I123">
        <v>0</v>
      </c>
      <c r="J123">
        <v>10</v>
      </c>
    </row>
    <row r="124" spans="1:10" x14ac:dyDescent="0.25">
      <c r="A124">
        <v>4600</v>
      </c>
      <c r="B124">
        <v>4600</v>
      </c>
      <c r="C124">
        <v>0</v>
      </c>
      <c r="D124">
        <v>0</v>
      </c>
      <c r="E124">
        <v>3355</v>
      </c>
      <c r="F124">
        <v>0</v>
      </c>
      <c r="G124">
        <v>0</v>
      </c>
      <c r="H124">
        <v>0</v>
      </c>
      <c r="I124">
        <v>0</v>
      </c>
      <c r="J124">
        <v>3355</v>
      </c>
    </row>
    <row r="125" spans="1:10" x14ac:dyDescent="0.25">
      <c r="A125">
        <v>4625</v>
      </c>
      <c r="B125">
        <v>4625</v>
      </c>
      <c r="C125">
        <v>0</v>
      </c>
      <c r="D125">
        <v>0</v>
      </c>
      <c r="E125">
        <v>79</v>
      </c>
      <c r="F125">
        <v>0</v>
      </c>
      <c r="G125">
        <v>0</v>
      </c>
      <c r="H125">
        <v>0</v>
      </c>
      <c r="I125">
        <v>0</v>
      </c>
      <c r="J125">
        <v>79</v>
      </c>
    </row>
    <row r="126" spans="1:10" x14ac:dyDescent="0.25">
      <c r="A126">
        <v>4650</v>
      </c>
      <c r="B126">
        <v>4650</v>
      </c>
      <c r="C126">
        <v>0</v>
      </c>
      <c r="D126">
        <v>0</v>
      </c>
      <c r="E126">
        <v>334</v>
      </c>
      <c r="F126">
        <v>0</v>
      </c>
      <c r="G126">
        <v>0</v>
      </c>
      <c r="H126">
        <v>0</v>
      </c>
      <c r="I126">
        <v>0</v>
      </c>
      <c r="J126">
        <v>334</v>
      </c>
    </row>
    <row r="127" spans="1:10" x14ac:dyDescent="0.25">
      <c r="A127">
        <v>4675</v>
      </c>
      <c r="B127">
        <v>4675</v>
      </c>
      <c r="C127">
        <v>0</v>
      </c>
      <c r="D127">
        <v>0</v>
      </c>
      <c r="E127">
        <v>59</v>
      </c>
      <c r="F127">
        <v>0</v>
      </c>
      <c r="G127">
        <v>0</v>
      </c>
      <c r="H127">
        <v>0</v>
      </c>
      <c r="I127">
        <v>0</v>
      </c>
      <c r="J127">
        <v>59</v>
      </c>
    </row>
    <row r="128" spans="1:10" x14ac:dyDescent="0.25">
      <c r="A128">
        <v>4700</v>
      </c>
      <c r="B128">
        <v>4700</v>
      </c>
      <c r="C128">
        <v>0</v>
      </c>
      <c r="D128">
        <v>0</v>
      </c>
      <c r="E128">
        <v>102</v>
      </c>
      <c r="F128">
        <v>0</v>
      </c>
      <c r="G128">
        <v>0</v>
      </c>
      <c r="H128">
        <v>0</v>
      </c>
      <c r="I128">
        <v>0</v>
      </c>
      <c r="J128">
        <v>102</v>
      </c>
    </row>
    <row r="129" spans="1:10" x14ac:dyDescent="0.25">
      <c r="A129">
        <v>4725</v>
      </c>
      <c r="B129">
        <v>4725</v>
      </c>
      <c r="C129">
        <v>0</v>
      </c>
      <c r="D129">
        <v>0</v>
      </c>
      <c r="E129">
        <v>38</v>
      </c>
      <c r="F129">
        <v>0</v>
      </c>
      <c r="G129">
        <v>0</v>
      </c>
      <c r="H129">
        <v>0</v>
      </c>
      <c r="I129">
        <v>0</v>
      </c>
      <c r="J129">
        <v>38</v>
      </c>
    </row>
    <row r="130" spans="1:10" x14ac:dyDescent="0.25">
      <c r="A130">
        <v>4750</v>
      </c>
      <c r="B130">
        <v>4750</v>
      </c>
      <c r="C130">
        <v>0</v>
      </c>
      <c r="D130">
        <v>0</v>
      </c>
      <c r="E130">
        <v>7</v>
      </c>
      <c r="F130">
        <v>0</v>
      </c>
      <c r="G130">
        <v>0</v>
      </c>
      <c r="H130">
        <v>0</v>
      </c>
      <c r="I130">
        <v>0</v>
      </c>
      <c r="J130">
        <v>7</v>
      </c>
    </row>
    <row r="131" spans="1:10" x14ac:dyDescent="0.25">
      <c r="A131">
        <v>4775</v>
      </c>
      <c r="B131">
        <v>4775</v>
      </c>
      <c r="C131">
        <v>0</v>
      </c>
      <c r="D131">
        <v>0</v>
      </c>
      <c r="E131">
        <v>0</v>
      </c>
      <c r="F131">
        <v>0</v>
      </c>
      <c r="G131">
        <v>0</v>
      </c>
      <c r="H131">
        <v>0</v>
      </c>
      <c r="I131">
        <v>0</v>
      </c>
      <c r="J131">
        <v>0</v>
      </c>
    </row>
    <row r="132" spans="1:10" x14ac:dyDescent="0.25">
      <c r="A132">
        <v>4800</v>
      </c>
      <c r="B132">
        <v>4800</v>
      </c>
      <c r="C132">
        <v>0</v>
      </c>
      <c r="D132">
        <v>0</v>
      </c>
      <c r="E132">
        <v>40</v>
      </c>
      <c r="F132">
        <v>0</v>
      </c>
      <c r="G132">
        <v>0</v>
      </c>
      <c r="H132">
        <v>0</v>
      </c>
      <c r="I132">
        <v>0</v>
      </c>
      <c r="J132">
        <v>40</v>
      </c>
    </row>
    <row r="133" spans="1:10" x14ac:dyDescent="0.25">
      <c r="A133">
        <v>4825</v>
      </c>
      <c r="B133">
        <v>4825</v>
      </c>
      <c r="C133">
        <v>0</v>
      </c>
      <c r="D133">
        <v>0</v>
      </c>
      <c r="E133">
        <v>0</v>
      </c>
      <c r="F133">
        <v>0</v>
      </c>
      <c r="G133">
        <v>0</v>
      </c>
      <c r="H133">
        <v>0</v>
      </c>
      <c r="I133">
        <v>0</v>
      </c>
      <c r="J133">
        <v>0</v>
      </c>
    </row>
    <row r="134" spans="1:10" x14ac:dyDescent="0.25">
      <c r="A134">
        <v>4850</v>
      </c>
      <c r="B134">
        <v>4850</v>
      </c>
      <c r="C134">
        <v>0</v>
      </c>
      <c r="D134">
        <v>0</v>
      </c>
      <c r="E134">
        <v>2</v>
      </c>
      <c r="F134">
        <v>0</v>
      </c>
      <c r="G134">
        <v>0</v>
      </c>
      <c r="H134">
        <v>0</v>
      </c>
      <c r="I134">
        <v>0</v>
      </c>
      <c r="J134">
        <v>2</v>
      </c>
    </row>
    <row r="135" spans="1:10" x14ac:dyDescent="0.25">
      <c r="A135">
        <v>4875</v>
      </c>
      <c r="B135">
        <v>4875</v>
      </c>
      <c r="C135">
        <v>0</v>
      </c>
      <c r="D135">
        <v>0</v>
      </c>
      <c r="E135">
        <v>0</v>
      </c>
      <c r="F135">
        <v>0</v>
      </c>
      <c r="G135">
        <v>0</v>
      </c>
      <c r="H135">
        <v>0</v>
      </c>
      <c r="I135">
        <v>0</v>
      </c>
      <c r="J135">
        <v>0</v>
      </c>
    </row>
    <row r="136" spans="1:10" x14ac:dyDescent="0.25">
      <c r="A136">
        <v>4900</v>
      </c>
      <c r="B136">
        <v>4900</v>
      </c>
      <c r="C136">
        <v>0</v>
      </c>
      <c r="D136">
        <v>0</v>
      </c>
      <c r="E136">
        <v>2</v>
      </c>
      <c r="F136">
        <v>0</v>
      </c>
      <c r="G136">
        <v>0</v>
      </c>
      <c r="H136">
        <v>0</v>
      </c>
      <c r="I136">
        <v>0</v>
      </c>
      <c r="J136">
        <v>2</v>
      </c>
    </row>
    <row r="137" spans="1:10" x14ac:dyDescent="0.25">
      <c r="A137">
        <v>4925</v>
      </c>
      <c r="B137">
        <v>4925</v>
      </c>
      <c r="C137">
        <v>0</v>
      </c>
      <c r="D137">
        <v>0</v>
      </c>
      <c r="E137">
        <v>0</v>
      </c>
      <c r="F137">
        <v>0</v>
      </c>
      <c r="G137">
        <v>0</v>
      </c>
      <c r="H137">
        <v>0</v>
      </c>
      <c r="I137">
        <v>0</v>
      </c>
      <c r="J137">
        <v>0</v>
      </c>
    </row>
    <row r="138" spans="1:10" x14ac:dyDescent="0.25">
      <c r="A138">
        <v>4950</v>
      </c>
      <c r="B138">
        <v>4950</v>
      </c>
      <c r="C138">
        <v>0</v>
      </c>
      <c r="D138">
        <v>0</v>
      </c>
      <c r="E138">
        <v>0</v>
      </c>
      <c r="F138">
        <v>0</v>
      </c>
      <c r="G138">
        <v>0</v>
      </c>
      <c r="H138">
        <v>0</v>
      </c>
      <c r="I138">
        <v>0</v>
      </c>
      <c r="J138">
        <v>0</v>
      </c>
    </row>
    <row r="139" spans="1:10" x14ac:dyDescent="0.25">
      <c r="A139">
        <v>4975</v>
      </c>
      <c r="B139">
        <v>4975</v>
      </c>
      <c r="C139">
        <v>0</v>
      </c>
      <c r="D139">
        <v>0</v>
      </c>
      <c r="E139">
        <v>0</v>
      </c>
      <c r="F139">
        <v>0</v>
      </c>
      <c r="G139">
        <v>0</v>
      </c>
      <c r="H139">
        <v>0</v>
      </c>
      <c r="I139">
        <v>0</v>
      </c>
      <c r="J139">
        <v>0</v>
      </c>
    </row>
    <row r="140" spans="1:10" x14ac:dyDescent="0.25">
      <c r="A140">
        <v>5000</v>
      </c>
      <c r="B140">
        <v>5000</v>
      </c>
      <c r="C140">
        <v>0</v>
      </c>
      <c r="D140">
        <v>0</v>
      </c>
      <c r="E140">
        <v>42</v>
      </c>
      <c r="F140">
        <v>0</v>
      </c>
      <c r="G140">
        <v>0</v>
      </c>
      <c r="H140">
        <v>0</v>
      </c>
      <c r="I140">
        <v>0</v>
      </c>
      <c r="J140">
        <v>42</v>
      </c>
    </row>
    <row r="141" spans="1:10" x14ac:dyDescent="0.25">
      <c r="A141">
        <v>5025</v>
      </c>
      <c r="B141">
        <v>5025</v>
      </c>
      <c r="C141">
        <v>0</v>
      </c>
      <c r="D141">
        <v>0</v>
      </c>
      <c r="E141">
        <v>0</v>
      </c>
      <c r="F141">
        <v>0</v>
      </c>
      <c r="G141">
        <v>0</v>
      </c>
      <c r="H141">
        <v>0</v>
      </c>
      <c r="I141">
        <v>0</v>
      </c>
      <c r="J141">
        <v>0</v>
      </c>
    </row>
    <row r="142" spans="1:10" x14ac:dyDescent="0.25">
      <c r="A142">
        <v>5050</v>
      </c>
      <c r="B142">
        <v>5050</v>
      </c>
      <c r="C142">
        <v>0</v>
      </c>
      <c r="D142">
        <v>0</v>
      </c>
      <c r="E142">
        <v>0</v>
      </c>
      <c r="F142">
        <v>0</v>
      </c>
      <c r="G142">
        <v>0</v>
      </c>
      <c r="H142">
        <v>0</v>
      </c>
      <c r="I142">
        <v>0</v>
      </c>
      <c r="J142">
        <v>0</v>
      </c>
    </row>
    <row r="143" spans="1:10" x14ac:dyDescent="0.25">
      <c r="A143">
        <v>5075</v>
      </c>
      <c r="B143">
        <v>5075</v>
      </c>
      <c r="C143">
        <v>0</v>
      </c>
      <c r="D143">
        <v>0</v>
      </c>
      <c r="E143">
        <v>0</v>
      </c>
      <c r="F143">
        <v>0</v>
      </c>
      <c r="G143">
        <v>0</v>
      </c>
      <c r="H143">
        <v>0</v>
      </c>
      <c r="I143">
        <v>0</v>
      </c>
      <c r="J143">
        <v>0</v>
      </c>
    </row>
    <row r="144" spans="1:10" x14ac:dyDescent="0.25">
      <c r="A144">
        <v>5100</v>
      </c>
      <c r="B144">
        <v>5100</v>
      </c>
      <c r="C144">
        <v>0</v>
      </c>
      <c r="D144">
        <v>0</v>
      </c>
      <c r="E144">
        <v>0</v>
      </c>
      <c r="F144">
        <v>0</v>
      </c>
      <c r="G144">
        <v>0</v>
      </c>
      <c r="H144">
        <v>0</v>
      </c>
      <c r="I144">
        <v>0</v>
      </c>
      <c r="J144">
        <v>0</v>
      </c>
    </row>
    <row r="145" spans="1:10" x14ac:dyDescent="0.25">
      <c r="A145">
        <v>5125</v>
      </c>
      <c r="B145">
        <v>5125</v>
      </c>
      <c r="C145">
        <v>0</v>
      </c>
      <c r="D145">
        <v>0</v>
      </c>
      <c r="E145">
        <v>0</v>
      </c>
      <c r="F145">
        <v>0</v>
      </c>
      <c r="G145">
        <v>0</v>
      </c>
      <c r="H145">
        <v>0</v>
      </c>
      <c r="I145">
        <v>0</v>
      </c>
      <c r="J145">
        <v>0</v>
      </c>
    </row>
    <row r="146" spans="1:10" x14ac:dyDescent="0.25">
      <c r="A146">
        <v>5150</v>
      </c>
      <c r="B146">
        <v>5150</v>
      </c>
      <c r="C146">
        <v>0</v>
      </c>
      <c r="D146">
        <v>0</v>
      </c>
      <c r="E146">
        <v>0</v>
      </c>
      <c r="F146">
        <v>0</v>
      </c>
      <c r="G146">
        <v>0</v>
      </c>
      <c r="H146">
        <v>0</v>
      </c>
      <c r="I146">
        <v>0</v>
      </c>
      <c r="J146">
        <v>0</v>
      </c>
    </row>
    <row r="147" spans="1:10" x14ac:dyDescent="0.25">
      <c r="A147">
        <v>5175</v>
      </c>
      <c r="B147">
        <v>5175</v>
      </c>
      <c r="C147">
        <v>0</v>
      </c>
      <c r="D147">
        <v>0</v>
      </c>
      <c r="E147">
        <v>0</v>
      </c>
      <c r="F147">
        <v>0</v>
      </c>
      <c r="G147">
        <v>0</v>
      </c>
      <c r="H147">
        <v>0</v>
      </c>
      <c r="I147">
        <v>0</v>
      </c>
      <c r="J147">
        <v>0</v>
      </c>
    </row>
    <row r="148" spans="1:10" x14ac:dyDescent="0.25">
      <c r="A148">
        <v>5200</v>
      </c>
      <c r="B148">
        <v>5200</v>
      </c>
      <c r="C148">
        <v>0</v>
      </c>
      <c r="D148">
        <v>0</v>
      </c>
      <c r="E148">
        <v>3</v>
      </c>
      <c r="F148">
        <v>0</v>
      </c>
      <c r="G148">
        <v>0</v>
      </c>
      <c r="H148">
        <v>0</v>
      </c>
      <c r="I148">
        <v>0</v>
      </c>
      <c r="J148">
        <v>3</v>
      </c>
    </row>
    <row r="149" spans="1:10" x14ac:dyDescent="0.25">
      <c r="A149">
        <v>5225</v>
      </c>
      <c r="B149">
        <v>5225</v>
      </c>
      <c r="C149">
        <v>0</v>
      </c>
      <c r="D149">
        <v>0</v>
      </c>
      <c r="E149">
        <v>0</v>
      </c>
      <c r="F149">
        <v>0</v>
      </c>
      <c r="G149">
        <v>0</v>
      </c>
      <c r="H149">
        <v>0</v>
      </c>
      <c r="I149">
        <v>0</v>
      </c>
      <c r="J149">
        <v>0</v>
      </c>
    </row>
    <row r="150" spans="1:10" x14ac:dyDescent="0.25">
      <c r="A150">
        <v>5250</v>
      </c>
      <c r="B150">
        <v>5250</v>
      </c>
      <c r="C150">
        <v>0</v>
      </c>
      <c r="D150">
        <v>0</v>
      </c>
      <c r="E150">
        <v>1</v>
      </c>
      <c r="F150">
        <v>0</v>
      </c>
      <c r="G150">
        <v>0</v>
      </c>
      <c r="H150">
        <v>0</v>
      </c>
      <c r="I150">
        <v>0</v>
      </c>
      <c r="J150">
        <v>1</v>
      </c>
    </row>
    <row r="151" spans="1:10" x14ac:dyDescent="0.25">
      <c r="A151">
        <v>5275</v>
      </c>
      <c r="B151">
        <v>5275</v>
      </c>
      <c r="C151">
        <v>0</v>
      </c>
      <c r="D151">
        <v>0</v>
      </c>
      <c r="E151">
        <v>0</v>
      </c>
      <c r="F151">
        <v>0</v>
      </c>
      <c r="G151">
        <v>0</v>
      </c>
      <c r="H151">
        <v>0</v>
      </c>
      <c r="I151">
        <v>0</v>
      </c>
      <c r="J151">
        <v>0</v>
      </c>
    </row>
    <row r="152" spans="1:10" x14ac:dyDescent="0.25">
      <c r="A152">
        <v>5300</v>
      </c>
      <c r="B152">
        <v>5300</v>
      </c>
      <c r="C152">
        <v>0</v>
      </c>
      <c r="D152">
        <v>0</v>
      </c>
      <c r="E152">
        <v>7</v>
      </c>
      <c r="F152">
        <v>0</v>
      </c>
      <c r="G152">
        <v>0</v>
      </c>
      <c r="H152">
        <v>0</v>
      </c>
      <c r="I152">
        <v>0</v>
      </c>
      <c r="J152">
        <v>7</v>
      </c>
    </row>
    <row r="153" spans="1:10" x14ac:dyDescent="0.25">
      <c r="A153">
        <v>5325</v>
      </c>
      <c r="B153">
        <v>5325</v>
      </c>
      <c r="C153">
        <v>0</v>
      </c>
      <c r="D153">
        <v>0</v>
      </c>
      <c r="E153">
        <v>0</v>
      </c>
      <c r="F153">
        <v>0</v>
      </c>
      <c r="G153">
        <v>0</v>
      </c>
      <c r="H153">
        <v>0</v>
      </c>
      <c r="I153">
        <v>0</v>
      </c>
      <c r="J153">
        <v>0</v>
      </c>
    </row>
    <row r="154" spans="1:10" x14ac:dyDescent="0.25">
      <c r="A154">
        <v>5375</v>
      </c>
      <c r="B154">
        <v>5375</v>
      </c>
      <c r="C154">
        <v>0</v>
      </c>
      <c r="D154">
        <v>0</v>
      </c>
      <c r="E154">
        <v>0</v>
      </c>
      <c r="F154">
        <v>0</v>
      </c>
      <c r="G154">
        <v>0</v>
      </c>
      <c r="H154">
        <v>0</v>
      </c>
      <c r="I154">
        <v>0</v>
      </c>
      <c r="J154">
        <v>0</v>
      </c>
    </row>
    <row r="155" spans="1:10" x14ac:dyDescent="0.25">
      <c r="A155">
        <v>5400</v>
      </c>
      <c r="B155">
        <v>5400</v>
      </c>
      <c r="C155">
        <v>0</v>
      </c>
      <c r="D155">
        <v>0</v>
      </c>
      <c r="E155">
        <v>7</v>
      </c>
      <c r="F155">
        <v>0</v>
      </c>
      <c r="G155">
        <v>0</v>
      </c>
      <c r="H155">
        <v>0</v>
      </c>
      <c r="I155">
        <v>0</v>
      </c>
      <c r="J155">
        <v>7</v>
      </c>
    </row>
    <row r="156" spans="1:10" x14ac:dyDescent="0.25">
      <c r="A156">
        <v>5500</v>
      </c>
      <c r="B156">
        <v>5500</v>
      </c>
      <c r="C156">
        <v>0</v>
      </c>
      <c r="D156">
        <v>0</v>
      </c>
      <c r="E156">
        <v>42</v>
      </c>
      <c r="F156">
        <v>0</v>
      </c>
      <c r="G156">
        <v>0</v>
      </c>
      <c r="H156">
        <v>0</v>
      </c>
      <c r="I156">
        <v>0</v>
      </c>
      <c r="J156">
        <v>42</v>
      </c>
    </row>
    <row r="157" spans="1:10" x14ac:dyDescent="0.25">
      <c r="A157">
        <v>5600</v>
      </c>
      <c r="B157">
        <v>5600</v>
      </c>
      <c r="C157">
        <v>0</v>
      </c>
      <c r="D157">
        <v>0</v>
      </c>
      <c r="E157">
        <v>111</v>
      </c>
      <c r="F157">
        <v>0</v>
      </c>
      <c r="G157">
        <v>0</v>
      </c>
      <c r="H157">
        <v>0</v>
      </c>
      <c r="I157">
        <v>0</v>
      </c>
      <c r="J157">
        <v>111</v>
      </c>
    </row>
    <row r="158" spans="1:10" x14ac:dyDescent="0.25">
      <c r="A158">
        <v>5700</v>
      </c>
      <c r="B158">
        <v>5700</v>
      </c>
      <c r="C158">
        <v>0</v>
      </c>
      <c r="D158">
        <v>0</v>
      </c>
      <c r="E158">
        <v>0</v>
      </c>
      <c r="F158">
        <v>0</v>
      </c>
      <c r="G158">
        <v>0</v>
      </c>
      <c r="H158">
        <v>0</v>
      </c>
      <c r="I158">
        <v>0</v>
      </c>
      <c r="J158">
        <v>0</v>
      </c>
    </row>
    <row r="159" spans="1:10" x14ac:dyDescent="0.25">
      <c r="A159">
        <v>5800</v>
      </c>
      <c r="B159">
        <v>5800</v>
      </c>
      <c r="C159">
        <v>0</v>
      </c>
      <c r="D159">
        <v>0</v>
      </c>
      <c r="E159">
        <v>0</v>
      </c>
      <c r="F159">
        <v>0</v>
      </c>
      <c r="G159">
        <v>0</v>
      </c>
      <c r="H159">
        <v>0</v>
      </c>
      <c r="I159">
        <v>0</v>
      </c>
      <c r="J159">
        <v>0</v>
      </c>
    </row>
    <row r="160" spans="1:10" x14ac:dyDescent="0.25">
      <c r="A160">
        <v>5900</v>
      </c>
      <c r="B160">
        <v>5900</v>
      </c>
      <c r="C160">
        <v>0</v>
      </c>
      <c r="D160">
        <v>0</v>
      </c>
      <c r="E160">
        <v>0</v>
      </c>
      <c r="F160">
        <v>0</v>
      </c>
      <c r="G160">
        <v>0</v>
      </c>
      <c r="H160">
        <v>0</v>
      </c>
      <c r="I160">
        <v>0</v>
      </c>
      <c r="J160">
        <v>0</v>
      </c>
    </row>
    <row r="161" spans="1:10" x14ac:dyDescent="0.25">
      <c r="A161">
        <v>6000</v>
      </c>
      <c r="B161">
        <v>6000</v>
      </c>
      <c r="C161">
        <v>0</v>
      </c>
      <c r="D161">
        <v>0</v>
      </c>
      <c r="E161">
        <v>27486</v>
      </c>
      <c r="F161">
        <v>0</v>
      </c>
      <c r="G161">
        <v>0</v>
      </c>
      <c r="H161">
        <v>0</v>
      </c>
      <c r="I161">
        <v>0</v>
      </c>
      <c r="J161">
        <v>27486</v>
      </c>
    </row>
    <row r="162" spans="1:10" x14ac:dyDescent="0.25">
      <c r="A162">
        <v>7000</v>
      </c>
      <c r="B162">
        <v>7000</v>
      </c>
      <c r="C162">
        <v>0</v>
      </c>
      <c r="D162">
        <v>0</v>
      </c>
      <c r="E162">
        <v>1</v>
      </c>
      <c r="F162">
        <v>0</v>
      </c>
      <c r="G162">
        <v>0</v>
      </c>
      <c r="H162">
        <v>0</v>
      </c>
      <c r="I162">
        <v>0</v>
      </c>
      <c r="J162">
        <v>1</v>
      </c>
    </row>
    <row r="163" spans="1:10" x14ac:dyDescent="0.25">
      <c r="A163">
        <v>8000</v>
      </c>
      <c r="B163">
        <v>8000</v>
      </c>
      <c r="C163">
        <v>0</v>
      </c>
      <c r="D163">
        <v>0</v>
      </c>
      <c r="E163">
        <v>0</v>
      </c>
      <c r="F163">
        <v>0</v>
      </c>
      <c r="G163">
        <v>0</v>
      </c>
      <c r="H163">
        <v>0</v>
      </c>
      <c r="I163">
        <v>0</v>
      </c>
      <c r="J163">
        <v>0</v>
      </c>
    </row>
    <row r="164" spans="1:10" x14ac:dyDescent="0.25">
      <c r="A164">
        <v>9000</v>
      </c>
      <c r="B164">
        <v>9000</v>
      </c>
      <c r="C164">
        <v>0</v>
      </c>
      <c r="D164">
        <v>0</v>
      </c>
      <c r="E164">
        <v>0</v>
      </c>
      <c r="F164">
        <v>0</v>
      </c>
      <c r="G164">
        <v>0</v>
      </c>
      <c r="H164">
        <v>0</v>
      </c>
      <c r="I164">
        <v>0</v>
      </c>
      <c r="J164">
        <v>0</v>
      </c>
    </row>
    <row r="165" spans="1:10" x14ac:dyDescent="0.25">
      <c r="A165" t="s">
        <v>284</v>
      </c>
      <c r="B165">
        <v>10000</v>
      </c>
      <c r="C165">
        <v>0</v>
      </c>
      <c r="D165">
        <v>0</v>
      </c>
      <c r="E165">
        <v>0</v>
      </c>
      <c r="F165">
        <v>0</v>
      </c>
      <c r="G165">
        <v>0</v>
      </c>
      <c r="H165">
        <v>0</v>
      </c>
      <c r="I165">
        <v>0</v>
      </c>
      <c r="J165">
        <v>5712.5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D8EAF-3770-45DA-BFA7-DD08E4C27352}">
  <sheetPr codeName="Tabelle10"/>
  <dimension ref="A1:J157"/>
  <sheetViews>
    <sheetView topLeftCell="A13" workbookViewId="0"/>
  </sheetViews>
  <sheetFormatPr defaultColWidth="8.85546875" defaultRowHeight="15" x14ac:dyDescent="0.25"/>
  <sheetData>
    <row r="1" spans="1:10" x14ac:dyDescent="0.25">
      <c r="A1" s="100" t="s">
        <v>283</v>
      </c>
      <c r="B1" s="100" t="s">
        <v>255</v>
      </c>
      <c r="C1" s="100" t="s">
        <v>282</v>
      </c>
      <c r="D1" s="100" t="s">
        <v>281</v>
      </c>
      <c r="E1" s="100" t="s">
        <v>280</v>
      </c>
      <c r="F1" s="100" t="s">
        <v>279</v>
      </c>
      <c r="G1" s="100" t="s">
        <v>278</v>
      </c>
      <c r="H1" s="100" t="s">
        <v>277</v>
      </c>
      <c r="I1" s="100" t="s">
        <v>276</v>
      </c>
      <c r="J1" s="100" t="s">
        <v>275</v>
      </c>
    </row>
    <row r="2" spans="1:10" x14ac:dyDescent="0.25">
      <c r="A2">
        <v>1000</v>
      </c>
      <c r="B2">
        <v>1000</v>
      </c>
      <c r="C2">
        <v>0</v>
      </c>
      <c r="D2">
        <v>0</v>
      </c>
      <c r="E2">
        <v>2</v>
      </c>
      <c r="F2">
        <v>0</v>
      </c>
      <c r="G2">
        <v>0</v>
      </c>
      <c r="H2">
        <v>0</v>
      </c>
      <c r="I2">
        <v>0</v>
      </c>
      <c r="J2">
        <v>2</v>
      </c>
    </row>
    <row r="3" spans="1:10" x14ac:dyDescent="0.25">
      <c r="A3">
        <v>1100</v>
      </c>
      <c r="B3">
        <v>1100</v>
      </c>
      <c r="C3">
        <v>0</v>
      </c>
      <c r="D3">
        <v>0</v>
      </c>
      <c r="E3">
        <v>0</v>
      </c>
      <c r="F3">
        <v>0</v>
      </c>
      <c r="G3">
        <v>0</v>
      </c>
      <c r="H3">
        <v>0</v>
      </c>
      <c r="I3">
        <v>0</v>
      </c>
      <c r="J3">
        <v>0</v>
      </c>
    </row>
    <row r="4" spans="1:10" x14ac:dyDescent="0.25">
      <c r="A4">
        <v>1150</v>
      </c>
      <c r="B4">
        <v>1150</v>
      </c>
      <c r="C4">
        <v>0</v>
      </c>
      <c r="D4">
        <v>0</v>
      </c>
      <c r="E4">
        <v>0</v>
      </c>
      <c r="F4">
        <v>0</v>
      </c>
      <c r="G4">
        <v>0</v>
      </c>
      <c r="H4">
        <v>0</v>
      </c>
      <c r="I4">
        <v>0</v>
      </c>
      <c r="J4">
        <v>0</v>
      </c>
    </row>
    <row r="5" spans="1:10" x14ac:dyDescent="0.25">
      <c r="A5">
        <v>1200</v>
      </c>
      <c r="B5">
        <v>1200</v>
      </c>
      <c r="C5">
        <v>0</v>
      </c>
      <c r="D5">
        <v>0</v>
      </c>
      <c r="E5">
        <v>0</v>
      </c>
      <c r="F5">
        <v>0</v>
      </c>
      <c r="G5">
        <v>0</v>
      </c>
      <c r="H5">
        <v>0</v>
      </c>
      <c r="I5">
        <v>0</v>
      </c>
      <c r="J5">
        <v>0</v>
      </c>
    </row>
    <row r="6" spans="1:10" x14ac:dyDescent="0.25">
      <c r="A6">
        <v>1250</v>
      </c>
      <c r="B6">
        <v>1250</v>
      </c>
      <c r="C6">
        <v>0</v>
      </c>
      <c r="D6">
        <v>0</v>
      </c>
      <c r="E6">
        <v>0</v>
      </c>
      <c r="F6">
        <v>0</v>
      </c>
      <c r="G6">
        <v>0</v>
      </c>
      <c r="H6">
        <v>0</v>
      </c>
      <c r="I6">
        <v>0</v>
      </c>
      <c r="J6">
        <v>0</v>
      </c>
    </row>
    <row r="7" spans="1:10" x14ac:dyDescent="0.25">
      <c r="A7">
        <v>1300</v>
      </c>
      <c r="B7">
        <v>1300</v>
      </c>
      <c r="C7">
        <v>0</v>
      </c>
      <c r="D7">
        <v>0</v>
      </c>
      <c r="E7">
        <v>2</v>
      </c>
      <c r="F7">
        <v>0</v>
      </c>
      <c r="G7">
        <v>0</v>
      </c>
      <c r="H7">
        <v>0</v>
      </c>
      <c r="I7">
        <v>0</v>
      </c>
      <c r="J7">
        <v>2</v>
      </c>
    </row>
    <row r="8" spans="1:10" x14ac:dyDescent="0.25">
      <c r="A8">
        <v>1400</v>
      </c>
      <c r="B8">
        <v>1400</v>
      </c>
      <c r="C8">
        <v>0</v>
      </c>
      <c r="D8">
        <v>0</v>
      </c>
      <c r="E8">
        <v>1</v>
      </c>
      <c r="F8">
        <v>0</v>
      </c>
      <c r="G8">
        <v>0</v>
      </c>
      <c r="H8">
        <v>0</v>
      </c>
      <c r="I8">
        <v>0</v>
      </c>
      <c r="J8">
        <v>1</v>
      </c>
    </row>
    <row r="9" spans="1:10" x14ac:dyDescent="0.25">
      <c r="A9">
        <v>1450</v>
      </c>
      <c r="B9">
        <v>1450</v>
      </c>
      <c r="C9">
        <v>0</v>
      </c>
      <c r="D9">
        <v>0</v>
      </c>
      <c r="E9">
        <v>2</v>
      </c>
      <c r="F9">
        <v>0</v>
      </c>
      <c r="G9">
        <v>0</v>
      </c>
      <c r="H9">
        <v>0</v>
      </c>
      <c r="I9">
        <v>0</v>
      </c>
      <c r="J9">
        <v>2</v>
      </c>
    </row>
    <row r="10" spans="1:10" x14ac:dyDescent="0.25">
      <c r="A10">
        <v>1500</v>
      </c>
      <c r="B10">
        <v>1500</v>
      </c>
      <c r="C10">
        <v>0</v>
      </c>
      <c r="D10">
        <v>0</v>
      </c>
      <c r="E10">
        <v>0</v>
      </c>
      <c r="F10">
        <v>0</v>
      </c>
      <c r="G10">
        <v>0</v>
      </c>
      <c r="H10">
        <v>0</v>
      </c>
      <c r="I10">
        <v>0</v>
      </c>
      <c r="J10">
        <v>0</v>
      </c>
    </row>
    <row r="11" spans="1:10" x14ac:dyDescent="0.25">
      <c r="A11">
        <v>1600</v>
      </c>
      <c r="B11">
        <v>1600</v>
      </c>
      <c r="C11">
        <v>0</v>
      </c>
      <c r="D11">
        <v>0</v>
      </c>
      <c r="E11">
        <v>0</v>
      </c>
      <c r="F11">
        <v>0</v>
      </c>
      <c r="G11">
        <v>0</v>
      </c>
      <c r="H11">
        <v>0</v>
      </c>
      <c r="I11">
        <v>0</v>
      </c>
      <c r="J11">
        <v>0</v>
      </c>
    </row>
    <row r="12" spans="1:10" x14ac:dyDescent="0.25">
      <c r="A12">
        <v>1650</v>
      </c>
      <c r="B12">
        <v>1650</v>
      </c>
      <c r="C12">
        <v>0</v>
      </c>
      <c r="D12">
        <v>0</v>
      </c>
      <c r="E12">
        <v>0</v>
      </c>
      <c r="F12">
        <v>0</v>
      </c>
      <c r="G12">
        <v>0</v>
      </c>
      <c r="H12">
        <v>0</v>
      </c>
      <c r="I12">
        <v>0</v>
      </c>
      <c r="J12">
        <v>0</v>
      </c>
    </row>
    <row r="13" spans="1:10" x14ac:dyDescent="0.25">
      <c r="A13">
        <v>1700</v>
      </c>
      <c r="B13">
        <v>1700</v>
      </c>
      <c r="C13">
        <v>0</v>
      </c>
      <c r="D13">
        <v>0</v>
      </c>
      <c r="E13">
        <v>0</v>
      </c>
      <c r="F13">
        <v>0</v>
      </c>
      <c r="G13">
        <v>0</v>
      </c>
      <c r="H13">
        <v>0</v>
      </c>
      <c r="I13">
        <v>0</v>
      </c>
      <c r="J13">
        <v>0</v>
      </c>
    </row>
    <row r="14" spans="1:10" x14ac:dyDescent="0.25">
      <c r="A14">
        <v>1750</v>
      </c>
      <c r="B14">
        <v>1750</v>
      </c>
      <c r="C14">
        <v>0</v>
      </c>
      <c r="D14">
        <v>0</v>
      </c>
      <c r="E14">
        <v>0</v>
      </c>
      <c r="F14">
        <v>0</v>
      </c>
      <c r="G14">
        <v>0</v>
      </c>
      <c r="H14">
        <v>0</v>
      </c>
      <c r="I14">
        <v>0</v>
      </c>
      <c r="J14">
        <v>0</v>
      </c>
    </row>
    <row r="15" spans="1:10" x14ac:dyDescent="0.25">
      <c r="A15">
        <v>1800</v>
      </c>
      <c r="B15">
        <v>1800</v>
      </c>
      <c r="C15">
        <v>0</v>
      </c>
      <c r="D15">
        <v>0</v>
      </c>
      <c r="E15">
        <v>0</v>
      </c>
      <c r="F15">
        <v>0</v>
      </c>
      <c r="G15">
        <v>0</v>
      </c>
      <c r="H15">
        <v>0</v>
      </c>
      <c r="I15">
        <v>0</v>
      </c>
      <c r="J15">
        <v>0</v>
      </c>
    </row>
    <row r="16" spans="1:10" x14ac:dyDescent="0.25">
      <c r="A16">
        <v>1900</v>
      </c>
      <c r="B16">
        <v>1900</v>
      </c>
      <c r="C16">
        <v>0</v>
      </c>
      <c r="D16">
        <v>0</v>
      </c>
      <c r="E16">
        <v>0</v>
      </c>
      <c r="F16">
        <v>0</v>
      </c>
      <c r="G16">
        <v>0</v>
      </c>
      <c r="H16">
        <v>0</v>
      </c>
      <c r="I16">
        <v>0</v>
      </c>
      <c r="J16">
        <v>0</v>
      </c>
    </row>
    <row r="17" spans="1:10" x14ac:dyDescent="0.25">
      <c r="A17">
        <v>1950</v>
      </c>
      <c r="B17">
        <v>1950</v>
      </c>
      <c r="C17">
        <v>0</v>
      </c>
      <c r="D17">
        <v>0</v>
      </c>
      <c r="E17">
        <v>0</v>
      </c>
      <c r="F17">
        <v>0</v>
      </c>
      <c r="G17">
        <v>0</v>
      </c>
      <c r="H17">
        <v>0</v>
      </c>
      <c r="I17">
        <v>0</v>
      </c>
      <c r="J17">
        <v>0</v>
      </c>
    </row>
    <row r="18" spans="1:10" x14ac:dyDescent="0.25">
      <c r="A18">
        <v>2000</v>
      </c>
      <c r="B18">
        <v>2000</v>
      </c>
      <c r="C18">
        <v>0</v>
      </c>
      <c r="D18">
        <v>0</v>
      </c>
      <c r="E18">
        <v>110</v>
      </c>
      <c r="F18">
        <v>0</v>
      </c>
      <c r="G18">
        <v>0</v>
      </c>
      <c r="H18">
        <v>0</v>
      </c>
      <c r="I18">
        <v>0</v>
      </c>
      <c r="J18">
        <v>110</v>
      </c>
    </row>
    <row r="19" spans="1:10" x14ac:dyDescent="0.25">
      <c r="A19">
        <v>2050</v>
      </c>
      <c r="B19">
        <v>2050</v>
      </c>
      <c r="C19">
        <v>0</v>
      </c>
      <c r="D19">
        <v>0</v>
      </c>
      <c r="E19">
        <v>0</v>
      </c>
      <c r="F19">
        <v>0</v>
      </c>
      <c r="G19">
        <v>0</v>
      </c>
      <c r="H19">
        <v>0</v>
      </c>
      <c r="I19">
        <v>0</v>
      </c>
      <c r="J19">
        <v>0</v>
      </c>
    </row>
    <row r="20" spans="1:10" x14ac:dyDescent="0.25">
      <c r="A20">
        <v>2100</v>
      </c>
      <c r="B20">
        <v>2100</v>
      </c>
      <c r="C20">
        <v>0</v>
      </c>
      <c r="D20">
        <v>0</v>
      </c>
      <c r="E20">
        <v>0</v>
      </c>
      <c r="F20">
        <v>0</v>
      </c>
      <c r="G20">
        <v>0</v>
      </c>
      <c r="H20">
        <v>0</v>
      </c>
      <c r="I20">
        <v>0</v>
      </c>
      <c r="J20">
        <v>0</v>
      </c>
    </row>
    <row r="21" spans="1:10" x14ac:dyDescent="0.25">
      <c r="A21">
        <v>2150</v>
      </c>
      <c r="B21">
        <v>2150</v>
      </c>
      <c r="C21">
        <v>0</v>
      </c>
      <c r="D21">
        <v>0</v>
      </c>
      <c r="E21">
        <v>0</v>
      </c>
      <c r="F21">
        <v>0</v>
      </c>
      <c r="G21">
        <v>0</v>
      </c>
      <c r="H21">
        <v>0</v>
      </c>
      <c r="I21">
        <v>0</v>
      </c>
      <c r="J21">
        <v>0</v>
      </c>
    </row>
    <row r="22" spans="1:10" x14ac:dyDescent="0.25">
      <c r="A22">
        <v>2200</v>
      </c>
      <c r="B22">
        <v>2200</v>
      </c>
      <c r="C22">
        <v>0</v>
      </c>
      <c r="D22">
        <v>0</v>
      </c>
      <c r="E22">
        <v>0</v>
      </c>
      <c r="F22">
        <v>0</v>
      </c>
      <c r="G22">
        <v>0</v>
      </c>
      <c r="H22">
        <v>0</v>
      </c>
      <c r="I22">
        <v>0</v>
      </c>
      <c r="J22">
        <v>0</v>
      </c>
    </row>
    <row r="23" spans="1:10" x14ac:dyDescent="0.25">
      <c r="A23">
        <v>2250</v>
      </c>
      <c r="B23">
        <v>2250</v>
      </c>
      <c r="C23">
        <v>0</v>
      </c>
      <c r="D23">
        <v>0</v>
      </c>
      <c r="E23">
        <v>0</v>
      </c>
      <c r="F23">
        <v>0</v>
      </c>
      <c r="G23">
        <v>0</v>
      </c>
      <c r="H23">
        <v>0</v>
      </c>
      <c r="I23">
        <v>0</v>
      </c>
      <c r="J23">
        <v>0</v>
      </c>
    </row>
    <row r="24" spans="1:10" x14ac:dyDescent="0.25">
      <c r="A24">
        <v>2275</v>
      </c>
      <c r="B24">
        <v>2275</v>
      </c>
      <c r="C24">
        <v>0</v>
      </c>
      <c r="D24">
        <v>0</v>
      </c>
      <c r="E24">
        <v>0</v>
      </c>
      <c r="F24">
        <v>0</v>
      </c>
      <c r="G24">
        <v>0</v>
      </c>
      <c r="H24">
        <v>0</v>
      </c>
      <c r="I24">
        <v>0</v>
      </c>
      <c r="J24">
        <v>0</v>
      </c>
    </row>
    <row r="25" spans="1:10" x14ac:dyDescent="0.25">
      <c r="A25">
        <v>2300</v>
      </c>
      <c r="B25">
        <v>2300</v>
      </c>
      <c r="C25">
        <v>0</v>
      </c>
      <c r="D25">
        <v>0</v>
      </c>
      <c r="E25">
        <v>0</v>
      </c>
      <c r="F25">
        <v>0</v>
      </c>
      <c r="G25">
        <v>0</v>
      </c>
      <c r="H25">
        <v>0</v>
      </c>
      <c r="I25">
        <v>0</v>
      </c>
      <c r="J25">
        <v>0</v>
      </c>
    </row>
    <row r="26" spans="1:10" x14ac:dyDescent="0.25">
      <c r="A26">
        <v>2325</v>
      </c>
      <c r="B26">
        <v>2325</v>
      </c>
      <c r="C26">
        <v>0</v>
      </c>
      <c r="D26">
        <v>0</v>
      </c>
      <c r="E26">
        <v>0</v>
      </c>
      <c r="F26">
        <v>0</v>
      </c>
      <c r="G26">
        <v>0</v>
      </c>
      <c r="H26">
        <v>0</v>
      </c>
      <c r="I26">
        <v>0</v>
      </c>
      <c r="J26">
        <v>0</v>
      </c>
    </row>
    <row r="27" spans="1:10" x14ac:dyDescent="0.25">
      <c r="A27">
        <v>2350</v>
      </c>
      <c r="B27">
        <v>2350</v>
      </c>
      <c r="C27">
        <v>0</v>
      </c>
      <c r="D27">
        <v>0</v>
      </c>
      <c r="E27">
        <v>0</v>
      </c>
      <c r="F27">
        <v>0</v>
      </c>
      <c r="G27">
        <v>0</v>
      </c>
      <c r="H27">
        <v>0</v>
      </c>
      <c r="I27">
        <v>0</v>
      </c>
      <c r="J27">
        <v>0</v>
      </c>
    </row>
    <row r="28" spans="1:10" x14ac:dyDescent="0.25">
      <c r="A28">
        <v>2375</v>
      </c>
      <c r="B28">
        <v>2375</v>
      </c>
      <c r="C28">
        <v>0</v>
      </c>
      <c r="D28">
        <v>0</v>
      </c>
      <c r="E28">
        <v>0</v>
      </c>
      <c r="F28">
        <v>0</v>
      </c>
      <c r="G28">
        <v>0</v>
      </c>
      <c r="H28">
        <v>0</v>
      </c>
      <c r="I28">
        <v>0</v>
      </c>
      <c r="J28">
        <v>0</v>
      </c>
    </row>
    <row r="29" spans="1:10" x14ac:dyDescent="0.25">
      <c r="A29">
        <v>2400</v>
      </c>
      <c r="B29">
        <v>2400</v>
      </c>
      <c r="C29">
        <v>0</v>
      </c>
      <c r="D29">
        <v>0</v>
      </c>
      <c r="E29">
        <v>0</v>
      </c>
      <c r="F29">
        <v>0</v>
      </c>
      <c r="G29">
        <v>0</v>
      </c>
      <c r="H29">
        <v>0</v>
      </c>
      <c r="I29">
        <v>0</v>
      </c>
      <c r="J29">
        <v>0</v>
      </c>
    </row>
    <row r="30" spans="1:10" x14ac:dyDescent="0.25">
      <c r="A30">
        <v>2425</v>
      </c>
      <c r="B30">
        <v>2425</v>
      </c>
      <c r="C30">
        <v>0</v>
      </c>
      <c r="D30">
        <v>0</v>
      </c>
      <c r="E30">
        <v>0</v>
      </c>
      <c r="F30">
        <v>0</v>
      </c>
      <c r="G30">
        <v>0</v>
      </c>
      <c r="H30">
        <v>0</v>
      </c>
      <c r="I30">
        <v>0</v>
      </c>
      <c r="J30">
        <v>0</v>
      </c>
    </row>
    <row r="31" spans="1:10" x14ac:dyDescent="0.25">
      <c r="A31">
        <v>2450</v>
      </c>
      <c r="B31">
        <v>2450</v>
      </c>
      <c r="C31">
        <v>0</v>
      </c>
      <c r="D31">
        <v>0</v>
      </c>
      <c r="E31">
        <v>0</v>
      </c>
      <c r="F31">
        <v>0</v>
      </c>
      <c r="G31">
        <v>0</v>
      </c>
      <c r="H31">
        <v>0</v>
      </c>
      <c r="I31">
        <v>0</v>
      </c>
      <c r="J31">
        <v>0</v>
      </c>
    </row>
    <row r="32" spans="1:10" x14ac:dyDescent="0.25">
      <c r="A32">
        <v>2475</v>
      </c>
      <c r="B32">
        <v>2475</v>
      </c>
      <c r="C32">
        <v>0</v>
      </c>
      <c r="D32">
        <v>0</v>
      </c>
      <c r="E32">
        <v>0</v>
      </c>
      <c r="F32">
        <v>0</v>
      </c>
      <c r="G32">
        <v>0</v>
      </c>
      <c r="H32">
        <v>0</v>
      </c>
      <c r="I32">
        <v>0</v>
      </c>
      <c r="J32">
        <v>0</v>
      </c>
    </row>
    <row r="33" spans="1:10" x14ac:dyDescent="0.25">
      <c r="A33">
        <v>2500</v>
      </c>
      <c r="B33">
        <v>2500</v>
      </c>
      <c r="C33">
        <v>0</v>
      </c>
      <c r="D33">
        <v>0</v>
      </c>
      <c r="E33">
        <v>0</v>
      </c>
      <c r="F33">
        <v>0</v>
      </c>
      <c r="G33">
        <v>0</v>
      </c>
      <c r="H33">
        <v>0</v>
      </c>
      <c r="I33">
        <v>0</v>
      </c>
      <c r="J33">
        <v>0</v>
      </c>
    </row>
    <row r="34" spans="1:10" x14ac:dyDescent="0.25">
      <c r="A34">
        <v>2525</v>
      </c>
      <c r="B34">
        <v>2525</v>
      </c>
      <c r="C34">
        <v>0</v>
      </c>
      <c r="D34">
        <v>0</v>
      </c>
      <c r="E34">
        <v>0</v>
      </c>
      <c r="F34">
        <v>0</v>
      </c>
      <c r="G34">
        <v>0</v>
      </c>
      <c r="H34">
        <v>0</v>
      </c>
      <c r="I34">
        <v>0</v>
      </c>
      <c r="J34">
        <v>0</v>
      </c>
    </row>
    <row r="35" spans="1:10" x14ac:dyDescent="0.25">
      <c r="A35">
        <v>2550</v>
      </c>
      <c r="B35">
        <v>2550</v>
      </c>
      <c r="C35">
        <v>0</v>
      </c>
      <c r="D35">
        <v>0</v>
      </c>
      <c r="E35">
        <v>0</v>
      </c>
      <c r="F35">
        <v>0</v>
      </c>
      <c r="G35">
        <v>0</v>
      </c>
      <c r="H35">
        <v>0</v>
      </c>
      <c r="I35">
        <v>0</v>
      </c>
      <c r="J35">
        <v>0</v>
      </c>
    </row>
    <row r="36" spans="1:10" x14ac:dyDescent="0.25">
      <c r="A36">
        <v>2575</v>
      </c>
      <c r="B36">
        <v>2575</v>
      </c>
      <c r="C36">
        <v>0</v>
      </c>
      <c r="D36">
        <v>0</v>
      </c>
      <c r="E36">
        <v>0</v>
      </c>
      <c r="F36">
        <v>0</v>
      </c>
      <c r="G36">
        <v>0</v>
      </c>
      <c r="H36">
        <v>0</v>
      </c>
      <c r="I36">
        <v>0</v>
      </c>
      <c r="J36">
        <v>0</v>
      </c>
    </row>
    <row r="37" spans="1:10" x14ac:dyDescent="0.25">
      <c r="A37">
        <v>2600</v>
      </c>
      <c r="B37">
        <v>2600</v>
      </c>
      <c r="C37">
        <v>0</v>
      </c>
      <c r="D37">
        <v>0</v>
      </c>
      <c r="E37">
        <v>0</v>
      </c>
      <c r="F37">
        <v>0</v>
      </c>
      <c r="G37">
        <v>0</v>
      </c>
      <c r="H37">
        <v>0</v>
      </c>
      <c r="I37">
        <v>0</v>
      </c>
      <c r="J37">
        <v>0</v>
      </c>
    </row>
    <row r="38" spans="1:10" x14ac:dyDescent="0.25">
      <c r="A38">
        <v>2625</v>
      </c>
      <c r="B38">
        <v>2625</v>
      </c>
      <c r="C38">
        <v>0</v>
      </c>
      <c r="D38">
        <v>0</v>
      </c>
      <c r="E38">
        <v>0</v>
      </c>
      <c r="F38">
        <v>0</v>
      </c>
      <c r="G38">
        <v>0</v>
      </c>
      <c r="H38">
        <v>0</v>
      </c>
      <c r="I38">
        <v>0</v>
      </c>
      <c r="J38">
        <v>0</v>
      </c>
    </row>
    <row r="39" spans="1:10" x14ac:dyDescent="0.25">
      <c r="A39">
        <v>2650</v>
      </c>
      <c r="B39">
        <v>2650</v>
      </c>
      <c r="C39">
        <v>0</v>
      </c>
      <c r="D39">
        <v>0</v>
      </c>
      <c r="E39">
        <v>0</v>
      </c>
      <c r="F39">
        <v>0</v>
      </c>
      <c r="G39">
        <v>0</v>
      </c>
      <c r="H39">
        <v>0</v>
      </c>
      <c r="I39">
        <v>0</v>
      </c>
      <c r="J39">
        <v>0</v>
      </c>
    </row>
    <row r="40" spans="1:10" x14ac:dyDescent="0.25">
      <c r="A40">
        <v>2675</v>
      </c>
      <c r="B40">
        <v>2675</v>
      </c>
      <c r="C40">
        <v>0</v>
      </c>
      <c r="D40">
        <v>0</v>
      </c>
      <c r="E40">
        <v>0</v>
      </c>
      <c r="F40">
        <v>0</v>
      </c>
      <c r="G40">
        <v>0</v>
      </c>
      <c r="H40">
        <v>0</v>
      </c>
      <c r="I40">
        <v>0</v>
      </c>
      <c r="J40">
        <v>0</v>
      </c>
    </row>
    <row r="41" spans="1:10" x14ac:dyDescent="0.25">
      <c r="A41">
        <v>2700</v>
      </c>
      <c r="B41">
        <v>2700</v>
      </c>
      <c r="C41">
        <v>0</v>
      </c>
      <c r="D41">
        <v>0</v>
      </c>
      <c r="E41">
        <v>0</v>
      </c>
      <c r="F41">
        <v>0</v>
      </c>
      <c r="G41">
        <v>0</v>
      </c>
      <c r="H41">
        <v>0</v>
      </c>
      <c r="I41">
        <v>0</v>
      </c>
      <c r="J41">
        <v>0</v>
      </c>
    </row>
    <row r="42" spans="1:10" x14ac:dyDescent="0.25">
      <c r="A42">
        <v>2725</v>
      </c>
      <c r="B42">
        <v>2725</v>
      </c>
      <c r="C42">
        <v>0</v>
      </c>
      <c r="D42">
        <v>0</v>
      </c>
      <c r="E42">
        <v>0</v>
      </c>
      <c r="F42">
        <v>0</v>
      </c>
      <c r="G42">
        <v>0</v>
      </c>
      <c r="H42">
        <v>0</v>
      </c>
      <c r="I42">
        <v>0</v>
      </c>
      <c r="J42">
        <v>0</v>
      </c>
    </row>
    <row r="43" spans="1:10" x14ac:dyDescent="0.25">
      <c r="A43">
        <v>2750</v>
      </c>
      <c r="B43">
        <v>2750</v>
      </c>
      <c r="C43">
        <v>0</v>
      </c>
      <c r="D43">
        <v>0</v>
      </c>
      <c r="E43">
        <v>0</v>
      </c>
      <c r="F43">
        <v>0</v>
      </c>
      <c r="G43">
        <v>0</v>
      </c>
      <c r="H43">
        <v>0</v>
      </c>
      <c r="I43">
        <v>0</v>
      </c>
      <c r="J43">
        <v>0</v>
      </c>
    </row>
    <row r="44" spans="1:10" x14ac:dyDescent="0.25">
      <c r="A44">
        <v>2775</v>
      </c>
      <c r="B44">
        <v>2775</v>
      </c>
      <c r="C44">
        <v>0</v>
      </c>
      <c r="D44">
        <v>0</v>
      </c>
      <c r="E44">
        <v>0</v>
      </c>
      <c r="F44">
        <v>0</v>
      </c>
      <c r="G44">
        <v>0</v>
      </c>
      <c r="H44">
        <v>0</v>
      </c>
      <c r="I44">
        <v>0</v>
      </c>
      <c r="J44">
        <v>0</v>
      </c>
    </row>
    <row r="45" spans="1:10" x14ac:dyDescent="0.25">
      <c r="A45">
        <v>2800</v>
      </c>
      <c r="B45">
        <v>2800</v>
      </c>
      <c r="C45">
        <v>0</v>
      </c>
      <c r="D45">
        <v>0</v>
      </c>
      <c r="E45">
        <v>0</v>
      </c>
      <c r="F45">
        <v>0</v>
      </c>
      <c r="G45">
        <v>0</v>
      </c>
      <c r="H45">
        <v>0</v>
      </c>
      <c r="I45">
        <v>0</v>
      </c>
      <c r="J45">
        <v>0</v>
      </c>
    </row>
    <row r="46" spans="1:10" x14ac:dyDescent="0.25">
      <c r="A46">
        <v>2825</v>
      </c>
      <c r="B46">
        <v>2825</v>
      </c>
      <c r="C46">
        <v>0</v>
      </c>
      <c r="D46">
        <v>0</v>
      </c>
      <c r="E46">
        <v>0</v>
      </c>
      <c r="F46">
        <v>0</v>
      </c>
      <c r="G46">
        <v>0</v>
      </c>
      <c r="H46">
        <v>0</v>
      </c>
      <c r="I46">
        <v>0</v>
      </c>
      <c r="J46">
        <v>0</v>
      </c>
    </row>
    <row r="47" spans="1:10" x14ac:dyDescent="0.25">
      <c r="A47">
        <v>2850</v>
      </c>
      <c r="B47">
        <v>2850</v>
      </c>
      <c r="C47">
        <v>0</v>
      </c>
      <c r="D47">
        <v>0</v>
      </c>
      <c r="E47">
        <v>0</v>
      </c>
      <c r="F47">
        <v>0</v>
      </c>
      <c r="G47">
        <v>0</v>
      </c>
      <c r="H47">
        <v>0</v>
      </c>
      <c r="I47">
        <v>0</v>
      </c>
      <c r="J47">
        <v>0</v>
      </c>
    </row>
    <row r="48" spans="1:10" x14ac:dyDescent="0.25">
      <c r="A48">
        <v>2875</v>
      </c>
      <c r="B48">
        <v>2875</v>
      </c>
      <c r="C48">
        <v>0</v>
      </c>
      <c r="D48">
        <v>0</v>
      </c>
      <c r="E48">
        <v>0</v>
      </c>
      <c r="F48">
        <v>0</v>
      </c>
      <c r="G48">
        <v>0</v>
      </c>
      <c r="H48">
        <v>0</v>
      </c>
      <c r="I48">
        <v>0</v>
      </c>
      <c r="J48">
        <v>0</v>
      </c>
    </row>
    <row r="49" spans="1:10" x14ac:dyDescent="0.25">
      <c r="A49">
        <v>2900</v>
      </c>
      <c r="B49">
        <v>2900</v>
      </c>
      <c r="C49">
        <v>0</v>
      </c>
      <c r="D49">
        <v>0</v>
      </c>
      <c r="E49">
        <v>0</v>
      </c>
      <c r="F49">
        <v>0</v>
      </c>
      <c r="G49">
        <v>0</v>
      </c>
      <c r="H49">
        <v>0</v>
      </c>
      <c r="I49">
        <v>0</v>
      </c>
      <c r="J49">
        <v>0</v>
      </c>
    </row>
    <row r="50" spans="1:10" x14ac:dyDescent="0.25">
      <c r="A50">
        <v>2925</v>
      </c>
      <c r="B50">
        <v>2925</v>
      </c>
      <c r="C50">
        <v>0</v>
      </c>
      <c r="D50">
        <v>0</v>
      </c>
      <c r="E50">
        <v>0</v>
      </c>
      <c r="F50">
        <v>0</v>
      </c>
      <c r="G50">
        <v>0</v>
      </c>
      <c r="H50">
        <v>0</v>
      </c>
      <c r="I50">
        <v>0</v>
      </c>
      <c r="J50">
        <v>0</v>
      </c>
    </row>
    <row r="51" spans="1:10" x14ac:dyDescent="0.25">
      <c r="A51">
        <v>2950</v>
      </c>
      <c r="B51">
        <v>2950</v>
      </c>
      <c r="C51">
        <v>0</v>
      </c>
      <c r="D51">
        <v>0</v>
      </c>
      <c r="E51">
        <v>0</v>
      </c>
      <c r="F51">
        <v>0</v>
      </c>
      <c r="G51">
        <v>0</v>
      </c>
      <c r="H51">
        <v>0</v>
      </c>
      <c r="I51">
        <v>0</v>
      </c>
      <c r="J51">
        <v>0</v>
      </c>
    </row>
    <row r="52" spans="1:10" x14ac:dyDescent="0.25">
      <c r="A52">
        <v>2975</v>
      </c>
      <c r="B52">
        <v>2975</v>
      </c>
      <c r="C52">
        <v>0</v>
      </c>
      <c r="D52">
        <v>0</v>
      </c>
      <c r="E52">
        <v>0</v>
      </c>
      <c r="F52">
        <v>0</v>
      </c>
      <c r="G52">
        <v>0</v>
      </c>
      <c r="H52">
        <v>0</v>
      </c>
      <c r="I52">
        <v>0</v>
      </c>
      <c r="J52">
        <v>0</v>
      </c>
    </row>
    <row r="53" spans="1:10" x14ac:dyDescent="0.25">
      <c r="A53">
        <v>3000</v>
      </c>
      <c r="B53">
        <v>3000</v>
      </c>
      <c r="C53">
        <v>0</v>
      </c>
      <c r="D53">
        <v>0</v>
      </c>
      <c r="E53">
        <v>1</v>
      </c>
      <c r="F53">
        <v>0</v>
      </c>
      <c r="G53">
        <v>0</v>
      </c>
      <c r="H53">
        <v>0</v>
      </c>
      <c r="I53">
        <v>0</v>
      </c>
      <c r="J53">
        <v>1</v>
      </c>
    </row>
    <row r="54" spans="1:10" x14ac:dyDescent="0.25">
      <c r="A54">
        <v>3025</v>
      </c>
      <c r="B54">
        <v>3025</v>
      </c>
      <c r="C54">
        <v>0</v>
      </c>
      <c r="D54">
        <v>0</v>
      </c>
      <c r="E54">
        <v>0</v>
      </c>
      <c r="F54">
        <v>0</v>
      </c>
      <c r="G54">
        <v>0</v>
      </c>
      <c r="H54">
        <v>0</v>
      </c>
      <c r="I54">
        <v>0</v>
      </c>
      <c r="J54">
        <v>0</v>
      </c>
    </row>
    <row r="55" spans="1:10" x14ac:dyDescent="0.25">
      <c r="A55">
        <v>3050</v>
      </c>
      <c r="B55">
        <v>3050</v>
      </c>
      <c r="C55">
        <v>0</v>
      </c>
      <c r="D55">
        <v>0</v>
      </c>
      <c r="E55">
        <v>0</v>
      </c>
      <c r="F55">
        <v>0</v>
      </c>
      <c r="G55">
        <v>0</v>
      </c>
      <c r="H55">
        <v>0</v>
      </c>
      <c r="I55">
        <v>0</v>
      </c>
      <c r="J55">
        <v>0</v>
      </c>
    </row>
    <row r="56" spans="1:10" x14ac:dyDescent="0.25">
      <c r="A56">
        <v>3075</v>
      </c>
      <c r="B56">
        <v>3075</v>
      </c>
      <c r="C56">
        <v>0</v>
      </c>
      <c r="D56">
        <v>0</v>
      </c>
      <c r="E56">
        <v>0</v>
      </c>
      <c r="F56">
        <v>0</v>
      </c>
      <c r="G56">
        <v>0</v>
      </c>
      <c r="H56">
        <v>0</v>
      </c>
      <c r="I56">
        <v>0</v>
      </c>
      <c r="J56">
        <v>0</v>
      </c>
    </row>
    <row r="57" spans="1:10" x14ac:dyDescent="0.25">
      <c r="A57">
        <v>3100</v>
      </c>
      <c r="B57">
        <v>3100</v>
      </c>
      <c r="C57">
        <v>0</v>
      </c>
      <c r="D57">
        <v>0</v>
      </c>
      <c r="E57">
        <v>0</v>
      </c>
      <c r="F57">
        <v>0</v>
      </c>
      <c r="G57">
        <v>0</v>
      </c>
      <c r="H57">
        <v>0</v>
      </c>
      <c r="I57">
        <v>0</v>
      </c>
      <c r="J57">
        <v>0</v>
      </c>
    </row>
    <row r="58" spans="1:10" x14ac:dyDescent="0.25">
      <c r="A58">
        <v>3125</v>
      </c>
      <c r="B58">
        <v>3125</v>
      </c>
      <c r="C58">
        <v>0</v>
      </c>
      <c r="D58">
        <v>0</v>
      </c>
      <c r="E58">
        <v>0</v>
      </c>
      <c r="F58">
        <v>0</v>
      </c>
      <c r="G58">
        <v>0</v>
      </c>
      <c r="H58">
        <v>0</v>
      </c>
      <c r="I58">
        <v>0</v>
      </c>
      <c r="J58">
        <v>0</v>
      </c>
    </row>
    <row r="59" spans="1:10" x14ac:dyDescent="0.25">
      <c r="A59">
        <v>3150</v>
      </c>
      <c r="B59">
        <v>3150</v>
      </c>
      <c r="C59">
        <v>0</v>
      </c>
      <c r="D59">
        <v>0</v>
      </c>
      <c r="E59">
        <v>0</v>
      </c>
      <c r="F59">
        <v>0</v>
      </c>
      <c r="G59">
        <v>0</v>
      </c>
      <c r="H59">
        <v>0</v>
      </c>
      <c r="I59">
        <v>0</v>
      </c>
      <c r="J59">
        <v>0</v>
      </c>
    </row>
    <row r="60" spans="1:10" x14ac:dyDescent="0.25">
      <c r="A60">
        <v>3175</v>
      </c>
      <c r="B60">
        <v>3175</v>
      </c>
      <c r="C60">
        <v>0</v>
      </c>
      <c r="D60">
        <v>0</v>
      </c>
      <c r="E60">
        <v>0</v>
      </c>
      <c r="F60">
        <v>0</v>
      </c>
      <c r="G60">
        <v>0</v>
      </c>
      <c r="H60">
        <v>0</v>
      </c>
      <c r="I60">
        <v>0</v>
      </c>
      <c r="J60">
        <v>0</v>
      </c>
    </row>
    <row r="61" spans="1:10" x14ac:dyDescent="0.25">
      <c r="A61">
        <v>3200</v>
      </c>
      <c r="B61">
        <v>3200</v>
      </c>
      <c r="C61">
        <v>0</v>
      </c>
      <c r="D61">
        <v>0</v>
      </c>
      <c r="E61">
        <v>3</v>
      </c>
      <c r="F61">
        <v>0</v>
      </c>
      <c r="G61">
        <v>0</v>
      </c>
      <c r="H61">
        <v>0</v>
      </c>
      <c r="I61">
        <v>0</v>
      </c>
      <c r="J61">
        <v>3</v>
      </c>
    </row>
    <row r="62" spans="1:10" x14ac:dyDescent="0.25">
      <c r="A62">
        <v>3225</v>
      </c>
      <c r="B62">
        <v>3225</v>
      </c>
      <c r="C62">
        <v>0</v>
      </c>
      <c r="D62">
        <v>0</v>
      </c>
      <c r="E62">
        <v>0</v>
      </c>
      <c r="F62">
        <v>0</v>
      </c>
      <c r="G62">
        <v>0</v>
      </c>
      <c r="H62">
        <v>0</v>
      </c>
      <c r="I62">
        <v>0</v>
      </c>
      <c r="J62">
        <v>0</v>
      </c>
    </row>
    <row r="63" spans="1:10" x14ac:dyDescent="0.25">
      <c r="A63">
        <v>3250</v>
      </c>
      <c r="B63">
        <v>3250</v>
      </c>
      <c r="C63">
        <v>0</v>
      </c>
      <c r="D63">
        <v>0</v>
      </c>
      <c r="E63">
        <v>0</v>
      </c>
      <c r="F63">
        <v>0</v>
      </c>
      <c r="G63">
        <v>0</v>
      </c>
      <c r="H63">
        <v>0</v>
      </c>
      <c r="I63">
        <v>0</v>
      </c>
      <c r="J63">
        <v>0</v>
      </c>
    </row>
    <row r="64" spans="1:10" x14ac:dyDescent="0.25">
      <c r="A64">
        <v>3275</v>
      </c>
      <c r="B64">
        <v>3275</v>
      </c>
      <c r="C64">
        <v>0</v>
      </c>
      <c r="D64">
        <v>0</v>
      </c>
      <c r="E64">
        <v>0</v>
      </c>
      <c r="F64">
        <v>0</v>
      </c>
      <c r="G64">
        <v>0</v>
      </c>
      <c r="H64">
        <v>0</v>
      </c>
      <c r="I64">
        <v>0</v>
      </c>
      <c r="J64">
        <v>0</v>
      </c>
    </row>
    <row r="65" spans="1:10" x14ac:dyDescent="0.25">
      <c r="A65">
        <v>3300</v>
      </c>
      <c r="B65">
        <v>3300</v>
      </c>
      <c r="C65">
        <v>0</v>
      </c>
      <c r="D65">
        <v>0</v>
      </c>
      <c r="E65">
        <v>1</v>
      </c>
      <c r="F65">
        <v>0</v>
      </c>
      <c r="G65">
        <v>0</v>
      </c>
      <c r="H65">
        <v>0</v>
      </c>
      <c r="I65">
        <v>0</v>
      </c>
      <c r="J65">
        <v>1</v>
      </c>
    </row>
    <row r="66" spans="1:10" x14ac:dyDescent="0.25">
      <c r="A66">
        <v>3325</v>
      </c>
      <c r="B66">
        <v>3325</v>
      </c>
      <c r="C66">
        <v>0</v>
      </c>
      <c r="D66">
        <v>0</v>
      </c>
      <c r="E66">
        <v>0</v>
      </c>
      <c r="F66">
        <v>0</v>
      </c>
      <c r="G66">
        <v>0</v>
      </c>
      <c r="H66">
        <v>0</v>
      </c>
      <c r="I66">
        <v>0</v>
      </c>
      <c r="J66">
        <v>0</v>
      </c>
    </row>
    <row r="67" spans="1:10" x14ac:dyDescent="0.25">
      <c r="A67">
        <v>3350</v>
      </c>
      <c r="B67">
        <v>3350</v>
      </c>
      <c r="C67">
        <v>0</v>
      </c>
      <c r="D67">
        <v>0</v>
      </c>
      <c r="E67">
        <v>15</v>
      </c>
      <c r="F67">
        <v>0</v>
      </c>
      <c r="G67">
        <v>0</v>
      </c>
      <c r="H67">
        <v>0</v>
      </c>
      <c r="I67">
        <v>0</v>
      </c>
      <c r="J67">
        <v>15</v>
      </c>
    </row>
    <row r="68" spans="1:10" x14ac:dyDescent="0.25">
      <c r="A68">
        <v>3375</v>
      </c>
      <c r="B68">
        <v>3375</v>
      </c>
      <c r="C68">
        <v>0</v>
      </c>
      <c r="D68">
        <v>0</v>
      </c>
      <c r="E68">
        <v>0</v>
      </c>
      <c r="F68">
        <v>0</v>
      </c>
      <c r="G68">
        <v>0</v>
      </c>
      <c r="H68">
        <v>0</v>
      </c>
      <c r="I68">
        <v>0</v>
      </c>
      <c r="J68">
        <v>0</v>
      </c>
    </row>
    <row r="69" spans="1:10" x14ac:dyDescent="0.25">
      <c r="A69">
        <v>3400</v>
      </c>
      <c r="B69">
        <v>3400</v>
      </c>
      <c r="C69">
        <v>0</v>
      </c>
      <c r="D69">
        <v>0</v>
      </c>
      <c r="E69">
        <v>1</v>
      </c>
      <c r="F69">
        <v>0</v>
      </c>
      <c r="G69">
        <v>0</v>
      </c>
      <c r="H69">
        <v>0</v>
      </c>
      <c r="I69">
        <v>0</v>
      </c>
      <c r="J69">
        <v>1</v>
      </c>
    </row>
    <row r="70" spans="1:10" x14ac:dyDescent="0.25">
      <c r="A70">
        <v>3425</v>
      </c>
      <c r="B70">
        <v>3425</v>
      </c>
      <c r="C70">
        <v>0</v>
      </c>
      <c r="D70">
        <v>0</v>
      </c>
      <c r="E70">
        <v>0</v>
      </c>
      <c r="F70">
        <v>0</v>
      </c>
      <c r="G70">
        <v>0</v>
      </c>
      <c r="H70">
        <v>0</v>
      </c>
      <c r="I70">
        <v>0</v>
      </c>
      <c r="J70">
        <v>0</v>
      </c>
    </row>
    <row r="71" spans="1:10" x14ac:dyDescent="0.25">
      <c r="A71">
        <v>3450</v>
      </c>
      <c r="B71">
        <v>3450</v>
      </c>
      <c r="C71">
        <v>0</v>
      </c>
      <c r="D71">
        <v>0</v>
      </c>
      <c r="E71">
        <v>1</v>
      </c>
      <c r="F71">
        <v>0</v>
      </c>
      <c r="G71">
        <v>0</v>
      </c>
      <c r="H71">
        <v>0</v>
      </c>
      <c r="I71">
        <v>0</v>
      </c>
      <c r="J71">
        <v>1</v>
      </c>
    </row>
    <row r="72" spans="1:10" x14ac:dyDescent="0.25">
      <c r="A72">
        <v>3475</v>
      </c>
      <c r="B72">
        <v>3475</v>
      </c>
      <c r="C72">
        <v>0</v>
      </c>
      <c r="D72">
        <v>0</v>
      </c>
      <c r="E72">
        <v>0</v>
      </c>
      <c r="F72">
        <v>0</v>
      </c>
      <c r="G72">
        <v>0</v>
      </c>
      <c r="H72">
        <v>0</v>
      </c>
      <c r="I72">
        <v>0</v>
      </c>
      <c r="J72">
        <v>0</v>
      </c>
    </row>
    <row r="73" spans="1:10" x14ac:dyDescent="0.25">
      <c r="A73">
        <v>3500</v>
      </c>
      <c r="B73">
        <v>3500</v>
      </c>
      <c r="C73">
        <v>0</v>
      </c>
      <c r="D73">
        <v>0</v>
      </c>
      <c r="E73">
        <v>0</v>
      </c>
      <c r="F73">
        <v>0</v>
      </c>
      <c r="G73">
        <v>0</v>
      </c>
      <c r="H73">
        <v>0</v>
      </c>
      <c r="I73">
        <v>0</v>
      </c>
      <c r="J73">
        <v>0</v>
      </c>
    </row>
    <row r="74" spans="1:10" x14ac:dyDescent="0.25">
      <c r="A74">
        <v>3525</v>
      </c>
      <c r="B74">
        <v>3525</v>
      </c>
      <c r="C74">
        <v>0</v>
      </c>
      <c r="D74">
        <v>0</v>
      </c>
      <c r="E74">
        <v>0</v>
      </c>
      <c r="F74">
        <v>0</v>
      </c>
      <c r="G74">
        <v>0</v>
      </c>
      <c r="H74">
        <v>0</v>
      </c>
      <c r="I74">
        <v>0</v>
      </c>
      <c r="J74">
        <v>0</v>
      </c>
    </row>
    <row r="75" spans="1:10" x14ac:dyDescent="0.25">
      <c r="A75">
        <v>3550</v>
      </c>
      <c r="B75">
        <v>3550</v>
      </c>
      <c r="C75">
        <v>0</v>
      </c>
      <c r="D75">
        <v>0</v>
      </c>
      <c r="E75">
        <v>0</v>
      </c>
      <c r="F75">
        <v>0</v>
      </c>
      <c r="G75">
        <v>0</v>
      </c>
      <c r="H75">
        <v>0</v>
      </c>
      <c r="I75">
        <v>0</v>
      </c>
      <c r="J75">
        <v>0</v>
      </c>
    </row>
    <row r="76" spans="1:10" x14ac:dyDescent="0.25">
      <c r="A76">
        <v>3575</v>
      </c>
      <c r="B76">
        <v>3575</v>
      </c>
      <c r="C76">
        <v>0</v>
      </c>
      <c r="D76">
        <v>0</v>
      </c>
      <c r="E76">
        <v>0</v>
      </c>
      <c r="F76">
        <v>0</v>
      </c>
      <c r="G76">
        <v>0</v>
      </c>
      <c r="H76">
        <v>0</v>
      </c>
      <c r="I76">
        <v>0</v>
      </c>
      <c r="J76">
        <v>0</v>
      </c>
    </row>
    <row r="77" spans="1:10" x14ac:dyDescent="0.25">
      <c r="A77">
        <v>3600</v>
      </c>
      <c r="B77">
        <v>3600</v>
      </c>
      <c r="C77">
        <v>0</v>
      </c>
      <c r="D77">
        <v>0</v>
      </c>
      <c r="E77">
        <v>26</v>
      </c>
      <c r="F77">
        <v>0</v>
      </c>
      <c r="G77">
        <v>0</v>
      </c>
      <c r="H77">
        <v>0</v>
      </c>
      <c r="I77">
        <v>0</v>
      </c>
      <c r="J77">
        <v>26</v>
      </c>
    </row>
    <row r="78" spans="1:10" x14ac:dyDescent="0.25">
      <c r="A78">
        <v>3625</v>
      </c>
      <c r="B78">
        <v>3625</v>
      </c>
      <c r="C78">
        <v>0</v>
      </c>
      <c r="D78">
        <v>0</v>
      </c>
      <c r="E78">
        <v>3</v>
      </c>
      <c r="F78">
        <v>0</v>
      </c>
      <c r="G78">
        <v>0</v>
      </c>
      <c r="H78">
        <v>0</v>
      </c>
      <c r="I78">
        <v>0</v>
      </c>
      <c r="J78">
        <v>3</v>
      </c>
    </row>
    <row r="79" spans="1:10" x14ac:dyDescent="0.25">
      <c r="A79">
        <v>3650</v>
      </c>
      <c r="B79">
        <v>3650</v>
      </c>
      <c r="C79">
        <v>0</v>
      </c>
      <c r="D79">
        <v>0</v>
      </c>
      <c r="E79">
        <v>0</v>
      </c>
      <c r="F79">
        <v>0</v>
      </c>
      <c r="G79">
        <v>0</v>
      </c>
      <c r="H79">
        <v>0</v>
      </c>
      <c r="I79">
        <v>0</v>
      </c>
      <c r="J79">
        <v>0</v>
      </c>
    </row>
    <row r="80" spans="1:10" x14ac:dyDescent="0.25">
      <c r="A80">
        <v>3675</v>
      </c>
      <c r="B80">
        <v>3675</v>
      </c>
      <c r="C80">
        <v>0</v>
      </c>
      <c r="D80">
        <v>0</v>
      </c>
      <c r="E80">
        <v>0</v>
      </c>
      <c r="F80">
        <v>0</v>
      </c>
      <c r="G80">
        <v>0</v>
      </c>
      <c r="H80">
        <v>0</v>
      </c>
      <c r="I80">
        <v>0</v>
      </c>
      <c r="J80">
        <v>0</v>
      </c>
    </row>
    <row r="81" spans="1:10" x14ac:dyDescent="0.25">
      <c r="A81">
        <v>3700</v>
      </c>
      <c r="B81">
        <v>3700</v>
      </c>
      <c r="C81">
        <v>0</v>
      </c>
      <c r="D81">
        <v>0</v>
      </c>
      <c r="E81">
        <v>1152</v>
      </c>
      <c r="F81">
        <v>0</v>
      </c>
      <c r="G81">
        <v>0</v>
      </c>
      <c r="H81">
        <v>0</v>
      </c>
      <c r="I81">
        <v>0</v>
      </c>
      <c r="J81">
        <v>1152</v>
      </c>
    </row>
    <row r="82" spans="1:10" x14ac:dyDescent="0.25">
      <c r="A82">
        <v>3725</v>
      </c>
      <c r="B82">
        <v>3725</v>
      </c>
      <c r="C82">
        <v>0</v>
      </c>
      <c r="D82">
        <v>6</v>
      </c>
      <c r="E82">
        <v>11</v>
      </c>
      <c r="F82">
        <v>545</v>
      </c>
      <c r="G82">
        <v>545</v>
      </c>
      <c r="H82">
        <v>545</v>
      </c>
      <c r="I82">
        <v>545</v>
      </c>
      <c r="J82">
        <v>11</v>
      </c>
    </row>
    <row r="83" spans="1:10" x14ac:dyDescent="0.25">
      <c r="A83">
        <v>3750</v>
      </c>
      <c r="B83">
        <v>3750</v>
      </c>
      <c r="C83">
        <v>0</v>
      </c>
      <c r="D83">
        <v>0</v>
      </c>
      <c r="E83">
        <v>16</v>
      </c>
      <c r="F83">
        <v>0</v>
      </c>
      <c r="G83">
        <v>0</v>
      </c>
      <c r="H83">
        <v>0</v>
      </c>
      <c r="I83">
        <v>0</v>
      </c>
      <c r="J83">
        <v>16</v>
      </c>
    </row>
    <row r="84" spans="1:10" x14ac:dyDescent="0.25">
      <c r="A84">
        <v>3775</v>
      </c>
      <c r="B84">
        <v>3775</v>
      </c>
      <c r="C84">
        <v>0</v>
      </c>
      <c r="D84">
        <v>0</v>
      </c>
      <c r="E84">
        <v>0</v>
      </c>
      <c r="F84">
        <v>0</v>
      </c>
      <c r="G84">
        <v>0</v>
      </c>
      <c r="H84">
        <v>0</v>
      </c>
      <c r="I84">
        <v>0</v>
      </c>
      <c r="J84">
        <v>0</v>
      </c>
    </row>
    <row r="85" spans="1:10" x14ac:dyDescent="0.25">
      <c r="A85">
        <v>3800</v>
      </c>
      <c r="B85">
        <v>3800</v>
      </c>
      <c r="C85">
        <v>0</v>
      </c>
      <c r="D85">
        <v>0</v>
      </c>
      <c r="E85">
        <v>725</v>
      </c>
      <c r="F85">
        <v>0</v>
      </c>
      <c r="G85">
        <v>0</v>
      </c>
      <c r="H85">
        <v>0</v>
      </c>
      <c r="I85">
        <v>0</v>
      </c>
      <c r="J85">
        <v>725</v>
      </c>
    </row>
    <row r="86" spans="1:10" x14ac:dyDescent="0.25">
      <c r="A86">
        <v>3825</v>
      </c>
      <c r="B86">
        <v>3825</v>
      </c>
      <c r="C86">
        <v>0</v>
      </c>
      <c r="D86">
        <v>0</v>
      </c>
      <c r="E86">
        <v>0</v>
      </c>
      <c r="F86">
        <v>0</v>
      </c>
      <c r="G86">
        <v>0</v>
      </c>
      <c r="H86">
        <v>0</v>
      </c>
      <c r="I86">
        <v>0</v>
      </c>
      <c r="J86">
        <v>0</v>
      </c>
    </row>
    <row r="87" spans="1:10" x14ac:dyDescent="0.25">
      <c r="A87">
        <v>3850</v>
      </c>
      <c r="B87">
        <v>3850</v>
      </c>
      <c r="C87">
        <v>0</v>
      </c>
      <c r="D87">
        <v>0</v>
      </c>
      <c r="E87">
        <v>17</v>
      </c>
      <c r="F87">
        <v>0</v>
      </c>
      <c r="G87">
        <v>0</v>
      </c>
      <c r="H87">
        <v>0</v>
      </c>
      <c r="I87">
        <v>0</v>
      </c>
      <c r="J87">
        <v>17</v>
      </c>
    </row>
    <row r="88" spans="1:10" x14ac:dyDescent="0.25">
      <c r="A88">
        <v>3875</v>
      </c>
      <c r="B88">
        <v>3875</v>
      </c>
      <c r="C88">
        <v>0</v>
      </c>
      <c r="D88">
        <v>0</v>
      </c>
      <c r="E88">
        <v>0</v>
      </c>
      <c r="F88">
        <v>0</v>
      </c>
      <c r="G88">
        <v>0</v>
      </c>
      <c r="H88">
        <v>0</v>
      </c>
      <c r="I88">
        <v>0</v>
      </c>
      <c r="J88">
        <v>0</v>
      </c>
    </row>
    <row r="89" spans="1:10" x14ac:dyDescent="0.25">
      <c r="A89">
        <v>3900</v>
      </c>
      <c r="B89">
        <v>3900</v>
      </c>
      <c r="C89">
        <v>0</v>
      </c>
      <c r="D89">
        <v>0</v>
      </c>
      <c r="E89">
        <v>3</v>
      </c>
      <c r="F89">
        <v>0</v>
      </c>
      <c r="G89">
        <v>0</v>
      </c>
      <c r="H89">
        <v>0</v>
      </c>
      <c r="I89">
        <v>0</v>
      </c>
      <c r="J89">
        <v>3</v>
      </c>
    </row>
    <row r="90" spans="1:10" x14ac:dyDescent="0.25">
      <c r="A90">
        <v>3925</v>
      </c>
      <c r="B90">
        <v>3925</v>
      </c>
      <c r="C90">
        <v>0</v>
      </c>
      <c r="D90">
        <v>0</v>
      </c>
      <c r="E90">
        <v>0</v>
      </c>
      <c r="F90">
        <v>0</v>
      </c>
      <c r="G90">
        <v>0</v>
      </c>
      <c r="H90">
        <v>0</v>
      </c>
      <c r="I90">
        <v>0</v>
      </c>
      <c r="J90">
        <v>0</v>
      </c>
    </row>
    <row r="91" spans="1:10" x14ac:dyDescent="0.25">
      <c r="A91">
        <v>3950</v>
      </c>
      <c r="B91">
        <v>3950</v>
      </c>
      <c r="C91">
        <v>0</v>
      </c>
      <c r="D91">
        <v>0</v>
      </c>
      <c r="E91">
        <v>6</v>
      </c>
      <c r="F91">
        <v>0</v>
      </c>
      <c r="G91">
        <v>0</v>
      </c>
      <c r="H91">
        <v>0</v>
      </c>
      <c r="I91">
        <v>0</v>
      </c>
      <c r="J91">
        <v>6</v>
      </c>
    </row>
    <row r="92" spans="1:10" x14ac:dyDescent="0.25">
      <c r="A92">
        <v>3975</v>
      </c>
      <c r="B92">
        <v>3975</v>
      </c>
      <c r="C92">
        <v>0</v>
      </c>
      <c r="D92">
        <v>0</v>
      </c>
      <c r="E92">
        <v>0</v>
      </c>
      <c r="F92">
        <v>0</v>
      </c>
      <c r="G92">
        <v>0</v>
      </c>
      <c r="H92">
        <v>0</v>
      </c>
      <c r="I92">
        <v>0</v>
      </c>
      <c r="J92">
        <v>0</v>
      </c>
    </row>
    <row r="93" spans="1:10" x14ac:dyDescent="0.25">
      <c r="A93">
        <v>4000</v>
      </c>
      <c r="B93">
        <v>4000</v>
      </c>
      <c r="C93">
        <v>0</v>
      </c>
      <c r="D93">
        <v>5</v>
      </c>
      <c r="E93">
        <v>6015</v>
      </c>
      <c r="F93">
        <v>315</v>
      </c>
      <c r="G93">
        <v>315</v>
      </c>
      <c r="H93">
        <v>315</v>
      </c>
      <c r="I93">
        <v>315</v>
      </c>
      <c r="J93">
        <v>6015</v>
      </c>
    </row>
    <row r="94" spans="1:10" x14ac:dyDescent="0.25">
      <c r="A94">
        <v>4025</v>
      </c>
      <c r="B94">
        <v>4025</v>
      </c>
      <c r="C94">
        <v>0</v>
      </c>
      <c r="D94">
        <v>0</v>
      </c>
      <c r="E94">
        <v>286</v>
      </c>
      <c r="F94">
        <v>0</v>
      </c>
      <c r="G94">
        <v>0</v>
      </c>
      <c r="H94">
        <v>0</v>
      </c>
      <c r="I94">
        <v>0</v>
      </c>
      <c r="J94">
        <v>286</v>
      </c>
    </row>
    <row r="95" spans="1:10" x14ac:dyDescent="0.25">
      <c r="A95">
        <v>4050</v>
      </c>
      <c r="B95">
        <v>4050</v>
      </c>
      <c r="C95">
        <v>0</v>
      </c>
      <c r="D95">
        <v>2</v>
      </c>
      <c r="E95">
        <v>121</v>
      </c>
      <c r="F95">
        <v>0</v>
      </c>
      <c r="G95">
        <v>0</v>
      </c>
      <c r="H95">
        <v>0</v>
      </c>
      <c r="I95">
        <v>0</v>
      </c>
      <c r="J95">
        <v>121</v>
      </c>
    </row>
    <row r="96" spans="1:10" x14ac:dyDescent="0.25">
      <c r="A96">
        <v>4075</v>
      </c>
      <c r="B96">
        <v>4075</v>
      </c>
      <c r="C96">
        <v>0</v>
      </c>
      <c r="D96">
        <v>0</v>
      </c>
      <c r="E96">
        <v>3</v>
      </c>
      <c r="F96">
        <v>0</v>
      </c>
      <c r="G96">
        <v>0</v>
      </c>
      <c r="H96">
        <v>0</v>
      </c>
      <c r="I96">
        <v>0</v>
      </c>
      <c r="J96">
        <v>3</v>
      </c>
    </row>
    <row r="97" spans="1:10" x14ac:dyDescent="0.25">
      <c r="A97">
        <v>4100</v>
      </c>
      <c r="B97">
        <v>4100</v>
      </c>
      <c r="C97">
        <v>0</v>
      </c>
      <c r="D97">
        <v>0</v>
      </c>
      <c r="E97">
        <v>10574</v>
      </c>
      <c r="F97">
        <v>0</v>
      </c>
      <c r="G97">
        <v>0</v>
      </c>
      <c r="H97">
        <v>0</v>
      </c>
      <c r="I97">
        <v>0</v>
      </c>
      <c r="J97">
        <v>10574</v>
      </c>
    </row>
    <row r="98" spans="1:10" x14ac:dyDescent="0.25">
      <c r="A98">
        <v>4125</v>
      </c>
      <c r="B98">
        <v>4125</v>
      </c>
      <c r="C98">
        <v>0</v>
      </c>
      <c r="D98">
        <v>0</v>
      </c>
      <c r="E98">
        <v>1</v>
      </c>
      <c r="F98">
        <v>0</v>
      </c>
      <c r="G98">
        <v>0</v>
      </c>
      <c r="H98">
        <v>0</v>
      </c>
      <c r="I98">
        <v>0</v>
      </c>
      <c r="J98">
        <v>1</v>
      </c>
    </row>
    <row r="99" spans="1:10" x14ac:dyDescent="0.25">
      <c r="A99">
        <v>4150</v>
      </c>
      <c r="B99">
        <v>4150</v>
      </c>
      <c r="C99">
        <v>0</v>
      </c>
      <c r="D99">
        <v>0</v>
      </c>
      <c r="E99">
        <v>1503</v>
      </c>
      <c r="F99">
        <v>0</v>
      </c>
      <c r="G99">
        <v>0</v>
      </c>
      <c r="H99">
        <v>0</v>
      </c>
      <c r="I99">
        <v>0</v>
      </c>
      <c r="J99">
        <v>1503</v>
      </c>
    </row>
    <row r="100" spans="1:10" x14ac:dyDescent="0.25">
      <c r="A100">
        <v>4175</v>
      </c>
      <c r="B100">
        <v>4175</v>
      </c>
      <c r="C100">
        <v>0</v>
      </c>
      <c r="D100">
        <v>0</v>
      </c>
      <c r="E100">
        <v>23</v>
      </c>
      <c r="F100">
        <v>0</v>
      </c>
      <c r="G100">
        <v>0</v>
      </c>
      <c r="H100">
        <v>0</v>
      </c>
      <c r="I100">
        <v>0</v>
      </c>
      <c r="J100">
        <v>23</v>
      </c>
    </row>
    <row r="101" spans="1:10" x14ac:dyDescent="0.25">
      <c r="A101">
        <v>4200</v>
      </c>
      <c r="B101">
        <v>4200</v>
      </c>
      <c r="C101">
        <v>0</v>
      </c>
      <c r="D101">
        <v>226</v>
      </c>
      <c r="E101">
        <v>12234</v>
      </c>
      <c r="F101">
        <v>0</v>
      </c>
      <c r="G101">
        <v>0</v>
      </c>
      <c r="H101">
        <v>0</v>
      </c>
      <c r="I101">
        <v>0</v>
      </c>
      <c r="J101">
        <v>12234</v>
      </c>
    </row>
    <row r="102" spans="1:10" x14ac:dyDescent="0.25">
      <c r="A102">
        <v>4225</v>
      </c>
      <c r="B102">
        <v>4225</v>
      </c>
      <c r="C102">
        <v>0</v>
      </c>
      <c r="D102">
        <v>0</v>
      </c>
      <c r="E102">
        <v>3481</v>
      </c>
      <c r="F102">
        <v>0</v>
      </c>
      <c r="G102">
        <v>0</v>
      </c>
      <c r="H102">
        <v>0</v>
      </c>
      <c r="I102">
        <v>0</v>
      </c>
      <c r="J102">
        <v>3481</v>
      </c>
    </row>
    <row r="103" spans="1:10" x14ac:dyDescent="0.25">
      <c r="A103">
        <v>4250</v>
      </c>
      <c r="B103">
        <v>4250</v>
      </c>
      <c r="C103">
        <v>0</v>
      </c>
      <c r="D103">
        <v>1190</v>
      </c>
      <c r="E103">
        <v>3464</v>
      </c>
      <c r="F103">
        <v>96.8</v>
      </c>
      <c r="G103">
        <v>108</v>
      </c>
      <c r="H103">
        <v>90</v>
      </c>
      <c r="I103">
        <v>106.8</v>
      </c>
      <c r="J103">
        <v>3464</v>
      </c>
    </row>
    <row r="104" spans="1:10" x14ac:dyDescent="0.25">
      <c r="A104">
        <v>4275</v>
      </c>
      <c r="B104">
        <v>4275</v>
      </c>
      <c r="C104">
        <v>0</v>
      </c>
      <c r="D104">
        <v>2353</v>
      </c>
      <c r="E104">
        <v>4537</v>
      </c>
      <c r="F104">
        <v>82.3</v>
      </c>
      <c r="G104">
        <v>96.8</v>
      </c>
      <c r="H104">
        <v>82.3</v>
      </c>
      <c r="I104">
        <v>91.3</v>
      </c>
      <c r="J104">
        <v>4537</v>
      </c>
    </row>
    <row r="105" spans="1:10" x14ac:dyDescent="0.25">
      <c r="A105">
        <v>4300</v>
      </c>
      <c r="B105">
        <v>4300</v>
      </c>
      <c r="C105">
        <v>0</v>
      </c>
      <c r="D105">
        <v>2072</v>
      </c>
      <c r="E105">
        <v>33915</v>
      </c>
      <c r="F105">
        <v>66</v>
      </c>
      <c r="G105">
        <v>84</v>
      </c>
      <c r="H105">
        <v>66</v>
      </c>
      <c r="I105">
        <v>76.099999999999994</v>
      </c>
      <c r="J105">
        <v>33915</v>
      </c>
    </row>
    <row r="106" spans="1:10" x14ac:dyDescent="0.25">
      <c r="A106">
        <v>4325</v>
      </c>
      <c r="B106">
        <v>4325</v>
      </c>
      <c r="C106">
        <v>0</v>
      </c>
      <c r="D106">
        <v>235</v>
      </c>
      <c r="E106">
        <v>6043</v>
      </c>
      <c r="F106">
        <v>57.6</v>
      </c>
      <c r="G106">
        <v>66.2</v>
      </c>
      <c r="H106">
        <v>57.6</v>
      </c>
      <c r="I106">
        <v>65.2</v>
      </c>
      <c r="J106">
        <v>6043</v>
      </c>
    </row>
    <row r="107" spans="1:10" x14ac:dyDescent="0.25">
      <c r="A107">
        <v>4350</v>
      </c>
      <c r="B107">
        <v>4350</v>
      </c>
      <c r="C107">
        <v>0</v>
      </c>
      <c r="D107">
        <v>1786</v>
      </c>
      <c r="E107">
        <v>25105</v>
      </c>
      <c r="F107">
        <v>48</v>
      </c>
      <c r="G107">
        <v>53.2</v>
      </c>
      <c r="H107">
        <v>42</v>
      </c>
      <c r="I107">
        <v>52.7</v>
      </c>
      <c r="J107">
        <v>25105</v>
      </c>
    </row>
    <row r="108" spans="1:10" x14ac:dyDescent="0.25">
      <c r="A108">
        <v>4375</v>
      </c>
      <c r="B108">
        <v>4375</v>
      </c>
      <c r="C108">
        <v>0</v>
      </c>
      <c r="D108">
        <v>464</v>
      </c>
      <c r="E108">
        <v>8651</v>
      </c>
      <c r="F108">
        <v>36.1</v>
      </c>
      <c r="G108">
        <v>42.1</v>
      </c>
      <c r="H108">
        <v>34.5</v>
      </c>
      <c r="I108">
        <v>42.1</v>
      </c>
      <c r="J108">
        <v>8651</v>
      </c>
    </row>
    <row r="109" spans="1:10" x14ac:dyDescent="0.25">
      <c r="A109">
        <v>4400</v>
      </c>
      <c r="B109">
        <v>4400</v>
      </c>
      <c r="C109">
        <v>0</v>
      </c>
      <c r="D109">
        <v>12255</v>
      </c>
      <c r="E109">
        <v>45793</v>
      </c>
      <c r="F109">
        <v>30</v>
      </c>
      <c r="G109">
        <v>35.6</v>
      </c>
      <c r="H109">
        <v>27.3</v>
      </c>
      <c r="I109">
        <v>35.4</v>
      </c>
      <c r="J109">
        <v>45793</v>
      </c>
    </row>
    <row r="110" spans="1:10" x14ac:dyDescent="0.25">
      <c r="A110">
        <v>4425</v>
      </c>
      <c r="B110">
        <v>4425</v>
      </c>
      <c r="C110">
        <v>0</v>
      </c>
      <c r="D110">
        <v>1618</v>
      </c>
      <c r="E110">
        <v>11156</v>
      </c>
      <c r="F110">
        <v>22.7</v>
      </c>
      <c r="G110">
        <v>22.7</v>
      </c>
      <c r="H110">
        <v>22.7</v>
      </c>
      <c r="I110">
        <v>22.7</v>
      </c>
      <c r="J110">
        <v>11156</v>
      </c>
    </row>
    <row r="111" spans="1:10" x14ac:dyDescent="0.25">
      <c r="A111">
        <v>4450</v>
      </c>
      <c r="B111">
        <v>4450</v>
      </c>
      <c r="C111">
        <v>0</v>
      </c>
      <c r="D111">
        <v>9632</v>
      </c>
      <c r="E111">
        <v>81553</v>
      </c>
      <c r="F111">
        <v>18.5</v>
      </c>
      <c r="G111">
        <v>22.5</v>
      </c>
      <c r="H111">
        <v>17.5</v>
      </c>
      <c r="I111">
        <v>20.6</v>
      </c>
      <c r="J111">
        <v>81553</v>
      </c>
    </row>
    <row r="112" spans="1:10" x14ac:dyDescent="0.25">
      <c r="A112">
        <v>4475</v>
      </c>
      <c r="B112">
        <v>4475</v>
      </c>
      <c r="C112">
        <v>0</v>
      </c>
      <c r="D112">
        <v>2177</v>
      </c>
      <c r="E112">
        <v>11227</v>
      </c>
      <c r="F112">
        <v>14.6</v>
      </c>
      <c r="G112">
        <v>16.600000000000001</v>
      </c>
      <c r="H112">
        <v>14.6</v>
      </c>
      <c r="I112">
        <v>16.5</v>
      </c>
      <c r="J112">
        <v>11227</v>
      </c>
    </row>
    <row r="113" spans="1:10" x14ac:dyDescent="0.25">
      <c r="A113">
        <v>4500</v>
      </c>
      <c r="B113">
        <v>4500</v>
      </c>
      <c r="C113">
        <v>0</v>
      </c>
      <c r="D113">
        <v>3205</v>
      </c>
      <c r="E113">
        <v>72974</v>
      </c>
      <c r="F113">
        <v>10.5</v>
      </c>
      <c r="G113">
        <v>12.5</v>
      </c>
      <c r="H113">
        <v>9.6999999999999993</v>
      </c>
      <c r="I113">
        <v>12.5</v>
      </c>
      <c r="J113">
        <v>72974</v>
      </c>
    </row>
    <row r="114" spans="1:10" x14ac:dyDescent="0.25">
      <c r="A114">
        <v>4525</v>
      </c>
      <c r="B114">
        <v>4525</v>
      </c>
      <c r="C114">
        <v>0</v>
      </c>
      <c r="D114">
        <v>8280</v>
      </c>
      <c r="E114">
        <v>31542</v>
      </c>
      <c r="F114">
        <v>8.3000000000000007</v>
      </c>
      <c r="G114">
        <v>10.3</v>
      </c>
      <c r="H114">
        <v>8.1999999999999993</v>
      </c>
      <c r="I114">
        <v>9.5</v>
      </c>
      <c r="J114">
        <v>31542</v>
      </c>
    </row>
    <row r="115" spans="1:10" x14ac:dyDescent="0.25">
      <c r="A115">
        <v>4550</v>
      </c>
      <c r="B115">
        <v>4550</v>
      </c>
      <c r="C115">
        <v>0</v>
      </c>
      <c r="D115">
        <v>15266</v>
      </c>
      <c r="E115">
        <v>41763</v>
      </c>
      <c r="F115">
        <v>6.2</v>
      </c>
      <c r="G115">
        <v>8.5</v>
      </c>
      <c r="H115">
        <v>6.2</v>
      </c>
      <c r="I115">
        <v>7.4</v>
      </c>
      <c r="J115">
        <v>41763</v>
      </c>
    </row>
    <row r="116" spans="1:10" x14ac:dyDescent="0.25">
      <c r="A116">
        <v>4575</v>
      </c>
      <c r="B116">
        <v>4575</v>
      </c>
      <c r="C116">
        <v>0</v>
      </c>
      <c r="D116">
        <v>248</v>
      </c>
      <c r="E116">
        <v>13618</v>
      </c>
      <c r="F116">
        <v>5.3</v>
      </c>
      <c r="G116">
        <v>5.9</v>
      </c>
      <c r="H116">
        <v>5.3</v>
      </c>
      <c r="I116">
        <v>5.7</v>
      </c>
      <c r="J116">
        <v>13618</v>
      </c>
    </row>
    <row r="117" spans="1:10" x14ac:dyDescent="0.25">
      <c r="A117">
        <v>4600</v>
      </c>
      <c r="B117">
        <v>4600</v>
      </c>
      <c r="C117">
        <v>0</v>
      </c>
      <c r="D117">
        <v>5451</v>
      </c>
      <c r="E117">
        <v>53827</v>
      </c>
      <c r="F117">
        <v>3.6</v>
      </c>
      <c r="G117">
        <v>4.5</v>
      </c>
      <c r="H117">
        <v>3.6</v>
      </c>
      <c r="I117">
        <v>4</v>
      </c>
      <c r="J117">
        <v>53827</v>
      </c>
    </row>
    <row r="118" spans="1:10" x14ac:dyDescent="0.25">
      <c r="A118">
        <v>4625</v>
      </c>
      <c r="B118">
        <v>4625</v>
      </c>
      <c r="C118">
        <v>0</v>
      </c>
      <c r="D118">
        <v>1000</v>
      </c>
      <c r="E118">
        <v>2291</v>
      </c>
      <c r="F118">
        <v>3.5</v>
      </c>
      <c r="G118">
        <v>3.5</v>
      </c>
      <c r="H118">
        <v>3.5</v>
      </c>
      <c r="I118">
        <v>3.5</v>
      </c>
      <c r="J118">
        <v>2291</v>
      </c>
    </row>
    <row r="119" spans="1:10" x14ac:dyDescent="0.25">
      <c r="A119">
        <v>4650</v>
      </c>
      <c r="B119">
        <v>4650</v>
      </c>
      <c r="C119">
        <v>0</v>
      </c>
      <c r="D119">
        <v>414</v>
      </c>
      <c r="E119">
        <v>24283</v>
      </c>
      <c r="F119">
        <v>2.2000000000000002</v>
      </c>
      <c r="G119">
        <v>2.4</v>
      </c>
      <c r="H119">
        <v>2.2000000000000002</v>
      </c>
      <c r="I119">
        <v>2.4</v>
      </c>
      <c r="J119">
        <v>24283</v>
      </c>
    </row>
    <row r="120" spans="1:10" x14ac:dyDescent="0.25">
      <c r="A120">
        <v>4675</v>
      </c>
      <c r="B120">
        <v>4675</v>
      </c>
      <c r="C120">
        <v>0</v>
      </c>
      <c r="D120">
        <v>0</v>
      </c>
      <c r="E120">
        <v>3570</v>
      </c>
      <c r="F120">
        <v>0</v>
      </c>
      <c r="G120">
        <v>0</v>
      </c>
      <c r="H120">
        <v>0</v>
      </c>
      <c r="I120">
        <v>0</v>
      </c>
      <c r="J120">
        <v>3570</v>
      </c>
    </row>
    <row r="121" spans="1:10" x14ac:dyDescent="0.25">
      <c r="A121">
        <v>4700</v>
      </c>
      <c r="B121">
        <v>4700</v>
      </c>
      <c r="C121">
        <v>0</v>
      </c>
      <c r="D121">
        <v>739</v>
      </c>
      <c r="E121">
        <v>39281</v>
      </c>
      <c r="F121">
        <v>1.4</v>
      </c>
      <c r="G121">
        <v>1.5</v>
      </c>
      <c r="H121">
        <v>1.4</v>
      </c>
      <c r="I121">
        <v>1.5</v>
      </c>
      <c r="J121">
        <v>39281</v>
      </c>
    </row>
    <row r="122" spans="1:10" x14ac:dyDescent="0.25">
      <c r="A122">
        <v>4725</v>
      </c>
      <c r="B122">
        <v>4725</v>
      </c>
      <c r="C122">
        <v>0</v>
      </c>
      <c r="D122">
        <v>0</v>
      </c>
      <c r="E122">
        <v>509</v>
      </c>
      <c r="F122">
        <v>0</v>
      </c>
      <c r="G122">
        <v>0</v>
      </c>
      <c r="H122">
        <v>0</v>
      </c>
      <c r="I122">
        <v>0</v>
      </c>
      <c r="J122">
        <v>509</v>
      </c>
    </row>
    <row r="123" spans="1:10" x14ac:dyDescent="0.25">
      <c r="A123">
        <v>4750</v>
      </c>
      <c r="B123">
        <v>4750</v>
      </c>
      <c r="C123">
        <v>0</v>
      </c>
      <c r="D123">
        <v>0</v>
      </c>
      <c r="E123">
        <v>6467</v>
      </c>
      <c r="F123">
        <v>0</v>
      </c>
      <c r="G123">
        <v>0</v>
      </c>
      <c r="H123">
        <v>0</v>
      </c>
      <c r="I123">
        <v>0</v>
      </c>
      <c r="J123">
        <v>6467</v>
      </c>
    </row>
    <row r="124" spans="1:10" x14ac:dyDescent="0.25">
      <c r="A124">
        <v>4775</v>
      </c>
      <c r="B124">
        <v>4775</v>
      </c>
      <c r="C124">
        <v>0</v>
      </c>
      <c r="D124">
        <v>0</v>
      </c>
      <c r="E124">
        <v>629</v>
      </c>
      <c r="F124">
        <v>0</v>
      </c>
      <c r="G124">
        <v>0</v>
      </c>
      <c r="H124">
        <v>0</v>
      </c>
      <c r="I124">
        <v>0</v>
      </c>
      <c r="J124">
        <v>629</v>
      </c>
    </row>
    <row r="125" spans="1:10" x14ac:dyDescent="0.25">
      <c r="A125">
        <v>4800</v>
      </c>
      <c r="B125">
        <v>4800</v>
      </c>
      <c r="C125">
        <v>0</v>
      </c>
      <c r="D125">
        <v>0</v>
      </c>
      <c r="E125">
        <v>15624</v>
      </c>
      <c r="F125">
        <v>0</v>
      </c>
      <c r="G125">
        <v>0</v>
      </c>
      <c r="H125">
        <v>0</v>
      </c>
      <c r="I125">
        <v>0</v>
      </c>
      <c r="J125">
        <v>15624</v>
      </c>
    </row>
    <row r="126" spans="1:10" x14ac:dyDescent="0.25">
      <c r="A126">
        <v>4825</v>
      </c>
      <c r="B126">
        <v>4825</v>
      </c>
      <c r="C126">
        <v>0</v>
      </c>
      <c r="D126">
        <v>0</v>
      </c>
      <c r="E126">
        <v>1452</v>
      </c>
      <c r="F126">
        <v>0</v>
      </c>
      <c r="G126">
        <v>0</v>
      </c>
      <c r="H126">
        <v>0</v>
      </c>
      <c r="I126">
        <v>0</v>
      </c>
      <c r="J126">
        <v>1452</v>
      </c>
    </row>
    <row r="127" spans="1:10" x14ac:dyDescent="0.25">
      <c r="A127">
        <v>4850</v>
      </c>
      <c r="B127">
        <v>4850</v>
      </c>
      <c r="C127">
        <v>0</v>
      </c>
      <c r="D127">
        <v>0</v>
      </c>
      <c r="E127">
        <v>4880</v>
      </c>
      <c r="F127">
        <v>0</v>
      </c>
      <c r="G127">
        <v>0</v>
      </c>
      <c r="H127">
        <v>0</v>
      </c>
      <c r="I127">
        <v>0</v>
      </c>
      <c r="J127">
        <v>4880</v>
      </c>
    </row>
    <row r="128" spans="1:10" x14ac:dyDescent="0.25">
      <c r="A128">
        <v>4875</v>
      </c>
      <c r="B128">
        <v>4875</v>
      </c>
      <c r="C128">
        <v>0</v>
      </c>
      <c r="D128">
        <v>0</v>
      </c>
      <c r="E128">
        <v>270</v>
      </c>
      <c r="F128">
        <v>0</v>
      </c>
      <c r="G128">
        <v>0</v>
      </c>
      <c r="H128">
        <v>0</v>
      </c>
      <c r="I128">
        <v>0</v>
      </c>
      <c r="J128">
        <v>270</v>
      </c>
    </row>
    <row r="129" spans="1:10" x14ac:dyDescent="0.25">
      <c r="A129">
        <v>4900</v>
      </c>
      <c r="B129">
        <v>4900</v>
      </c>
      <c r="C129">
        <v>0</v>
      </c>
      <c r="D129">
        <v>0</v>
      </c>
      <c r="E129">
        <v>634</v>
      </c>
      <c r="F129">
        <v>0</v>
      </c>
      <c r="G129">
        <v>0</v>
      </c>
      <c r="H129">
        <v>0</v>
      </c>
      <c r="I129">
        <v>0</v>
      </c>
      <c r="J129">
        <v>634</v>
      </c>
    </row>
    <row r="130" spans="1:10" x14ac:dyDescent="0.25">
      <c r="A130">
        <v>4925</v>
      </c>
      <c r="B130">
        <v>4925</v>
      </c>
      <c r="C130">
        <v>0</v>
      </c>
      <c r="D130">
        <v>106</v>
      </c>
      <c r="E130">
        <v>241</v>
      </c>
      <c r="F130">
        <v>0</v>
      </c>
      <c r="G130">
        <v>0</v>
      </c>
      <c r="H130">
        <v>0</v>
      </c>
      <c r="I130">
        <v>0</v>
      </c>
      <c r="J130">
        <v>241</v>
      </c>
    </row>
    <row r="131" spans="1:10" x14ac:dyDescent="0.25">
      <c r="A131">
        <v>4950</v>
      </c>
      <c r="B131">
        <v>4950</v>
      </c>
      <c r="C131">
        <v>0</v>
      </c>
      <c r="D131">
        <v>0</v>
      </c>
      <c r="E131">
        <v>63</v>
      </c>
      <c r="F131">
        <v>0</v>
      </c>
      <c r="G131">
        <v>0</v>
      </c>
      <c r="H131">
        <v>0</v>
      </c>
      <c r="I131">
        <v>0</v>
      </c>
      <c r="J131">
        <v>63</v>
      </c>
    </row>
    <row r="132" spans="1:10" x14ac:dyDescent="0.25">
      <c r="A132">
        <v>4975</v>
      </c>
      <c r="B132">
        <v>4975</v>
      </c>
      <c r="C132">
        <v>0</v>
      </c>
      <c r="D132">
        <v>0</v>
      </c>
      <c r="E132">
        <v>100</v>
      </c>
      <c r="F132">
        <v>0</v>
      </c>
      <c r="G132">
        <v>0</v>
      </c>
      <c r="H132">
        <v>0</v>
      </c>
      <c r="I132">
        <v>0</v>
      </c>
      <c r="J132">
        <v>100</v>
      </c>
    </row>
    <row r="133" spans="1:10" x14ac:dyDescent="0.25">
      <c r="A133">
        <v>5000</v>
      </c>
      <c r="B133">
        <v>5000</v>
      </c>
      <c r="C133">
        <v>0</v>
      </c>
      <c r="D133">
        <v>0</v>
      </c>
      <c r="E133">
        <v>478</v>
      </c>
      <c r="F133">
        <v>0</v>
      </c>
      <c r="G133">
        <v>0</v>
      </c>
      <c r="H133">
        <v>0</v>
      </c>
      <c r="I133">
        <v>0</v>
      </c>
      <c r="J133">
        <v>478</v>
      </c>
    </row>
    <row r="134" spans="1:10" x14ac:dyDescent="0.25">
      <c r="A134">
        <v>5025</v>
      </c>
      <c r="B134">
        <v>5025</v>
      </c>
      <c r="C134">
        <v>0</v>
      </c>
      <c r="D134">
        <v>0</v>
      </c>
      <c r="E134">
        <v>85</v>
      </c>
      <c r="F134">
        <v>0</v>
      </c>
      <c r="G134">
        <v>0</v>
      </c>
      <c r="H134">
        <v>0</v>
      </c>
      <c r="I134">
        <v>0</v>
      </c>
      <c r="J134">
        <v>85</v>
      </c>
    </row>
    <row r="135" spans="1:10" x14ac:dyDescent="0.25">
      <c r="A135">
        <v>5050</v>
      </c>
      <c r="B135">
        <v>5050</v>
      </c>
      <c r="C135">
        <v>0</v>
      </c>
      <c r="D135">
        <v>0</v>
      </c>
      <c r="E135">
        <v>62</v>
      </c>
      <c r="F135">
        <v>0</v>
      </c>
      <c r="G135">
        <v>0</v>
      </c>
      <c r="H135">
        <v>0</v>
      </c>
      <c r="I135">
        <v>0</v>
      </c>
      <c r="J135">
        <v>62</v>
      </c>
    </row>
    <row r="136" spans="1:10" x14ac:dyDescent="0.25">
      <c r="A136">
        <v>5075</v>
      </c>
      <c r="B136">
        <v>5075</v>
      </c>
      <c r="C136">
        <v>0</v>
      </c>
      <c r="D136">
        <v>0</v>
      </c>
      <c r="E136">
        <v>35</v>
      </c>
      <c r="F136">
        <v>0</v>
      </c>
      <c r="G136">
        <v>0</v>
      </c>
      <c r="H136">
        <v>0</v>
      </c>
      <c r="I136">
        <v>0</v>
      </c>
      <c r="J136">
        <v>35</v>
      </c>
    </row>
    <row r="137" spans="1:10" x14ac:dyDescent="0.25">
      <c r="A137">
        <v>5100</v>
      </c>
      <c r="B137">
        <v>5100</v>
      </c>
      <c r="C137">
        <v>0</v>
      </c>
      <c r="D137">
        <v>0</v>
      </c>
      <c r="E137">
        <v>28</v>
      </c>
      <c r="F137">
        <v>0</v>
      </c>
      <c r="G137">
        <v>0</v>
      </c>
      <c r="H137">
        <v>0</v>
      </c>
      <c r="I137">
        <v>0</v>
      </c>
      <c r="J137">
        <v>28</v>
      </c>
    </row>
    <row r="138" spans="1:10" x14ac:dyDescent="0.25">
      <c r="A138">
        <v>5125</v>
      </c>
      <c r="B138">
        <v>5125</v>
      </c>
      <c r="C138">
        <v>0</v>
      </c>
      <c r="D138">
        <v>0</v>
      </c>
      <c r="E138">
        <v>14</v>
      </c>
      <c r="F138">
        <v>0</v>
      </c>
      <c r="G138">
        <v>0</v>
      </c>
      <c r="H138">
        <v>0</v>
      </c>
      <c r="I138">
        <v>0</v>
      </c>
      <c r="J138">
        <v>14</v>
      </c>
    </row>
    <row r="139" spans="1:10" x14ac:dyDescent="0.25">
      <c r="A139">
        <v>5150</v>
      </c>
      <c r="B139">
        <v>5150</v>
      </c>
      <c r="C139">
        <v>0</v>
      </c>
      <c r="D139">
        <v>0</v>
      </c>
      <c r="E139">
        <v>57</v>
      </c>
      <c r="F139">
        <v>0</v>
      </c>
      <c r="G139">
        <v>0</v>
      </c>
      <c r="H139">
        <v>0</v>
      </c>
      <c r="I139">
        <v>0</v>
      </c>
      <c r="J139">
        <v>57</v>
      </c>
    </row>
    <row r="140" spans="1:10" x14ac:dyDescent="0.25">
      <c r="A140">
        <v>5175</v>
      </c>
      <c r="B140">
        <v>5175</v>
      </c>
      <c r="C140">
        <v>0</v>
      </c>
      <c r="D140">
        <v>0</v>
      </c>
      <c r="E140">
        <v>7</v>
      </c>
      <c r="F140">
        <v>0</v>
      </c>
      <c r="G140">
        <v>0</v>
      </c>
      <c r="H140">
        <v>0</v>
      </c>
      <c r="I140">
        <v>0</v>
      </c>
      <c r="J140">
        <v>7</v>
      </c>
    </row>
    <row r="141" spans="1:10" x14ac:dyDescent="0.25">
      <c r="A141">
        <v>5200</v>
      </c>
      <c r="B141">
        <v>5200</v>
      </c>
      <c r="C141">
        <v>0</v>
      </c>
      <c r="D141">
        <v>0</v>
      </c>
      <c r="E141">
        <v>15</v>
      </c>
      <c r="F141">
        <v>0</v>
      </c>
      <c r="G141">
        <v>0</v>
      </c>
      <c r="H141">
        <v>0</v>
      </c>
      <c r="I141">
        <v>0</v>
      </c>
      <c r="J141">
        <v>15</v>
      </c>
    </row>
    <row r="142" spans="1:10" x14ac:dyDescent="0.25">
      <c r="A142">
        <v>5225</v>
      </c>
      <c r="B142">
        <v>5225</v>
      </c>
      <c r="C142">
        <v>0</v>
      </c>
      <c r="D142">
        <v>0</v>
      </c>
      <c r="E142">
        <v>0</v>
      </c>
      <c r="F142">
        <v>0</v>
      </c>
      <c r="G142">
        <v>0</v>
      </c>
      <c r="H142">
        <v>0</v>
      </c>
      <c r="I142">
        <v>0</v>
      </c>
      <c r="J142">
        <v>0</v>
      </c>
    </row>
    <row r="143" spans="1:10" x14ac:dyDescent="0.25">
      <c r="A143">
        <v>5250</v>
      </c>
      <c r="B143">
        <v>5250</v>
      </c>
      <c r="C143">
        <v>0</v>
      </c>
      <c r="D143">
        <v>0</v>
      </c>
      <c r="E143">
        <v>260</v>
      </c>
      <c r="F143">
        <v>0</v>
      </c>
      <c r="G143">
        <v>0</v>
      </c>
      <c r="H143">
        <v>0</v>
      </c>
      <c r="I143">
        <v>0</v>
      </c>
      <c r="J143">
        <v>260</v>
      </c>
    </row>
    <row r="144" spans="1:10" x14ac:dyDescent="0.25">
      <c r="A144">
        <v>5275</v>
      </c>
      <c r="B144">
        <v>5275</v>
      </c>
      <c r="C144">
        <v>0</v>
      </c>
      <c r="D144">
        <v>0</v>
      </c>
      <c r="E144">
        <v>0</v>
      </c>
      <c r="F144">
        <v>0</v>
      </c>
      <c r="G144">
        <v>0</v>
      </c>
      <c r="H144">
        <v>0</v>
      </c>
      <c r="I144">
        <v>0</v>
      </c>
      <c r="J144">
        <v>0</v>
      </c>
    </row>
    <row r="145" spans="1:10" x14ac:dyDescent="0.25">
      <c r="A145">
        <v>5300</v>
      </c>
      <c r="B145">
        <v>5300</v>
      </c>
      <c r="C145">
        <v>0</v>
      </c>
      <c r="D145">
        <v>0</v>
      </c>
      <c r="E145">
        <v>13</v>
      </c>
      <c r="F145">
        <v>0</v>
      </c>
      <c r="G145">
        <v>0</v>
      </c>
      <c r="H145">
        <v>0</v>
      </c>
      <c r="I145">
        <v>0</v>
      </c>
      <c r="J145">
        <v>13</v>
      </c>
    </row>
    <row r="146" spans="1:10" x14ac:dyDescent="0.25">
      <c r="A146">
        <v>5325</v>
      </c>
      <c r="B146">
        <v>5325</v>
      </c>
      <c r="C146">
        <v>0</v>
      </c>
      <c r="D146">
        <v>0</v>
      </c>
      <c r="E146">
        <v>0</v>
      </c>
      <c r="F146">
        <v>0</v>
      </c>
      <c r="G146">
        <v>0</v>
      </c>
      <c r="H146">
        <v>0</v>
      </c>
      <c r="I146">
        <v>0</v>
      </c>
      <c r="J146">
        <v>0</v>
      </c>
    </row>
    <row r="147" spans="1:10" x14ac:dyDescent="0.25">
      <c r="A147">
        <v>5400</v>
      </c>
      <c r="B147">
        <v>5400</v>
      </c>
      <c r="C147">
        <v>0</v>
      </c>
      <c r="D147">
        <v>0</v>
      </c>
      <c r="E147">
        <v>0</v>
      </c>
      <c r="F147">
        <v>0</v>
      </c>
      <c r="G147">
        <v>0</v>
      </c>
      <c r="H147">
        <v>0</v>
      </c>
      <c r="I147">
        <v>0</v>
      </c>
      <c r="J147">
        <v>0</v>
      </c>
    </row>
    <row r="148" spans="1:10" x14ac:dyDescent="0.25">
      <c r="A148">
        <v>5500</v>
      </c>
      <c r="B148">
        <v>5500</v>
      </c>
      <c r="C148">
        <v>0</v>
      </c>
      <c r="D148">
        <v>0</v>
      </c>
      <c r="E148">
        <v>0</v>
      </c>
      <c r="F148">
        <v>0</v>
      </c>
      <c r="G148">
        <v>0</v>
      </c>
      <c r="H148">
        <v>0</v>
      </c>
      <c r="I148">
        <v>0</v>
      </c>
      <c r="J148">
        <v>0</v>
      </c>
    </row>
    <row r="149" spans="1:10" x14ac:dyDescent="0.25">
      <c r="A149">
        <v>5600</v>
      </c>
      <c r="B149">
        <v>5600</v>
      </c>
      <c r="C149">
        <v>0</v>
      </c>
      <c r="D149">
        <v>0</v>
      </c>
      <c r="E149">
        <v>0</v>
      </c>
      <c r="F149">
        <v>0</v>
      </c>
      <c r="G149">
        <v>0</v>
      </c>
      <c r="H149">
        <v>0</v>
      </c>
      <c r="I149">
        <v>0</v>
      </c>
      <c r="J149">
        <v>0</v>
      </c>
    </row>
    <row r="150" spans="1:10" x14ac:dyDescent="0.25">
      <c r="A150">
        <v>5700</v>
      </c>
      <c r="B150">
        <v>5700</v>
      </c>
      <c r="C150">
        <v>0</v>
      </c>
      <c r="D150">
        <v>0</v>
      </c>
      <c r="E150">
        <v>3</v>
      </c>
      <c r="F150">
        <v>0</v>
      </c>
      <c r="G150">
        <v>0</v>
      </c>
      <c r="H150">
        <v>0</v>
      </c>
      <c r="I150">
        <v>0</v>
      </c>
      <c r="J150">
        <v>3</v>
      </c>
    </row>
    <row r="151" spans="1:10" x14ac:dyDescent="0.25">
      <c r="A151">
        <v>5800</v>
      </c>
      <c r="B151">
        <v>5800</v>
      </c>
      <c r="C151">
        <v>0</v>
      </c>
      <c r="D151">
        <v>0</v>
      </c>
      <c r="E151">
        <v>3</v>
      </c>
      <c r="F151">
        <v>0</v>
      </c>
      <c r="G151">
        <v>0</v>
      </c>
      <c r="H151">
        <v>0</v>
      </c>
      <c r="I151">
        <v>0</v>
      </c>
      <c r="J151">
        <v>3</v>
      </c>
    </row>
    <row r="152" spans="1:10" x14ac:dyDescent="0.25">
      <c r="A152">
        <v>5900</v>
      </c>
      <c r="B152">
        <v>5900</v>
      </c>
      <c r="C152">
        <v>0</v>
      </c>
      <c r="D152">
        <v>0</v>
      </c>
      <c r="E152">
        <v>0</v>
      </c>
      <c r="F152">
        <v>0</v>
      </c>
      <c r="G152">
        <v>0</v>
      </c>
      <c r="H152">
        <v>0</v>
      </c>
      <c r="I152">
        <v>0</v>
      </c>
      <c r="J152">
        <v>0</v>
      </c>
    </row>
    <row r="153" spans="1:10" x14ac:dyDescent="0.25">
      <c r="A153">
        <v>6000</v>
      </c>
      <c r="B153">
        <v>6000</v>
      </c>
      <c r="C153">
        <v>0</v>
      </c>
      <c r="D153">
        <v>0</v>
      </c>
      <c r="E153">
        <v>0</v>
      </c>
      <c r="F153">
        <v>0</v>
      </c>
      <c r="G153">
        <v>0</v>
      </c>
      <c r="H153">
        <v>0</v>
      </c>
      <c r="I153">
        <v>0</v>
      </c>
      <c r="J153">
        <v>0</v>
      </c>
    </row>
    <row r="154" spans="1:10" x14ac:dyDescent="0.25">
      <c r="A154">
        <v>7000</v>
      </c>
      <c r="B154">
        <v>7000</v>
      </c>
      <c r="C154">
        <v>0</v>
      </c>
      <c r="D154">
        <v>0</v>
      </c>
      <c r="E154">
        <v>0</v>
      </c>
      <c r="F154">
        <v>0</v>
      </c>
      <c r="G154">
        <v>0</v>
      </c>
      <c r="H154">
        <v>0</v>
      </c>
      <c r="I154">
        <v>0</v>
      </c>
      <c r="J154">
        <v>0</v>
      </c>
    </row>
    <row r="155" spans="1:10" x14ac:dyDescent="0.25">
      <c r="A155">
        <v>8000</v>
      </c>
      <c r="B155">
        <v>8000</v>
      </c>
      <c r="C155">
        <v>0</v>
      </c>
      <c r="D155">
        <v>0</v>
      </c>
      <c r="E155">
        <v>0</v>
      </c>
      <c r="F155">
        <v>0</v>
      </c>
      <c r="G155">
        <v>0</v>
      </c>
      <c r="H155">
        <v>0</v>
      </c>
      <c r="I155">
        <v>0</v>
      </c>
      <c r="J155">
        <v>0</v>
      </c>
    </row>
    <row r="156" spans="1:10" x14ac:dyDescent="0.25">
      <c r="A156">
        <v>9000</v>
      </c>
      <c r="B156">
        <v>9000</v>
      </c>
      <c r="C156">
        <v>0</v>
      </c>
      <c r="D156">
        <v>0</v>
      </c>
      <c r="E156">
        <v>0</v>
      </c>
      <c r="F156">
        <v>0</v>
      </c>
      <c r="G156">
        <v>0</v>
      </c>
      <c r="H156">
        <v>0</v>
      </c>
      <c r="I156">
        <v>0</v>
      </c>
      <c r="J156">
        <v>0</v>
      </c>
    </row>
    <row r="157" spans="1:10" x14ac:dyDescent="0.25">
      <c r="A157" t="s">
        <v>274</v>
      </c>
      <c r="B157">
        <v>10000</v>
      </c>
      <c r="C157">
        <v>0</v>
      </c>
      <c r="D157">
        <v>0</v>
      </c>
      <c r="E157">
        <v>0</v>
      </c>
      <c r="F157">
        <v>0</v>
      </c>
      <c r="G157">
        <v>0</v>
      </c>
      <c r="H157">
        <v>0</v>
      </c>
      <c r="I157">
        <v>0</v>
      </c>
      <c r="J157">
        <v>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D7AB-7DC8-4885-97BC-F234BA46B495}">
  <sheetPr codeName="Tabelle11"/>
  <dimension ref="A1:J157"/>
  <sheetViews>
    <sheetView workbookViewId="0"/>
  </sheetViews>
  <sheetFormatPr defaultColWidth="8.85546875" defaultRowHeight="15" x14ac:dyDescent="0.25"/>
  <sheetData>
    <row r="1" spans="1:10" x14ac:dyDescent="0.25">
      <c r="A1" s="100" t="s">
        <v>283</v>
      </c>
      <c r="B1" s="100" t="s">
        <v>255</v>
      </c>
      <c r="C1" s="100" t="s">
        <v>282</v>
      </c>
      <c r="D1" s="100" t="s">
        <v>281</v>
      </c>
      <c r="E1" s="100" t="s">
        <v>280</v>
      </c>
      <c r="F1" s="100" t="s">
        <v>279</v>
      </c>
      <c r="G1" s="100" t="s">
        <v>278</v>
      </c>
      <c r="H1" s="100" t="s">
        <v>277</v>
      </c>
      <c r="I1" s="100" t="s">
        <v>276</v>
      </c>
      <c r="J1" s="100" t="s">
        <v>275</v>
      </c>
    </row>
    <row r="2" spans="1:10" x14ac:dyDescent="0.25">
      <c r="A2">
        <v>1000</v>
      </c>
      <c r="B2">
        <v>1000</v>
      </c>
      <c r="C2">
        <v>0</v>
      </c>
      <c r="D2">
        <v>0</v>
      </c>
      <c r="E2">
        <v>1</v>
      </c>
      <c r="F2">
        <v>0</v>
      </c>
      <c r="G2">
        <v>0</v>
      </c>
      <c r="H2">
        <v>0</v>
      </c>
      <c r="I2">
        <v>0</v>
      </c>
      <c r="J2">
        <v>1</v>
      </c>
    </row>
    <row r="3" spans="1:10" x14ac:dyDescent="0.25">
      <c r="A3">
        <v>1100</v>
      </c>
      <c r="B3">
        <v>1100</v>
      </c>
      <c r="C3">
        <v>0</v>
      </c>
      <c r="D3">
        <v>0</v>
      </c>
      <c r="E3">
        <v>0</v>
      </c>
      <c r="F3">
        <v>0</v>
      </c>
      <c r="G3">
        <v>0</v>
      </c>
      <c r="H3">
        <v>0</v>
      </c>
      <c r="I3">
        <v>0</v>
      </c>
      <c r="J3">
        <v>0</v>
      </c>
    </row>
    <row r="4" spans="1:10" x14ac:dyDescent="0.25">
      <c r="A4">
        <v>1150</v>
      </c>
      <c r="B4">
        <v>1150</v>
      </c>
      <c r="C4">
        <v>0</v>
      </c>
      <c r="D4">
        <v>0</v>
      </c>
      <c r="E4">
        <v>774</v>
      </c>
      <c r="F4">
        <v>0</v>
      </c>
      <c r="G4">
        <v>0</v>
      </c>
      <c r="H4">
        <v>0</v>
      </c>
      <c r="I4">
        <v>0</v>
      </c>
      <c r="J4">
        <v>774</v>
      </c>
    </row>
    <row r="5" spans="1:10" x14ac:dyDescent="0.25">
      <c r="A5">
        <v>1200</v>
      </c>
      <c r="B5">
        <v>1200</v>
      </c>
      <c r="C5">
        <v>0</v>
      </c>
      <c r="D5">
        <v>0</v>
      </c>
      <c r="E5">
        <v>782</v>
      </c>
      <c r="F5">
        <v>0</v>
      </c>
      <c r="G5">
        <v>0</v>
      </c>
      <c r="H5">
        <v>0</v>
      </c>
      <c r="I5">
        <v>0</v>
      </c>
      <c r="J5">
        <v>782</v>
      </c>
    </row>
    <row r="6" spans="1:10" x14ac:dyDescent="0.25">
      <c r="A6">
        <v>1250</v>
      </c>
      <c r="B6">
        <v>1250</v>
      </c>
      <c r="C6">
        <v>0</v>
      </c>
      <c r="D6">
        <v>0</v>
      </c>
      <c r="E6">
        <v>41</v>
      </c>
      <c r="F6">
        <v>0</v>
      </c>
      <c r="G6">
        <v>0</v>
      </c>
      <c r="H6">
        <v>0</v>
      </c>
      <c r="I6">
        <v>0</v>
      </c>
      <c r="J6">
        <v>41</v>
      </c>
    </row>
    <row r="7" spans="1:10" x14ac:dyDescent="0.25">
      <c r="A7">
        <v>1300</v>
      </c>
      <c r="B7">
        <v>1300</v>
      </c>
      <c r="C7">
        <v>0</v>
      </c>
      <c r="D7">
        <v>0</v>
      </c>
      <c r="E7">
        <v>2</v>
      </c>
      <c r="F7">
        <v>0</v>
      </c>
      <c r="G7">
        <v>0</v>
      </c>
      <c r="H7">
        <v>0</v>
      </c>
      <c r="I7">
        <v>0</v>
      </c>
      <c r="J7">
        <v>2</v>
      </c>
    </row>
    <row r="8" spans="1:10" x14ac:dyDescent="0.25">
      <c r="A8">
        <v>1400</v>
      </c>
      <c r="B8">
        <v>1400</v>
      </c>
      <c r="C8">
        <v>0</v>
      </c>
      <c r="D8">
        <v>0</v>
      </c>
      <c r="E8">
        <v>1</v>
      </c>
      <c r="F8">
        <v>0</v>
      </c>
      <c r="G8">
        <v>0</v>
      </c>
      <c r="H8">
        <v>0</v>
      </c>
      <c r="I8">
        <v>0</v>
      </c>
      <c r="J8">
        <v>1</v>
      </c>
    </row>
    <row r="9" spans="1:10" x14ac:dyDescent="0.25">
      <c r="A9">
        <v>1450</v>
      </c>
      <c r="B9">
        <v>1450</v>
      </c>
      <c r="C9">
        <v>0</v>
      </c>
      <c r="D9">
        <v>0</v>
      </c>
      <c r="E9">
        <v>2</v>
      </c>
      <c r="F9">
        <v>0</v>
      </c>
      <c r="G9">
        <v>0</v>
      </c>
      <c r="H9">
        <v>0</v>
      </c>
      <c r="I9">
        <v>0</v>
      </c>
      <c r="J9">
        <v>2</v>
      </c>
    </row>
    <row r="10" spans="1:10" x14ac:dyDescent="0.25">
      <c r="A10">
        <v>1500</v>
      </c>
      <c r="B10">
        <v>1500</v>
      </c>
      <c r="C10">
        <v>0</v>
      </c>
      <c r="D10">
        <v>0</v>
      </c>
      <c r="E10">
        <v>2</v>
      </c>
      <c r="F10">
        <v>0</v>
      </c>
      <c r="G10">
        <v>0</v>
      </c>
      <c r="H10">
        <v>0</v>
      </c>
      <c r="I10">
        <v>0</v>
      </c>
      <c r="J10">
        <v>2</v>
      </c>
    </row>
    <row r="11" spans="1:10" x14ac:dyDescent="0.25">
      <c r="A11">
        <v>1600</v>
      </c>
      <c r="B11">
        <v>1600</v>
      </c>
      <c r="C11">
        <v>0</v>
      </c>
      <c r="D11">
        <v>0</v>
      </c>
      <c r="E11">
        <v>0</v>
      </c>
      <c r="F11">
        <v>0</v>
      </c>
      <c r="G11">
        <v>0</v>
      </c>
      <c r="H11">
        <v>0</v>
      </c>
      <c r="I11">
        <v>0</v>
      </c>
      <c r="J11">
        <v>0</v>
      </c>
    </row>
    <row r="12" spans="1:10" x14ac:dyDescent="0.25">
      <c r="A12">
        <v>1650</v>
      </c>
      <c r="B12">
        <v>1650</v>
      </c>
      <c r="C12">
        <v>0</v>
      </c>
      <c r="D12">
        <v>0</v>
      </c>
      <c r="E12">
        <v>275</v>
      </c>
      <c r="F12">
        <v>0</v>
      </c>
      <c r="G12">
        <v>0</v>
      </c>
      <c r="H12">
        <v>0</v>
      </c>
      <c r="I12">
        <v>0</v>
      </c>
      <c r="J12">
        <v>275</v>
      </c>
    </row>
    <row r="13" spans="1:10" x14ac:dyDescent="0.25">
      <c r="A13">
        <v>1700</v>
      </c>
      <c r="B13">
        <v>1700</v>
      </c>
      <c r="C13">
        <v>0</v>
      </c>
      <c r="D13">
        <v>0</v>
      </c>
      <c r="E13">
        <v>0</v>
      </c>
      <c r="F13">
        <v>0</v>
      </c>
      <c r="G13">
        <v>0</v>
      </c>
      <c r="H13">
        <v>0</v>
      </c>
      <c r="I13">
        <v>0</v>
      </c>
      <c r="J13">
        <v>0</v>
      </c>
    </row>
    <row r="14" spans="1:10" x14ac:dyDescent="0.25">
      <c r="A14">
        <v>1750</v>
      </c>
      <c r="B14">
        <v>1750</v>
      </c>
      <c r="C14">
        <v>0</v>
      </c>
      <c r="D14">
        <v>0</v>
      </c>
      <c r="E14">
        <v>400</v>
      </c>
      <c r="F14">
        <v>0</v>
      </c>
      <c r="G14">
        <v>0</v>
      </c>
      <c r="H14">
        <v>0</v>
      </c>
      <c r="I14">
        <v>0</v>
      </c>
      <c r="J14">
        <v>400</v>
      </c>
    </row>
    <row r="15" spans="1:10" x14ac:dyDescent="0.25">
      <c r="A15">
        <v>1800</v>
      </c>
      <c r="B15">
        <v>1800</v>
      </c>
      <c r="C15">
        <v>0</v>
      </c>
      <c r="D15">
        <v>0</v>
      </c>
      <c r="E15">
        <v>50</v>
      </c>
      <c r="F15">
        <v>0</v>
      </c>
      <c r="G15">
        <v>0</v>
      </c>
      <c r="H15">
        <v>0</v>
      </c>
      <c r="I15">
        <v>0</v>
      </c>
      <c r="J15">
        <v>50</v>
      </c>
    </row>
    <row r="16" spans="1:10" x14ac:dyDescent="0.25">
      <c r="A16">
        <v>1900</v>
      </c>
      <c r="B16">
        <v>1900</v>
      </c>
      <c r="C16">
        <v>0</v>
      </c>
      <c r="D16">
        <v>0</v>
      </c>
      <c r="E16">
        <v>4018</v>
      </c>
      <c r="F16">
        <v>0</v>
      </c>
      <c r="G16">
        <v>0</v>
      </c>
      <c r="H16">
        <v>0</v>
      </c>
      <c r="I16">
        <v>0</v>
      </c>
      <c r="J16">
        <v>4018</v>
      </c>
    </row>
    <row r="17" spans="1:10" x14ac:dyDescent="0.25">
      <c r="A17">
        <v>1950</v>
      </c>
      <c r="B17">
        <v>1950</v>
      </c>
      <c r="C17">
        <v>0</v>
      </c>
      <c r="D17">
        <v>0</v>
      </c>
      <c r="E17">
        <v>110</v>
      </c>
      <c r="F17">
        <v>0</v>
      </c>
      <c r="G17">
        <v>0</v>
      </c>
      <c r="H17">
        <v>0</v>
      </c>
      <c r="I17">
        <v>0</v>
      </c>
      <c r="J17">
        <v>110</v>
      </c>
    </row>
    <row r="18" spans="1:10" x14ac:dyDescent="0.25">
      <c r="A18">
        <v>2000</v>
      </c>
      <c r="B18">
        <v>2000</v>
      </c>
      <c r="C18">
        <v>0</v>
      </c>
      <c r="D18">
        <v>0</v>
      </c>
      <c r="E18">
        <v>10</v>
      </c>
      <c r="F18">
        <v>0</v>
      </c>
      <c r="G18">
        <v>0</v>
      </c>
      <c r="H18">
        <v>0</v>
      </c>
      <c r="I18">
        <v>0</v>
      </c>
      <c r="J18">
        <v>10</v>
      </c>
    </row>
    <row r="19" spans="1:10" x14ac:dyDescent="0.25">
      <c r="A19">
        <v>2050</v>
      </c>
      <c r="B19">
        <v>2050</v>
      </c>
      <c r="C19">
        <v>0</v>
      </c>
      <c r="D19">
        <v>0</v>
      </c>
      <c r="E19">
        <v>726</v>
      </c>
      <c r="F19">
        <v>0</v>
      </c>
      <c r="G19">
        <v>0</v>
      </c>
      <c r="H19">
        <v>0</v>
      </c>
      <c r="I19">
        <v>0</v>
      </c>
      <c r="J19">
        <v>726</v>
      </c>
    </row>
    <row r="20" spans="1:10" x14ac:dyDescent="0.25">
      <c r="A20">
        <v>2100</v>
      </c>
      <c r="B20">
        <v>2100</v>
      </c>
      <c r="C20">
        <v>0</v>
      </c>
      <c r="D20">
        <v>0</v>
      </c>
      <c r="E20">
        <v>531</v>
      </c>
      <c r="F20">
        <v>0</v>
      </c>
      <c r="G20">
        <v>0</v>
      </c>
      <c r="H20">
        <v>0</v>
      </c>
      <c r="I20">
        <v>0</v>
      </c>
      <c r="J20">
        <v>531</v>
      </c>
    </row>
    <row r="21" spans="1:10" x14ac:dyDescent="0.25">
      <c r="A21">
        <v>2150</v>
      </c>
      <c r="B21">
        <v>2150</v>
      </c>
      <c r="C21">
        <v>0</v>
      </c>
      <c r="D21">
        <v>0</v>
      </c>
      <c r="E21">
        <v>9</v>
      </c>
      <c r="F21">
        <v>0</v>
      </c>
      <c r="G21">
        <v>0</v>
      </c>
      <c r="H21">
        <v>0</v>
      </c>
      <c r="I21">
        <v>0</v>
      </c>
      <c r="J21">
        <v>9</v>
      </c>
    </row>
    <row r="22" spans="1:10" x14ac:dyDescent="0.25">
      <c r="A22">
        <v>2200</v>
      </c>
      <c r="B22">
        <v>2200</v>
      </c>
      <c r="C22">
        <v>0</v>
      </c>
      <c r="D22">
        <v>0</v>
      </c>
      <c r="E22">
        <v>146</v>
      </c>
      <c r="F22">
        <v>0</v>
      </c>
      <c r="G22">
        <v>0</v>
      </c>
      <c r="H22">
        <v>0</v>
      </c>
      <c r="I22">
        <v>0</v>
      </c>
      <c r="J22">
        <v>146</v>
      </c>
    </row>
    <row r="23" spans="1:10" x14ac:dyDescent="0.25">
      <c r="A23">
        <v>2250</v>
      </c>
      <c r="B23">
        <v>2250</v>
      </c>
      <c r="C23">
        <v>0</v>
      </c>
      <c r="D23">
        <v>0</v>
      </c>
      <c r="E23">
        <v>112</v>
      </c>
      <c r="F23">
        <v>0</v>
      </c>
      <c r="G23">
        <v>0</v>
      </c>
      <c r="H23">
        <v>0</v>
      </c>
      <c r="I23">
        <v>0</v>
      </c>
      <c r="J23">
        <v>112</v>
      </c>
    </row>
    <row r="24" spans="1:10" x14ac:dyDescent="0.25">
      <c r="A24">
        <v>2275</v>
      </c>
      <c r="B24">
        <v>2275</v>
      </c>
      <c r="C24">
        <v>0</v>
      </c>
      <c r="D24">
        <v>0</v>
      </c>
      <c r="E24">
        <v>0</v>
      </c>
      <c r="F24">
        <v>0</v>
      </c>
      <c r="G24">
        <v>0</v>
      </c>
      <c r="H24">
        <v>0</v>
      </c>
      <c r="I24">
        <v>0</v>
      </c>
      <c r="J24">
        <v>0</v>
      </c>
    </row>
    <row r="25" spans="1:10" x14ac:dyDescent="0.25">
      <c r="A25">
        <v>2300</v>
      </c>
      <c r="B25">
        <v>2300</v>
      </c>
      <c r="C25">
        <v>0</v>
      </c>
      <c r="D25">
        <v>0</v>
      </c>
      <c r="E25">
        <v>217</v>
      </c>
      <c r="F25">
        <v>0</v>
      </c>
      <c r="G25">
        <v>0</v>
      </c>
      <c r="H25">
        <v>0</v>
      </c>
      <c r="I25">
        <v>0</v>
      </c>
      <c r="J25">
        <v>217</v>
      </c>
    </row>
    <row r="26" spans="1:10" x14ac:dyDescent="0.25">
      <c r="A26">
        <v>2325</v>
      </c>
      <c r="B26">
        <v>2325</v>
      </c>
      <c r="C26">
        <v>0</v>
      </c>
      <c r="D26">
        <v>0</v>
      </c>
      <c r="E26">
        <v>2</v>
      </c>
      <c r="F26">
        <v>0</v>
      </c>
      <c r="G26">
        <v>0</v>
      </c>
      <c r="H26">
        <v>0</v>
      </c>
      <c r="I26">
        <v>0</v>
      </c>
      <c r="J26">
        <v>2</v>
      </c>
    </row>
    <row r="27" spans="1:10" x14ac:dyDescent="0.25">
      <c r="A27">
        <v>2350</v>
      </c>
      <c r="B27">
        <v>2350</v>
      </c>
      <c r="C27">
        <v>0</v>
      </c>
      <c r="D27">
        <v>0</v>
      </c>
      <c r="E27">
        <v>61</v>
      </c>
      <c r="F27">
        <v>0</v>
      </c>
      <c r="G27">
        <v>0</v>
      </c>
      <c r="H27">
        <v>0</v>
      </c>
      <c r="I27">
        <v>0</v>
      </c>
      <c r="J27">
        <v>61</v>
      </c>
    </row>
    <row r="28" spans="1:10" x14ac:dyDescent="0.25">
      <c r="A28">
        <v>2375</v>
      </c>
      <c r="B28">
        <v>2375</v>
      </c>
      <c r="C28">
        <v>0</v>
      </c>
      <c r="D28">
        <v>0</v>
      </c>
      <c r="E28">
        <v>41</v>
      </c>
      <c r="F28">
        <v>0</v>
      </c>
      <c r="G28">
        <v>0</v>
      </c>
      <c r="H28">
        <v>0</v>
      </c>
      <c r="I28">
        <v>0</v>
      </c>
      <c r="J28">
        <v>41</v>
      </c>
    </row>
    <row r="29" spans="1:10" x14ac:dyDescent="0.25">
      <c r="A29">
        <v>2400</v>
      </c>
      <c r="B29">
        <v>2400</v>
      </c>
      <c r="C29">
        <v>0</v>
      </c>
      <c r="D29">
        <v>0</v>
      </c>
      <c r="E29">
        <v>249</v>
      </c>
      <c r="F29">
        <v>0</v>
      </c>
      <c r="G29">
        <v>0</v>
      </c>
      <c r="H29">
        <v>0</v>
      </c>
      <c r="I29">
        <v>0</v>
      </c>
      <c r="J29">
        <v>249</v>
      </c>
    </row>
    <row r="30" spans="1:10" x14ac:dyDescent="0.25">
      <c r="A30">
        <v>2425</v>
      </c>
      <c r="B30">
        <v>2425</v>
      </c>
      <c r="C30">
        <v>0</v>
      </c>
      <c r="D30">
        <v>0</v>
      </c>
      <c r="E30">
        <v>50</v>
      </c>
      <c r="F30">
        <v>0</v>
      </c>
      <c r="G30">
        <v>0</v>
      </c>
      <c r="H30">
        <v>0</v>
      </c>
      <c r="I30">
        <v>0</v>
      </c>
      <c r="J30">
        <v>50</v>
      </c>
    </row>
    <row r="31" spans="1:10" x14ac:dyDescent="0.25">
      <c r="A31">
        <v>2450</v>
      </c>
      <c r="B31">
        <v>2450</v>
      </c>
      <c r="C31">
        <v>0</v>
      </c>
      <c r="D31">
        <v>0</v>
      </c>
      <c r="E31">
        <v>1855</v>
      </c>
      <c r="F31">
        <v>0</v>
      </c>
      <c r="G31">
        <v>0</v>
      </c>
      <c r="H31">
        <v>0</v>
      </c>
      <c r="I31">
        <v>0</v>
      </c>
      <c r="J31">
        <v>1855</v>
      </c>
    </row>
    <row r="32" spans="1:10" x14ac:dyDescent="0.25">
      <c r="A32">
        <v>2475</v>
      </c>
      <c r="B32">
        <v>2475</v>
      </c>
      <c r="C32">
        <v>0</v>
      </c>
      <c r="D32">
        <v>0</v>
      </c>
      <c r="E32">
        <v>55</v>
      </c>
      <c r="F32">
        <v>0</v>
      </c>
      <c r="G32">
        <v>0</v>
      </c>
      <c r="H32">
        <v>0</v>
      </c>
      <c r="I32">
        <v>0</v>
      </c>
      <c r="J32">
        <v>55</v>
      </c>
    </row>
    <row r="33" spans="1:10" x14ac:dyDescent="0.25">
      <c r="A33">
        <v>2500</v>
      </c>
      <c r="B33">
        <v>2500</v>
      </c>
      <c r="C33">
        <v>0</v>
      </c>
      <c r="D33">
        <v>0</v>
      </c>
      <c r="E33">
        <v>1419</v>
      </c>
      <c r="F33">
        <v>0</v>
      </c>
      <c r="G33">
        <v>0</v>
      </c>
      <c r="H33">
        <v>0</v>
      </c>
      <c r="I33">
        <v>0</v>
      </c>
      <c r="J33">
        <v>1419</v>
      </c>
    </row>
    <row r="34" spans="1:10" x14ac:dyDescent="0.25">
      <c r="A34">
        <v>2525</v>
      </c>
      <c r="B34">
        <v>2525</v>
      </c>
      <c r="C34">
        <v>0</v>
      </c>
      <c r="D34">
        <v>0</v>
      </c>
      <c r="E34">
        <v>2</v>
      </c>
      <c r="F34">
        <v>0</v>
      </c>
      <c r="G34">
        <v>0</v>
      </c>
      <c r="H34">
        <v>0</v>
      </c>
      <c r="I34">
        <v>0</v>
      </c>
      <c r="J34">
        <v>2</v>
      </c>
    </row>
    <row r="35" spans="1:10" x14ac:dyDescent="0.25">
      <c r="A35">
        <v>2550</v>
      </c>
      <c r="B35">
        <v>2550</v>
      </c>
      <c r="C35">
        <v>0</v>
      </c>
      <c r="D35">
        <v>0</v>
      </c>
      <c r="E35">
        <v>116</v>
      </c>
      <c r="F35">
        <v>0</v>
      </c>
      <c r="G35">
        <v>0</v>
      </c>
      <c r="H35">
        <v>0</v>
      </c>
      <c r="I35">
        <v>0</v>
      </c>
      <c r="J35">
        <v>116</v>
      </c>
    </row>
    <row r="36" spans="1:10" x14ac:dyDescent="0.25">
      <c r="A36">
        <v>2575</v>
      </c>
      <c r="B36">
        <v>2575</v>
      </c>
      <c r="C36">
        <v>0</v>
      </c>
      <c r="D36">
        <v>0</v>
      </c>
      <c r="E36">
        <v>170</v>
      </c>
      <c r="F36">
        <v>0</v>
      </c>
      <c r="G36">
        <v>0</v>
      </c>
      <c r="H36">
        <v>0</v>
      </c>
      <c r="I36">
        <v>0</v>
      </c>
      <c r="J36">
        <v>170</v>
      </c>
    </row>
    <row r="37" spans="1:10" x14ac:dyDescent="0.25">
      <c r="A37">
        <v>2600</v>
      </c>
      <c r="B37">
        <v>2600</v>
      </c>
      <c r="C37">
        <v>0</v>
      </c>
      <c r="D37">
        <v>0</v>
      </c>
      <c r="E37">
        <v>9060</v>
      </c>
      <c r="F37">
        <v>0</v>
      </c>
      <c r="G37">
        <v>0</v>
      </c>
      <c r="H37">
        <v>0</v>
      </c>
      <c r="I37">
        <v>0</v>
      </c>
      <c r="J37">
        <v>9060</v>
      </c>
    </row>
    <row r="38" spans="1:10" x14ac:dyDescent="0.25">
      <c r="A38">
        <v>2625</v>
      </c>
      <c r="B38">
        <v>2625</v>
      </c>
      <c r="C38">
        <v>0</v>
      </c>
      <c r="D38">
        <v>0</v>
      </c>
      <c r="E38">
        <v>1</v>
      </c>
      <c r="F38">
        <v>0</v>
      </c>
      <c r="G38">
        <v>0</v>
      </c>
      <c r="H38">
        <v>0</v>
      </c>
      <c r="I38">
        <v>0</v>
      </c>
      <c r="J38">
        <v>1</v>
      </c>
    </row>
    <row r="39" spans="1:10" x14ac:dyDescent="0.25">
      <c r="A39">
        <v>2650</v>
      </c>
      <c r="B39">
        <v>2650</v>
      </c>
      <c r="C39">
        <v>0</v>
      </c>
      <c r="D39">
        <v>0</v>
      </c>
      <c r="E39">
        <v>18</v>
      </c>
      <c r="F39">
        <v>0</v>
      </c>
      <c r="G39">
        <v>0</v>
      </c>
      <c r="H39">
        <v>0</v>
      </c>
      <c r="I39">
        <v>0</v>
      </c>
      <c r="J39">
        <v>18</v>
      </c>
    </row>
    <row r="40" spans="1:10" x14ac:dyDescent="0.25">
      <c r="A40">
        <v>2675</v>
      </c>
      <c r="B40">
        <v>2675</v>
      </c>
      <c r="C40">
        <v>0</v>
      </c>
      <c r="D40">
        <v>0</v>
      </c>
      <c r="E40">
        <v>72</v>
      </c>
      <c r="F40">
        <v>0</v>
      </c>
      <c r="G40">
        <v>0</v>
      </c>
      <c r="H40">
        <v>0</v>
      </c>
      <c r="I40">
        <v>0</v>
      </c>
      <c r="J40">
        <v>72</v>
      </c>
    </row>
    <row r="41" spans="1:10" x14ac:dyDescent="0.25">
      <c r="A41">
        <v>2700</v>
      </c>
      <c r="B41">
        <v>2700</v>
      </c>
      <c r="C41">
        <v>0</v>
      </c>
      <c r="D41">
        <v>0</v>
      </c>
      <c r="E41">
        <v>442</v>
      </c>
      <c r="F41">
        <v>0</v>
      </c>
      <c r="G41">
        <v>0</v>
      </c>
      <c r="H41">
        <v>0</v>
      </c>
      <c r="I41">
        <v>0</v>
      </c>
      <c r="J41">
        <v>442</v>
      </c>
    </row>
    <row r="42" spans="1:10" x14ac:dyDescent="0.25">
      <c r="A42">
        <v>2725</v>
      </c>
      <c r="B42">
        <v>2725</v>
      </c>
      <c r="C42">
        <v>0</v>
      </c>
      <c r="D42">
        <v>0</v>
      </c>
      <c r="E42">
        <v>10</v>
      </c>
      <c r="F42">
        <v>0</v>
      </c>
      <c r="G42">
        <v>0</v>
      </c>
      <c r="H42">
        <v>0</v>
      </c>
      <c r="I42">
        <v>0</v>
      </c>
      <c r="J42">
        <v>10</v>
      </c>
    </row>
    <row r="43" spans="1:10" x14ac:dyDescent="0.25">
      <c r="A43">
        <v>2750</v>
      </c>
      <c r="B43">
        <v>2750</v>
      </c>
      <c r="C43">
        <v>0</v>
      </c>
      <c r="D43">
        <v>0</v>
      </c>
      <c r="E43">
        <v>67</v>
      </c>
      <c r="F43">
        <v>0</v>
      </c>
      <c r="G43">
        <v>0</v>
      </c>
      <c r="H43">
        <v>0</v>
      </c>
      <c r="I43">
        <v>0</v>
      </c>
      <c r="J43">
        <v>67</v>
      </c>
    </row>
    <row r="44" spans="1:10" x14ac:dyDescent="0.25">
      <c r="A44">
        <v>2775</v>
      </c>
      <c r="B44">
        <v>2775</v>
      </c>
      <c r="C44">
        <v>0</v>
      </c>
      <c r="D44">
        <v>0</v>
      </c>
      <c r="E44">
        <v>522</v>
      </c>
      <c r="F44">
        <v>0</v>
      </c>
      <c r="G44">
        <v>0</v>
      </c>
      <c r="H44">
        <v>0</v>
      </c>
      <c r="I44">
        <v>0</v>
      </c>
      <c r="J44">
        <v>522</v>
      </c>
    </row>
    <row r="45" spans="1:10" x14ac:dyDescent="0.25">
      <c r="A45">
        <v>2800</v>
      </c>
      <c r="B45">
        <v>2800</v>
      </c>
      <c r="C45">
        <v>0</v>
      </c>
      <c r="D45">
        <v>0</v>
      </c>
      <c r="E45">
        <v>2450</v>
      </c>
      <c r="F45">
        <v>0</v>
      </c>
      <c r="G45">
        <v>0</v>
      </c>
      <c r="H45">
        <v>0</v>
      </c>
      <c r="I45">
        <v>0</v>
      </c>
      <c r="J45">
        <v>2450</v>
      </c>
    </row>
    <row r="46" spans="1:10" x14ac:dyDescent="0.25">
      <c r="A46">
        <v>2825</v>
      </c>
      <c r="B46">
        <v>2825</v>
      </c>
      <c r="C46">
        <v>0</v>
      </c>
      <c r="D46">
        <v>3</v>
      </c>
      <c r="E46">
        <v>24</v>
      </c>
      <c r="F46">
        <v>0.6</v>
      </c>
      <c r="G46">
        <v>0.6</v>
      </c>
      <c r="H46">
        <v>0.6</v>
      </c>
      <c r="I46">
        <v>0.6</v>
      </c>
      <c r="J46">
        <v>24</v>
      </c>
    </row>
    <row r="47" spans="1:10" x14ac:dyDescent="0.25">
      <c r="A47">
        <v>2850</v>
      </c>
      <c r="B47">
        <v>2850</v>
      </c>
      <c r="C47">
        <v>0</v>
      </c>
      <c r="D47">
        <v>0</v>
      </c>
      <c r="E47">
        <v>1143</v>
      </c>
      <c r="F47">
        <v>0</v>
      </c>
      <c r="G47">
        <v>0</v>
      </c>
      <c r="H47">
        <v>0</v>
      </c>
      <c r="I47">
        <v>0</v>
      </c>
      <c r="J47">
        <v>1143</v>
      </c>
    </row>
    <row r="48" spans="1:10" x14ac:dyDescent="0.25">
      <c r="A48">
        <v>2875</v>
      </c>
      <c r="B48">
        <v>2875</v>
      </c>
      <c r="C48">
        <v>0</v>
      </c>
      <c r="D48">
        <v>0</v>
      </c>
      <c r="E48">
        <v>107</v>
      </c>
      <c r="F48">
        <v>0</v>
      </c>
      <c r="G48">
        <v>0</v>
      </c>
      <c r="H48">
        <v>0</v>
      </c>
      <c r="I48">
        <v>0</v>
      </c>
      <c r="J48">
        <v>107</v>
      </c>
    </row>
    <row r="49" spans="1:10" x14ac:dyDescent="0.25">
      <c r="A49">
        <v>2900</v>
      </c>
      <c r="B49">
        <v>2900</v>
      </c>
      <c r="C49">
        <v>0</v>
      </c>
      <c r="D49">
        <v>23</v>
      </c>
      <c r="E49">
        <v>3403</v>
      </c>
      <c r="F49">
        <v>0.8</v>
      </c>
      <c r="G49">
        <v>0.8</v>
      </c>
      <c r="H49">
        <v>0.8</v>
      </c>
      <c r="I49">
        <v>0.8</v>
      </c>
      <c r="J49">
        <v>3403</v>
      </c>
    </row>
    <row r="50" spans="1:10" x14ac:dyDescent="0.25">
      <c r="A50">
        <v>2925</v>
      </c>
      <c r="B50">
        <v>2925</v>
      </c>
      <c r="C50">
        <v>0</v>
      </c>
      <c r="D50">
        <v>0</v>
      </c>
      <c r="E50">
        <v>670</v>
      </c>
      <c r="F50">
        <v>0</v>
      </c>
      <c r="G50">
        <v>0</v>
      </c>
      <c r="H50">
        <v>0</v>
      </c>
      <c r="I50">
        <v>0</v>
      </c>
      <c r="J50">
        <v>670</v>
      </c>
    </row>
    <row r="51" spans="1:10" x14ac:dyDescent="0.25">
      <c r="A51">
        <v>2950</v>
      </c>
      <c r="B51">
        <v>2950</v>
      </c>
      <c r="C51">
        <v>0</v>
      </c>
      <c r="D51">
        <v>0</v>
      </c>
      <c r="E51">
        <v>481</v>
      </c>
      <c r="F51">
        <v>0</v>
      </c>
      <c r="G51">
        <v>0</v>
      </c>
      <c r="H51">
        <v>0</v>
      </c>
      <c r="I51">
        <v>0</v>
      </c>
      <c r="J51">
        <v>481</v>
      </c>
    </row>
    <row r="52" spans="1:10" x14ac:dyDescent="0.25">
      <c r="A52">
        <v>2975</v>
      </c>
      <c r="B52">
        <v>2975</v>
      </c>
      <c r="C52">
        <v>0</v>
      </c>
      <c r="D52">
        <v>0</v>
      </c>
      <c r="E52">
        <v>1219</v>
      </c>
      <c r="F52">
        <v>0</v>
      </c>
      <c r="G52">
        <v>0</v>
      </c>
      <c r="H52">
        <v>0</v>
      </c>
      <c r="I52">
        <v>0</v>
      </c>
      <c r="J52">
        <v>1219</v>
      </c>
    </row>
    <row r="53" spans="1:10" x14ac:dyDescent="0.25">
      <c r="A53">
        <v>3000</v>
      </c>
      <c r="B53">
        <v>3000</v>
      </c>
      <c r="C53">
        <v>0</v>
      </c>
      <c r="D53">
        <v>0</v>
      </c>
      <c r="E53">
        <v>4211</v>
      </c>
      <c r="F53">
        <v>0</v>
      </c>
      <c r="G53">
        <v>0</v>
      </c>
      <c r="H53">
        <v>0</v>
      </c>
      <c r="I53">
        <v>0</v>
      </c>
      <c r="J53">
        <v>4211</v>
      </c>
    </row>
    <row r="54" spans="1:10" x14ac:dyDescent="0.25">
      <c r="A54">
        <v>3025</v>
      </c>
      <c r="B54">
        <v>3025</v>
      </c>
      <c r="C54">
        <v>0</v>
      </c>
      <c r="D54">
        <v>0</v>
      </c>
      <c r="E54">
        <v>169</v>
      </c>
      <c r="F54">
        <v>0</v>
      </c>
      <c r="G54">
        <v>0</v>
      </c>
      <c r="H54">
        <v>0</v>
      </c>
      <c r="I54">
        <v>0</v>
      </c>
      <c r="J54">
        <v>169</v>
      </c>
    </row>
    <row r="55" spans="1:10" x14ac:dyDescent="0.25">
      <c r="A55">
        <v>3050</v>
      </c>
      <c r="B55">
        <v>3050</v>
      </c>
      <c r="C55">
        <v>0</v>
      </c>
      <c r="D55">
        <v>0</v>
      </c>
      <c r="E55">
        <v>639</v>
      </c>
      <c r="F55">
        <v>0</v>
      </c>
      <c r="G55">
        <v>0</v>
      </c>
      <c r="H55">
        <v>0</v>
      </c>
      <c r="I55">
        <v>0</v>
      </c>
      <c r="J55">
        <v>639</v>
      </c>
    </row>
    <row r="56" spans="1:10" x14ac:dyDescent="0.25">
      <c r="A56">
        <v>3075</v>
      </c>
      <c r="B56">
        <v>3075</v>
      </c>
      <c r="C56">
        <v>0</v>
      </c>
      <c r="D56">
        <v>0</v>
      </c>
      <c r="E56">
        <v>511</v>
      </c>
      <c r="F56">
        <v>0</v>
      </c>
      <c r="G56">
        <v>0</v>
      </c>
      <c r="H56">
        <v>0</v>
      </c>
      <c r="I56">
        <v>0</v>
      </c>
      <c r="J56">
        <v>511</v>
      </c>
    </row>
    <row r="57" spans="1:10" x14ac:dyDescent="0.25">
      <c r="A57">
        <v>3100</v>
      </c>
      <c r="B57">
        <v>3100</v>
      </c>
      <c r="C57">
        <v>0</v>
      </c>
      <c r="D57">
        <v>3</v>
      </c>
      <c r="E57">
        <v>6268</v>
      </c>
      <c r="F57">
        <v>1.2</v>
      </c>
      <c r="G57">
        <v>1.2</v>
      </c>
      <c r="H57">
        <v>1.2</v>
      </c>
      <c r="I57">
        <v>1.2</v>
      </c>
      <c r="J57">
        <v>6268</v>
      </c>
    </row>
    <row r="58" spans="1:10" x14ac:dyDescent="0.25">
      <c r="A58">
        <v>3125</v>
      </c>
      <c r="B58">
        <v>3125</v>
      </c>
      <c r="C58">
        <v>0</v>
      </c>
      <c r="D58">
        <v>0</v>
      </c>
      <c r="E58">
        <v>10138</v>
      </c>
      <c r="F58">
        <v>0</v>
      </c>
      <c r="G58">
        <v>0</v>
      </c>
      <c r="H58">
        <v>0</v>
      </c>
      <c r="I58">
        <v>0</v>
      </c>
      <c r="J58">
        <v>10138</v>
      </c>
    </row>
    <row r="59" spans="1:10" x14ac:dyDescent="0.25">
      <c r="A59">
        <v>3150</v>
      </c>
      <c r="B59">
        <v>3150</v>
      </c>
      <c r="C59">
        <v>0</v>
      </c>
      <c r="D59">
        <v>627</v>
      </c>
      <c r="E59">
        <v>1856</v>
      </c>
      <c r="F59">
        <v>1.6</v>
      </c>
      <c r="G59">
        <v>1.6</v>
      </c>
      <c r="H59">
        <v>1.4</v>
      </c>
      <c r="I59">
        <v>1.4</v>
      </c>
      <c r="J59">
        <v>1856</v>
      </c>
    </row>
    <row r="60" spans="1:10" x14ac:dyDescent="0.25">
      <c r="A60">
        <v>3175</v>
      </c>
      <c r="B60">
        <v>3175</v>
      </c>
      <c r="C60">
        <v>0</v>
      </c>
      <c r="D60">
        <v>0</v>
      </c>
      <c r="E60">
        <v>289</v>
      </c>
      <c r="F60">
        <v>0</v>
      </c>
      <c r="G60">
        <v>0</v>
      </c>
      <c r="H60">
        <v>0</v>
      </c>
      <c r="I60">
        <v>0</v>
      </c>
      <c r="J60">
        <v>289</v>
      </c>
    </row>
    <row r="61" spans="1:10" x14ac:dyDescent="0.25">
      <c r="A61">
        <v>3200</v>
      </c>
      <c r="B61">
        <v>3200</v>
      </c>
      <c r="C61">
        <v>0</v>
      </c>
      <c r="D61">
        <v>400</v>
      </c>
      <c r="E61">
        <v>10309</v>
      </c>
      <c r="F61">
        <v>0</v>
      </c>
      <c r="G61">
        <v>0</v>
      </c>
      <c r="H61">
        <v>0</v>
      </c>
      <c r="I61">
        <v>0</v>
      </c>
      <c r="J61">
        <v>10309</v>
      </c>
    </row>
    <row r="62" spans="1:10" x14ac:dyDescent="0.25">
      <c r="A62">
        <v>3225</v>
      </c>
      <c r="B62">
        <v>3225</v>
      </c>
      <c r="C62">
        <v>0</v>
      </c>
      <c r="D62">
        <v>0</v>
      </c>
      <c r="E62">
        <v>1541</v>
      </c>
      <c r="F62">
        <v>0</v>
      </c>
      <c r="G62">
        <v>0</v>
      </c>
      <c r="H62">
        <v>0</v>
      </c>
      <c r="I62">
        <v>0</v>
      </c>
      <c r="J62">
        <v>1541</v>
      </c>
    </row>
    <row r="63" spans="1:10" x14ac:dyDescent="0.25">
      <c r="A63">
        <v>3250</v>
      </c>
      <c r="B63">
        <v>3250</v>
      </c>
      <c r="C63">
        <v>0</v>
      </c>
      <c r="D63">
        <v>0</v>
      </c>
      <c r="E63">
        <v>2165</v>
      </c>
      <c r="F63">
        <v>0</v>
      </c>
      <c r="G63">
        <v>0</v>
      </c>
      <c r="H63">
        <v>0</v>
      </c>
      <c r="I63">
        <v>0</v>
      </c>
      <c r="J63">
        <v>2165</v>
      </c>
    </row>
    <row r="64" spans="1:10" x14ac:dyDescent="0.25">
      <c r="A64">
        <v>3275</v>
      </c>
      <c r="B64">
        <v>3275</v>
      </c>
      <c r="C64">
        <v>0</v>
      </c>
      <c r="D64">
        <v>0</v>
      </c>
      <c r="E64">
        <v>2058</v>
      </c>
      <c r="F64">
        <v>0</v>
      </c>
      <c r="G64">
        <v>0</v>
      </c>
      <c r="H64">
        <v>0</v>
      </c>
      <c r="I64">
        <v>0</v>
      </c>
      <c r="J64">
        <v>2058</v>
      </c>
    </row>
    <row r="65" spans="1:10" x14ac:dyDescent="0.25">
      <c r="A65">
        <v>3300</v>
      </c>
      <c r="B65">
        <v>3300</v>
      </c>
      <c r="C65">
        <v>0</v>
      </c>
      <c r="D65">
        <v>21</v>
      </c>
      <c r="E65">
        <v>3353</v>
      </c>
      <c r="F65">
        <v>2.1</v>
      </c>
      <c r="G65">
        <v>2.1</v>
      </c>
      <c r="H65">
        <v>2</v>
      </c>
      <c r="I65">
        <v>2</v>
      </c>
      <c r="J65">
        <v>3353</v>
      </c>
    </row>
    <row r="66" spans="1:10" x14ac:dyDescent="0.25">
      <c r="A66">
        <v>3325</v>
      </c>
      <c r="B66">
        <v>3325</v>
      </c>
      <c r="C66">
        <v>0</v>
      </c>
      <c r="D66">
        <v>0</v>
      </c>
      <c r="E66">
        <v>1141</v>
      </c>
      <c r="F66">
        <v>0</v>
      </c>
      <c r="G66">
        <v>0</v>
      </c>
      <c r="H66">
        <v>0</v>
      </c>
      <c r="I66">
        <v>0</v>
      </c>
      <c r="J66">
        <v>1141</v>
      </c>
    </row>
    <row r="67" spans="1:10" x14ac:dyDescent="0.25">
      <c r="A67">
        <v>3350</v>
      </c>
      <c r="B67">
        <v>3350</v>
      </c>
      <c r="C67">
        <v>0</v>
      </c>
      <c r="D67">
        <v>0</v>
      </c>
      <c r="E67">
        <v>1034</v>
      </c>
      <c r="F67">
        <v>0</v>
      </c>
      <c r="G67">
        <v>0</v>
      </c>
      <c r="H67">
        <v>0</v>
      </c>
      <c r="I67">
        <v>0</v>
      </c>
      <c r="J67">
        <v>1034</v>
      </c>
    </row>
    <row r="68" spans="1:10" x14ac:dyDescent="0.25">
      <c r="A68">
        <v>3375</v>
      </c>
      <c r="B68">
        <v>3375</v>
      </c>
      <c r="C68">
        <v>0</v>
      </c>
      <c r="D68">
        <v>0</v>
      </c>
      <c r="E68">
        <v>745</v>
      </c>
      <c r="F68">
        <v>0</v>
      </c>
      <c r="G68">
        <v>0</v>
      </c>
      <c r="H68">
        <v>0</v>
      </c>
      <c r="I68">
        <v>0</v>
      </c>
      <c r="J68">
        <v>745</v>
      </c>
    </row>
    <row r="69" spans="1:10" x14ac:dyDescent="0.25">
      <c r="A69">
        <v>3400</v>
      </c>
      <c r="B69">
        <v>3400</v>
      </c>
      <c r="C69">
        <v>0</v>
      </c>
      <c r="D69">
        <v>492</v>
      </c>
      <c r="E69">
        <v>13403</v>
      </c>
      <c r="F69">
        <v>3</v>
      </c>
      <c r="G69">
        <v>3</v>
      </c>
      <c r="H69">
        <v>2.6</v>
      </c>
      <c r="I69">
        <v>2.6</v>
      </c>
      <c r="J69">
        <v>13403</v>
      </c>
    </row>
    <row r="70" spans="1:10" x14ac:dyDescent="0.25">
      <c r="A70">
        <v>3425</v>
      </c>
      <c r="B70">
        <v>3425</v>
      </c>
      <c r="C70">
        <v>0</v>
      </c>
      <c r="D70">
        <v>0</v>
      </c>
      <c r="E70">
        <v>1266</v>
      </c>
      <c r="F70">
        <v>0</v>
      </c>
      <c r="G70">
        <v>0</v>
      </c>
      <c r="H70">
        <v>0</v>
      </c>
      <c r="I70">
        <v>0</v>
      </c>
      <c r="J70">
        <v>1266</v>
      </c>
    </row>
    <row r="71" spans="1:10" x14ac:dyDescent="0.25">
      <c r="A71">
        <v>3450</v>
      </c>
      <c r="B71">
        <v>3450</v>
      </c>
      <c r="C71">
        <v>0</v>
      </c>
      <c r="D71">
        <v>0</v>
      </c>
      <c r="E71">
        <v>6933</v>
      </c>
      <c r="F71">
        <v>0</v>
      </c>
      <c r="G71">
        <v>0</v>
      </c>
      <c r="H71">
        <v>0</v>
      </c>
      <c r="I71">
        <v>0</v>
      </c>
      <c r="J71">
        <v>6933</v>
      </c>
    </row>
    <row r="72" spans="1:10" x14ac:dyDescent="0.25">
      <c r="A72">
        <v>3475</v>
      </c>
      <c r="B72">
        <v>3475</v>
      </c>
      <c r="C72">
        <v>0</v>
      </c>
      <c r="D72">
        <v>0</v>
      </c>
      <c r="E72">
        <v>1846</v>
      </c>
      <c r="F72">
        <v>0</v>
      </c>
      <c r="G72">
        <v>0</v>
      </c>
      <c r="H72">
        <v>0</v>
      </c>
      <c r="I72">
        <v>0</v>
      </c>
      <c r="J72">
        <v>1846</v>
      </c>
    </row>
    <row r="73" spans="1:10" x14ac:dyDescent="0.25">
      <c r="A73">
        <v>3500</v>
      </c>
      <c r="B73">
        <v>3500</v>
      </c>
      <c r="C73">
        <v>0</v>
      </c>
      <c r="D73">
        <v>601</v>
      </c>
      <c r="E73">
        <v>26451</v>
      </c>
      <c r="F73">
        <v>3.7</v>
      </c>
      <c r="G73">
        <v>3.9</v>
      </c>
      <c r="H73">
        <v>3.7</v>
      </c>
      <c r="I73">
        <v>3.8</v>
      </c>
      <c r="J73">
        <v>26451</v>
      </c>
    </row>
    <row r="74" spans="1:10" x14ac:dyDescent="0.25">
      <c r="A74">
        <v>3525</v>
      </c>
      <c r="B74">
        <v>3525</v>
      </c>
      <c r="C74">
        <v>0</v>
      </c>
      <c r="D74">
        <v>0</v>
      </c>
      <c r="E74">
        <v>3427</v>
      </c>
      <c r="F74">
        <v>0</v>
      </c>
      <c r="G74">
        <v>0</v>
      </c>
      <c r="H74">
        <v>0</v>
      </c>
      <c r="I74">
        <v>0</v>
      </c>
      <c r="J74">
        <v>3427</v>
      </c>
    </row>
    <row r="75" spans="1:10" x14ac:dyDescent="0.25">
      <c r="A75">
        <v>3550</v>
      </c>
      <c r="B75">
        <v>3550</v>
      </c>
      <c r="C75">
        <v>0</v>
      </c>
      <c r="D75">
        <v>85</v>
      </c>
      <c r="E75">
        <v>45383</v>
      </c>
      <c r="F75">
        <v>4.0999999999999996</v>
      </c>
      <c r="G75">
        <v>4.0999999999999996</v>
      </c>
      <c r="H75">
        <v>4.0999999999999996</v>
      </c>
      <c r="I75">
        <v>4.0999999999999996</v>
      </c>
      <c r="J75">
        <v>45383</v>
      </c>
    </row>
    <row r="76" spans="1:10" x14ac:dyDescent="0.25">
      <c r="A76">
        <v>3575</v>
      </c>
      <c r="B76">
        <v>3575</v>
      </c>
      <c r="C76">
        <v>0</v>
      </c>
      <c r="D76">
        <v>0</v>
      </c>
      <c r="E76">
        <v>2843</v>
      </c>
      <c r="F76">
        <v>0</v>
      </c>
      <c r="G76">
        <v>0</v>
      </c>
      <c r="H76">
        <v>0</v>
      </c>
      <c r="I76">
        <v>0</v>
      </c>
      <c r="J76">
        <v>2843</v>
      </c>
    </row>
    <row r="77" spans="1:10" x14ac:dyDescent="0.25">
      <c r="A77">
        <v>3600</v>
      </c>
      <c r="B77">
        <v>3600</v>
      </c>
      <c r="C77">
        <v>0</v>
      </c>
      <c r="D77">
        <v>6</v>
      </c>
      <c r="E77">
        <v>54988</v>
      </c>
      <c r="F77">
        <v>5.0999999999999996</v>
      </c>
      <c r="G77">
        <v>5.0999999999999996</v>
      </c>
      <c r="H77">
        <v>5</v>
      </c>
      <c r="I77">
        <v>5</v>
      </c>
      <c r="J77">
        <v>54988</v>
      </c>
    </row>
    <row r="78" spans="1:10" x14ac:dyDescent="0.25">
      <c r="A78">
        <v>3625</v>
      </c>
      <c r="B78">
        <v>3625</v>
      </c>
      <c r="C78">
        <v>0</v>
      </c>
      <c r="D78">
        <v>0</v>
      </c>
      <c r="E78">
        <v>1617</v>
      </c>
      <c r="F78">
        <v>0</v>
      </c>
      <c r="G78">
        <v>0</v>
      </c>
      <c r="H78">
        <v>0</v>
      </c>
      <c r="I78">
        <v>0</v>
      </c>
      <c r="J78">
        <v>1617</v>
      </c>
    </row>
    <row r="79" spans="1:10" x14ac:dyDescent="0.25">
      <c r="A79">
        <v>3650</v>
      </c>
      <c r="B79">
        <v>3650</v>
      </c>
      <c r="C79">
        <v>0</v>
      </c>
      <c r="D79">
        <v>0</v>
      </c>
      <c r="E79">
        <v>9821</v>
      </c>
      <c r="F79">
        <v>0</v>
      </c>
      <c r="G79">
        <v>0</v>
      </c>
      <c r="H79">
        <v>0</v>
      </c>
      <c r="I79">
        <v>0</v>
      </c>
      <c r="J79">
        <v>9821</v>
      </c>
    </row>
    <row r="80" spans="1:10" x14ac:dyDescent="0.25">
      <c r="A80">
        <v>3675</v>
      </c>
      <c r="B80">
        <v>3675</v>
      </c>
      <c r="C80">
        <v>0</v>
      </c>
      <c r="D80">
        <v>0</v>
      </c>
      <c r="E80">
        <v>2478</v>
      </c>
      <c r="F80">
        <v>0</v>
      </c>
      <c r="G80">
        <v>0</v>
      </c>
      <c r="H80">
        <v>0</v>
      </c>
      <c r="I80">
        <v>0</v>
      </c>
      <c r="J80">
        <v>2478</v>
      </c>
    </row>
    <row r="81" spans="1:10" x14ac:dyDescent="0.25">
      <c r="A81">
        <v>3700</v>
      </c>
      <c r="B81">
        <v>3700</v>
      </c>
      <c r="C81">
        <v>0</v>
      </c>
      <c r="D81">
        <v>254</v>
      </c>
      <c r="E81">
        <v>51494</v>
      </c>
      <c r="F81">
        <v>6.9</v>
      </c>
      <c r="G81">
        <v>7.1</v>
      </c>
      <c r="H81">
        <v>5.7</v>
      </c>
      <c r="I81">
        <v>5.7</v>
      </c>
      <c r="J81">
        <v>51494</v>
      </c>
    </row>
    <row r="82" spans="1:10" x14ac:dyDescent="0.25">
      <c r="A82">
        <v>3725</v>
      </c>
      <c r="B82">
        <v>3725</v>
      </c>
      <c r="C82">
        <v>0</v>
      </c>
      <c r="D82">
        <v>845</v>
      </c>
      <c r="E82">
        <v>9102</v>
      </c>
      <c r="F82">
        <v>7.4</v>
      </c>
      <c r="G82">
        <v>7.5</v>
      </c>
      <c r="H82">
        <v>6</v>
      </c>
      <c r="I82">
        <v>6.4</v>
      </c>
      <c r="J82">
        <v>9102</v>
      </c>
    </row>
    <row r="83" spans="1:10" x14ac:dyDescent="0.25">
      <c r="A83">
        <v>3750</v>
      </c>
      <c r="B83">
        <v>3750</v>
      </c>
      <c r="C83">
        <v>0</v>
      </c>
      <c r="D83">
        <v>188</v>
      </c>
      <c r="E83">
        <v>44713</v>
      </c>
      <c r="F83">
        <v>7</v>
      </c>
      <c r="G83">
        <v>7</v>
      </c>
      <c r="H83">
        <v>7</v>
      </c>
      <c r="I83">
        <v>7</v>
      </c>
      <c r="J83">
        <v>44713</v>
      </c>
    </row>
    <row r="84" spans="1:10" x14ac:dyDescent="0.25">
      <c r="A84">
        <v>3775</v>
      </c>
      <c r="B84">
        <v>3775</v>
      </c>
      <c r="C84">
        <v>0</v>
      </c>
      <c r="D84">
        <v>2</v>
      </c>
      <c r="E84">
        <v>10336</v>
      </c>
      <c r="F84">
        <v>7.5</v>
      </c>
      <c r="G84">
        <v>7.5</v>
      </c>
      <c r="H84">
        <v>7.5</v>
      </c>
      <c r="I84">
        <v>7.5</v>
      </c>
      <c r="J84">
        <v>10336</v>
      </c>
    </row>
    <row r="85" spans="1:10" x14ac:dyDescent="0.25">
      <c r="A85">
        <v>3800</v>
      </c>
      <c r="B85">
        <v>3800</v>
      </c>
      <c r="C85">
        <v>0</v>
      </c>
      <c r="D85">
        <v>5317</v>
      </c>
      <c r="E85">
        <v>75163</v>
      </c>
      <c r="F85">
        <v>9.8000000000000007</v>
      </c>
      <c r="G85">
        <v>9.8000000000000007</v>
      </c>
      <c r="H85">
        <v>8.3000000000000007</v>
      </c>
      <c r="I85">
        <v>8.3000000000000007</v>
      </c>
      <c r="J85">
        <v>75163</v>
      </c>
    </row>
    <row r="86" spans="1:10" x14ac:dyDescent="0.25">
      <c r="A86">
        <v>3825</v>
      </c>
      <c r="B86">
        <v>3825</v>
      </c>
      <c r="C86">
        <v>0</v>
      </c>
      <c r="D86">
        <v>1</v>
      </c>
      <c r="E86">
        <v>6164</v>
      </c>
      <c r="F86">
        <v>0</v>
      </c>
      <c r="G86">
        <v>0</v>
      </c>
      <c r="H86">
        <v>0</v>
      </c>
      <c r="I86">
        <v>0</v>
      </c>
      <c r="J86">
        <v>6164</v>
      </c>
    </row>
    <row r="87" spans="1:10" x14ac:dyDescent="0.25">
      <c r="A87">
        <v>3850</v>
      </c>
      <c r="B87">
        <v>3850</v>
      </c>
      <c r="C87">
        <v>0</v>
      </c>
      <c r="D87">
        <v>762</v>
      </c>
      <c r="E87">
        <v>33885</v>
      </c>
      <c r="F87">
        <v>11.7</v>
      </c>
      <c r="G87">
        <v>11.7</v>
      </c>
      <c r="H87">
        <v>10</v>
      </c>
      <c r="I87">
        <v>10</v>
      </c>
      <c r="J87">
        <v>33885</v>
      </c>
    </row>
    <row r="88" spans="1:10" x14ac:dyDescent="0.25">
      <c r="A88">
        <v>3875</v>
      </c>
      <c r="B88">
        <v>3875</v>
      </c>
      <c r="C88">
        <v>0</v>
      </c>
      <c r="D88">
        <v>0</v>
      </c>
      <c r="E88">
        <v>15905</v>
      </c>
      <c r="F88">
        <v>0</v>
      </c>
      <c r="G88">
        <v>0</v>
      </c>
      <c r="H88">
        <v>0</v>
      </c>
      <c r="I88">
        <v>0</v>
      </c>
      <c r="J88">
        <v>15905</v>
      </c>
    </row>
    <row r="89" spans="1:10" x14ac:dyDescent="0.25">
      <c r="A89">
        <v>3900</v>
      </c>
      <c r="B89">
        <v>3900</v>
      </c>
      <c r="C89">
        <v>0</v>
      </c>
      <c r="D89">
        <v>2879</v>
      </c>
      <c r="E89">
        <v>75213</v>
      </c>
      <c r="F89">
        <v>15</v>
      </c>
      <c r="G89">
        <v>15.2</v>
      </c>
      <c r="H89">
        <v>11.9</v>
      </c>
      <c r="I89">
        <v>12.4</v>
      </c>
      <c r="J89">
        <v>75213</v>
      </c>
    </row>
    <row r="90" spans="1:10" x14ac:dyDescent="0.25">
      <c r="A90">
        <v>3925</v>
      </c>
      <c r="B90">
        <v>3925</v>
      </c>
      <c r="C90">
        <v>0</v>
      </c>
      <c r="D90">
        <v>11</v>
      </c>
      <c r="E90">
        <v>3722</v>
      </c>
      <c r="F90">
        <v>0</v>
      </c>
      <c r="G90">
        <v>0</v>
      </c>
      <c r="H90">
        <v>0</v>
      </c>
      <c r="I90">
        <v>0</v>
      </c>
      <c r="J90">
        <v>3722</v>
      </c>
    </row>
    <row r="91" spans="1:10" x14ac:dyDescent="0.25">
      <c r="A91">
        <v>3950</v>
      </c>
      <c r="B91">
        <v>3950</v>
      </c>
      <c r="C91">
        <v>0</v>
      </c>
      <c r="D91">
        <v>1967</v>
      </c>
      <c r="E91">
        <v>36007</v>
      </c>
      <c r="F91">
        <v>19.5</v>
      </c>
      <c r="G91">
        <v>19.5</v>
      </c>
      <c r="H91">
        <v>14.8</v>
      </c>
      <c r="I91">
        <v>15.1</v>
      </c>
      <c r="J91">
        <v>36007</v>
      </c>
    </row>
    <row r="92" spans="1:10" x14ac:dyDescent="0.25">
      <c r="A92">
        <v>3975</v>
      </c>
      <c r="B92">
        <v>3975</v>
      </c>
      <c r="C92">
        <v>0</v>
      </c>
      <c r="D92">
        <v>3366</v>
      </c>
      <c r="E92">
        <v>13519</v>
      </c>
      <c r="F92">
        <v>21.9</v>
      </c>
      <c r="G92">
        <v>21.9</v>
      </c>
      <c r="H92">
        <v>21.9</v>
      </c>
      <c r="I92">
        <v>21.9</v>
      </c>
      <c r="J92">
        <v>13519</v>
      </c>
    </row>
    <row r="93" spans="1:10" x14ac:dyDescent="0.25">
      <c r="A93">
        <v>4000</v>
      </c>
      <c r="B93">
        <v>4000</v>
      </c>
      <c r="C93">
        <v>0</v>
      </c>
      <c r="D93">
        <v>16618</v>
      </c>
      <c r="E93">
        <v>99567</v>
      </c>
      <c r="F93">
        <v>24.6</v>
      </c>
      <c r="G93">
        <v>25</v>
      </c>
      <c r="H93">
        <v>18.8</v>
      </c>
      <c r="I93">
        <v>19.5</v>
      </c>
      <c r="J93">
        <v>99567</v>
      </c>
    </row>
    <row r="94" spans="1:10" x14ac:dyDescent="0.25">
      <c r="A94">
        <v>4025</v>
      </c>
      <c r="B94">
        <v>4025</v>
      </c>
      <c r="C94">
        <v>0</v>
      </c>
      <c r="D94">
        <v>54</v>
      </c>
      <c r="E94">
        <v>7159</v>
      </c>
      <c r="F94">
        <v>28.5</v>
      </c>
      <c r="G94">
        <v>28.5</v>
      </c>
      <c r="H94">
        <v>21.7</v>
      </c>
      <c r="I94">
        <v>22.3</v>
      </c>
      <c r="J94">
        <v>7159</v>
      </c>
    </row>
    <row r="95" spans="1:10" x14ac:dyDescent="0.25">
      <c r="A95">
        <v>4050</v>
      </c>
      <c r="B95">
        <v>4050</v>
      </c>
      <c r="C95">
        <v>0</v>
      </c>
      <c r="D95">
        <v>460</v>
      </c>
      <c r="E95">
        <v>56568</v>
      </c>
      <c r="F95">
        <v>30.8</v>
      </c>
      <c r="G95">
        <v>30.8</v>
      </c>
      <c r="H95">
        <v>23.2</v>
      </c>
      <c r="I95">
        <v>25.2</v>
      </c>
      <c r="J95">
        <v>56568</v>
      </c>
    </row>
    <row r="96" spans="1:10" x14ac:dyDescent="0.25">
      <c r="A96">
        <v>4075</v>
      </c>
      <c r="B96">
        <v>4075</v>
      </c>
      <c r="C96">
        <v>0</v>
      </c>
      <c r="D96">
        <v>300</v>
      </c>
      <c r="E96">
        <v>3887</v>
      </c>
      <c r="F96">
        <v>33.200000000000003</v>
      </c>
      <c r="G96">
        <v>34.700000000000003</v>
      </c>
      <c r="H96">
        <v>27.5</v>
      </c>
      <c r="I96">
        <v>28.7</v>
      </c>
      <c r="J96">
        <v>3887</v>
      </c>
    </row>
    <row r="97" spans="1:10" x14ac:dyDescent="0.25">
      <c r="A97">
        <v>4100</v>
      </c>
      <c r="B97">
        <v>4100</v>
      </c>
      <c r="C97">
        <v>0</v>
      </c>
      <c r="D97">
        <v>11803</v>
      </c>
      <c r="E97">
        <v>125986</v>
      </c>
      <c r="F97">
        <v>37.9</v>
      </c>
      <c r="G97">
        <v>41</v>
      </c>
      <c r="H97">
        <v>31</v>
      </c>
      <c r="I97">
        <v>33.5</v>
      </c>
      <c r="J97">
        <v>125986</v>
      </c>
    </row>
    <row r="98" spans="1:10" x14ac:dyDescent="0.25">
      <c r="A98">
        <v>4125</v>
      </c>
      <c r="B98">
        <v>4125</v>
      </c>
      <c r="C98">
        <v>0</v>
      </c>
      <c r="D98">
        <v>2020</v>
      </c>
      <c r="E98">
        <v>14518</v>
      </c>
      <c r="F98">
        <v>43.6</v>
      </c>
      <c r="G98">
        <v>45</v>
      </c>
      <c r="H98">
        <v>33.9</v>
      </c>
      <c r="I98">
        <v>38.1</v>
      </c>
      <c r="J98">
        <v>14518</v>
      </c>
    </row>
    <row r="99" spans="1:10" x14ac:dyDescent="0.25">
      <c r="A99">
        <v>4150</v>
      </c>
      <c r="B99">
        <v>4150</v>
      </c>
      <c r="C99">
        <v>0</v>
      </c>
      <c r="D99">
        <v>1031</v>
      </c>
      <c r="E99">
        <v>42985</v>
      </c>
      <c r="F99">
        <v>50.5</v>
      </c>
      <c r="G99">
        <v>51.5</v>
      </c>
      <c r="H99">
        <v>39.4</v>
      </c>
      <c r="I99">
        <v>43.3</v>
      </c>
      <c r="J99">
        <v>42985</v>
      </c>
    </row>
    <row r="100" spans="1:10" x14ac:dyDescent="0.25">
      <c r="A100">
        <v>4175</v>
      </c>
      <c r="B100">
        <v>4175</v>
      </c>
      <c r="C100">
        <v>0</v>
      </c>
      <c r="D100">
        <v>79</v>
      </c>
      <c r="E100">
        <v>18827</v>
      </c>
      <c r="F100">
        <v>46.3</v>
      </c>
      <c r="G100">
        <v>49.2</v>
      </c>
      <c r="H100">
        <v>45</v>
      </c>
      <c r="I100">
        <v>49.2</v>
      </c>
      <c r="J100">
        <v>18827</v>
      </c>
    </row>
    <row r="101" spans="1:10" x14ac:dyDescent="0.25">
      <c r="A101">
        <v>4200</v>
      </c>
      <c r="B101">
        <v>4200</v>
      </c>
      <c r="C101">
        <v>0</v>
      </c>
      <c r="D101">
        <v>5193</v>
      </c>
      <c r="E101">
        <v>63964</v>
      </c>
      <c r="F101">
        <v>64.5</v>
      </c>
      <c r="G101">
        <v>64.5</v>
      </c>
      <c r="H101">
        <v>50.5</v>
      </c>
      <c r="I101">
        <v>53.7</v>
      </c>
      <c r="J101">
        <v>63964</v>
      </c>
    </row>
    <row r="102" spans="1:10" x14ac:dyDescent="0.25">
      <c r="A102">
        <v>4225</v>
      </c>
      <c r="B102">
        <v>4225</v>
      </c>
      <c r="C102">
        <v>0</v>
      </c>
      <c r="D102">
        <v>121</v>
      </c>
      <c r="E102">
        <v>10390</v>
      </c>
      <c r="F102">
        <v>61.6</v>
      </c>
      <c r="G102">
        <v>63.3</v>
      </c>
      <c r="H102">
        <v>61.3</v>
      </c>
      <c r="I102">
        <v>61.3</v>
      </c>
      <c r="J102">
        <v>10390</v>
      </c>
    </row>
    <row r="103" spans="1:10" x14ac:dyDescent="0.25">
      <c r="A103">
        <v>4250</v>
      </c>
      <c r="B103">
        <v>4250</v>
      </c>
      <c r="C103">
        <v>0</v>
      </c>
      <c r="D103">
        <v>3353</v>
      </c>
      <c r="E103">
        <v>52730</v>
      </c>
      <c r="F103">
        <v>84.3</v>
      </c>
      <c r="G103">
        <v>85.3</v>
      </c>
      <c r="H103">
        <v>67</v>
      </c>
      <c r="I103">
        <v>69.599999999999994</v>
      </c>
      <c r="J103">
        <v>52730</v>
      </c>
    </row>
    <row r="104" spans="1:10" x14ac:dyDescent="0.25">
      <c r="A104">
        <v>4275</v>
      </c>
      <c r="B104">
        <v>4275</v>
      </c>
      <c r="C104">
        <v>0</v>
      </c>
      <c r="D104">
        <v>3293</v>
      </c>
      <c r="E104">
        <v>10219</v>
      </c>
      <c r="F104">
        <v>78.2</v>
      </c>
      <c r="G104">
        <v>81.2</v>
      </c>
      <c r="H104">
        <v>74.8</v>
      </c>
      <c r="I104">
        <v>81.2</v>
      </c>
      <c r="J104">
        <v>10219</v>
      </c>
    </row>
    <row r="105" spans="1:10" x14ac:dyDescent="0.25">
      <c r="A105">
        <v>4300</v>
      </c>
      <c r="B105">
        <v>4300</v>
      </c>
      <c r="C105">
        <v>0</v>
      </c>
      <c r="D105">
        <v>3824</v>
      </c>
      <c r="E105">
        <v>39881</v>
      </c>
      <c r="F105">
        <v>101.5</v>
      </c>
      <c r="G105">
        <v>103.5</v>
      </c>
      <c r="H105">
        <v>89</v>
      </c>
      <c r="I105">
        <v>90</v>
      </c>
      <c r="J105">
        <v>39881</v>
      </c>
    </row>
    <row r="106" spans="1:10" x14ac:dyDescent="0.25">
      <c r="A106">
        <v>4325</v>
      </c>
      <c r="B106">
        <v>4325</v>
      </c>
      <c r="C106">
        <v>0</v>
      </c>
      <c r="D106">
        <v>39</v>
      </c>
      <c r="E106">
        <v>8310</v>
      </c>
      <c r="F106">
        <v>103.9</v>
      </c>
      <c r="G106">
        <v>103.9</v>
      </c>
      <c r="H106">
        <v>101.2</v>
      </c>
      <c r="I106">
        <v>101.2</v>
      </c>
      <c r="J106">
        <v>8310</v>
      </c>
    </row>
    <row r="107" spans="1:10" x14ac:dyDescent="0.25">
      <c r="A107">
        <v>4350</v>
      </c>
      <c r="B107">
        <v>4350</v>
      </c>
      <c r="C107">
        <v>0</v>
      </c>
      <c r="D107">
        <v>2</v>
      </c>
      <c r="E107">
        <v>19732</v>
      </c>
      <c r="F107">
        <v>117.8</v>
      </c>
      <c r="G107">
        <v>117.8</v>
      </c>
      <c r="H107">
        <v>117.8</v>
      </c>
      <c r="I107">
        <v>117.8</v>
      </c>
      <c r="J107">
        <v>19732</v>
      </c>
    </row>
    <row r="108" spans="1:10" x14ac:dyDescent="0.25">
      <c r="A108">
        <v>4375</v>
      </c>
      <c r="B108">
        <v>4375</v>
      </c>
      <c r="C108">
        <v>0</v>
      </c>
      <c r="D108">
        <v>0</v>
      </c>
      <c r="E108">
        <v>21449</v>
      </c>
      <c r="F108">
        <v>0</v>
      </c>
      <c r="G108">
        <v>0</v>
      </c>
      <c r="H108">
        <v>0</v>
      </c>
      <c r="I108">
        <v>0</v>
      </c>
      <c r="J108">
        <v>21449</v>
      </c>
    </row>
    <row r="109" spans="1:10" x14ac:dyDescent="0.25">
      <c r="A109">
        <v>4400</v>
      </c>
      <c r="B109">
        <v>4400</v>
      </c>
      <c r="C109">
        <v>0</v>
      </c>
      <c r="D109">
        <v>9</v>
      </c>
      <c r="E109">
        <v>8492</v>
      </c>
      <c r="F109">
        <v>166</v>
      </c>
      <c r="G109">
        <v>166</v>
      </c>
      <c r="H109">
        <v>166</v>
      </c>
      <c r="I109">
        <v>166</v>
      </c>
      <c r="J109">
        <v>8492</v>
      </c>
    </row>
    <row r="110" spans="1:10" x14ac:dyDescent="0.25">
      <c r="A110">
        <v>4425</v>
      </c>
      <c r="B110">
        <v>4425</v>
      </c>
      <c r="C110">
        <v>0</v>
      </c>
      <c r="D110">
        <v>0</v>
      </c>
      <c r="E110">
        <v>2875</v>
      </c>
      <c r="F110">
        <v>0</v>
      </c>
      <c r="G110">
        <v>0</v>
      </c>
      <c r="H110">
        <v>0</v>
      </c>
      <c r="I110">
        <v>0</v>
      </c>
      <c r="J110">
        <v>2875</v>
      </c>
    </row>
    <row r="111" spans="1:10" x14ac:dyDescent="0.25">
      <c r="A111">
        <v>4450</v>
      </c>
      <c r="B111">
        <v>4450</v>
      </c>
      <c r="C111">
        <v>0</v>
      </c>
      <c r="D111">
        <v>0</v>
      </c>
      <c r="E111">
        <v>1283</v>
      </c>
      <c r="F111">
        <v>0</v>
      </c>
      <c r="G111">
        <v>0</v>
      </c>
      <c r="H111">
        <v>0</v>
      </c>
      <c r="I111">
        <v>0</v>
      </c>
      <c r="J111">
        <v>1283</v>
      </c>
    </row>
    <row r="112" spans="1:10" x14ac:dyDescent="0.25">
      <c r="A112">
        <v>4475</v>
      </c>
      <c r="B112">
        <v>4475</v>
      </c>
      <c r="C112">
        <v>0</v>
      </c>
      <c r="D112">
        <v>0</v>
      </c>
      <c r="E112">
        <v>114</v>
      </c>
      <c r="F112">
        <v>0</v>
      </c>
      <c r="G112">
        <v>0</v>
      </c>
      <c r="H112">
        <v>0</v>
      </c>
      <c r="I112">
        <v>0</v>
      </c>
      <c r="J112">
        <v>114</v>
      </c>
    </row>
    <row r="113" spans="1:10" x14ac:dyDescent="0.25">
      <c r="A113">
        <v>4500</v>
      </c>
      <c r="B113">
        <v>4500</v>
      </c>
      <c r="C113">
        <v>0</v>
      </c>
      <c r="D113">
        <v>0</v>
      </c>
      <c r="E113">
        <v>548</v>
      </c>
      <c r="F113">
        <v>0</v>
      </c>
      <c r="G113">
        <v>0</v>
      </c>
      <c r="H113">
        <v>0</v>
      </c>
      <c r="I113">
        <v>0</v>
      </c>
      <c r="J113">
        <v>548</v>
      </c>
    </row>
    <row r="114" spans="1:10" x14ac:dyDescent="0.25">
      <c r="A114">
        <v>4525</v>
      </c>
      <c r="B114">
        <v>4525</v>
      </c>
      <c r="C114">
        <v>0</v>
      </c>
      <c r="D114">
        <v>0</v>
      </c>
      <c r="E114">
        <v>790</v>
      </c>
      <c r="F114">
        <v>0</v>
      </c>
      <c r="G114">
        <v>0</v>
      </c>
      <c r="H114">
        <v>0</v>
      </c>
      <c r="I114">
        <v>0</v>
      </c>
      <c r="J114">
        <v>790</v>
      </c>
    </row>
    <row r="115" spans="1:10" x14ac:dyDescent="0.25">
      <c r="A115">
        <v>4550</v>
      </c>
      <c r="B115">
        <v>4550</v>
      </c>
      <c r="C115">
        <v>0</v>
      </c>
      <c r="D115">
        <v>0</v>
      </c>
      <c r="E115">
        <v>41</v>
      </c>
      <c r="F115">
        <v>0</v>
      </c>
      <c r="G115">
        <v>0</v>
      </c>
      <c r="H115">
        <v>0</v>
      </c>
      <c r="I115">
        <v>0</v>
      </c>
      <c r="J115">
        <v>41</v>
      </c>
    </row>
    <row r="116" spans="1:10" x14ac:dyDescent="0.25">
      <c r="A116">
        <v>4575</v>
      </c>
      <c r="B116">
        <v>4575</v>
      </c>
      <c r="C116">
        <v>0</v>
      </c>
      <c r="D116">
        <v>0</v>
      </c>
      <c r="E116">
        <v>260</v>
      </c>
      <c r="F116">
        <v>0</v>
      </c>
      <c r="G116">
        <v>0</v>
      </c>
      <c r="H116">
        <v>0</v>
      </c>
      <c r="I116">
        <v>0</v>
      </c>
      <c r="J116">
        <v>260</v>
      </c>
    </row>
    <row r="117" spans="1:10" x14ac:dyDescent="0.25">
      <c r="A117">
        <v>4600</v>
      </c>
      <c r="B117">
        <v>4600</v>
      </c>
      <c r="C117">
        <v>0</v>
      </c>
      <c r="D117">
        <v>0</v>
      </c>
      <c r="E117">
        <v>52</v>
      </c>
      <c r="F117">
        <v>0</v>
      </c>
      <c r="G117">
        <v>0</v>
      </c>
      <c r="H117">
        <v>0</v>
      </c>
      <c r="I117">
        <v>0</v>
      </c>
      <c r="J117">
        <v>52</v>
      </c>
    </row>
    <row r="118" spans="1:10" x14ac:dyDescent="0.25">
      <c r="A118">
        <v>4625</v>
      </c>
      <c r="B118">
        <v>4625</v>
      </c>
      <c r="C118">
        <v>0</v>
      </c>
      <c r="D118">
        <v>0</v>
      </c>
      <c r="E118">
        <v>0</v>
      </c>
      <c r="F118">
        <v>0</v>
      </c>
      <c r="G118">
        <v>0</v>
      </c>
      <c r="H118">
        <v>0</v>
      </c>
      <c r="I118">
        <v>0</v>
      </c>
      <c r="J118">
        <v>0</v>
      </c>
    </row>
    <row r="119" spans="1:10" x14ac:dyDescent="0.25">
      <c r="A119">
        <v>4650</v>
      </c>
      <c r="B119">
        <v>4650</v>
      </c>
      <c r="C119">
        <v>0</v>
      </c>
      <c r="D119">
        <v>0</v>
      </c>
      <c r="E119">
        <v>1</v>
      </c>
      <c r="F119">
        <v>0</v>
      </c>
      <c r="G119">
        <v>0</v>
      </c>
      <c r="H119">
        <v>0</v>
      </c>
      <c r="I119">
        <v>0</v>
      </c>
      <c r="J119">
        <v>1</v>
      </c>
    </row>
    <row r="120" spans="1:10" x14ac:dyDescent="0.25">
      <c r="A120">
        <v>4675</v>
      </c>
      <c r="B120">
        <v>4675</v>
      </c>
      <c r="C120">
        <v>0</v>
      </c>
      <c r="D120">
        <v>0</v>
      </c>
      <c r="E120">
        <v>0</v>
      </c>
      <c r="F120">
        <v>0</v>
      </c>
      <c r="G120">
        <v>0</v>
      </c>
      <c r="H120">
        <v>0</v>
      </c>
      <c r="I120">
        <v>0</v>
      </c>
      <c r="J120">
        <v>0</v>
      </c>
    </row>
    <row r="121" spans="1:10" x14ac:dyDescent="0.25">
      <c r="A121">
        <v>4700</v>
      </c>
      <c r="B121">
        <v>4700</v>
      </c>
      <c r="C121">
        <v>0</v>
      </c>
      <c r="D121">
        <v>0</v>
      </c>
      <c r="E121">
        <v>4</v>
      </c>
      <c r="F121">
        <v>0</v>
      </c>
      <c r="G121">
        <v>0</v>
      </c>
      <c r="H121">
        <v>0</v>
      </c>
      <c r="I121">
        <v>0</v>
      </c>
      <c r="J121">
        <v>4</v>
      </c>
    </row>
    <row r="122" spans="1:10" x14ac:dyDescent="0.25">
      <c r="A122">
        <v>4725</v>
      </c>
      <c r="B122">
        <v>4725</v>
      </c>
      <c r="C122">
        <v>0</v>
      </c>
      <c r="D122">
        <v>0</v>
      </c>
      <c r="E122">
        <v>0</v>
      </c>
      <c r="F122">
        <v>0</v>
      </c>
      <c r="G122">
        <v>0</v>
      </c>
      <c r="H122">
        <v>0</v>
      </c>
      <c r="I122">
        <v>0</v>
      </c>
      <c r="J122">
        <v>0</v>
      </c>
    </row>
    <row r="123" spans="1:10" x14ac:dyDescent="0.25">
      <c r="A123">
        <v>4750</v>
      </c>
      <c r="B123">
        <v>4750</v>
      </c>
      <c r="C123">
        <v>0</v>
      </c>
      <c r="D123">
        <v>0</v>
      </c>
      <c r="E123">
        <v>0</v>
      </c>
      <c r="F123">
        <v>0</v>
      </c>
      <c r="G123">
        <v>0</v>
      </c>
      <c r="H123">
        <v>0</v>
      </c>
      <c r="I123">
        <v>0</v>
      </c>
      <c r="J123">
        <v>0</v>
      </c>
    </row>
    <row r="124" spans="1:10" x14ac:dyDescent="0.25">
      <c r="A124">
        <v>4775</v>
      </c>
      <c r="B124">
        <v>4775</v>
      </c>
      <c r="C124">
        <v>0</v>
      </c>
      <c r="D124">
        <v>0</v>
      </c>
      <c r="E124">
        <v>0</v>
      </c>
      <c r="F124">
        <v>0</v>
      </c>
      <c r="G124">
        <v>0</v>
      </c>
      <c r="H124">
        <v>0</v>
      </c>
      <c r="I124">
        <v>0</v>
      </c>
      <c r="J124">
        <v>0</v>
      </c>
    </row>
    <row r="125" spans="1:10" x14ac:dyDescent="0.25">
      <c r="A125">
        <v>4800</v>
      </c>
      <c r="B125">
        <v>4800</v>
      </c>
      <c r="C125">
        <v>0</v>
      </c>
      <c r="D125">
        <v>0</v>
      </c>
      <c r="E125">
        <v>0</v>
      </c>
      <c r="F125">
        <v>0</v>
      </c>
      <c r="G125">
        <v>0</v>
      </c>
      <c r="H125">
        <v>0</v>
      </c>
      <c r="I125">
        <v>0</v>
      </c>
      <c r="J125">
        <v>0</v>
      </c>
    </row>
    <row r="126" spans="1:10" x14ac:dyDescent="0.25">
      <c r="A126">
        <v>4825</v>
      </c>
      <c r="B126">
        <v>4825</v>
      </c>
      <c r="C126">
        <v>0</v>
      </c>
      <c r="D126">
        <v>0</v>
      </c>
      <c r="E126">
        <v>0</v>
      </c>
      <c r="F126">
        <v>0</v>
      </c>
      <c r="G126">
        <v>0</v>
      </c>
      <c r="H126">
        <v>0</v>
      </c>
      <c r="I126">
        <v>0</v>
      </c>
      <c r="J126">
        <v>0</v>
      </c>
    </row>
    <row r="127" spans="1:10" x14ac:dyDescent="0.25">
      <c r="A127">
        <v>4850</v>
      </c>
      <c r="B127">
        <v>4850</v>
      </c>
      <c r="C127">
        <v>0</v>
      </c>
      <c r="D127">
        <v>0</v>
      </c>
      <c r="E127">
        <v>0</v>
      </c>
      <c r="F127">
        <v>0</v>
      </c>
      <c r="G127">
        <v>0</v>
      </c>
      <c r="H127">
        <v>0</v>
      </c>
      <c r="I127">
        <v>0</v>
      </c>
      <c r="J127">
        <v>0</v>
      </c>
    </row>
    <row r="128" spans="1:10" x14ac:dyDescent="0.25">
      <c r="A128">
        <v>4875</v>
      </c>
      <c r="B128">
        <v>4875</v>
      </c>
      <c r="C128">
        <v>0</v>
      </c>
      <c r="D128">
        <v>0</v>
      </c>
      <c r="E128">
        <v>0</v>
      </c>
      <c r="F128">
        <v>0</v>
      </c>
      <c r="G128">
        <v>0</v>
      </c>
      <c r="H128">
        <v>0</v>
      </c>
      <c r="I128">
        <v>0</v>
      </c>
      <c r="J128">
        <v>0</v>
      </c>
    </row>
    <row r="129" spans="1:10" x14ac:dyDescent="0.25">
      <c r="A129">
        <v>4900</v>
      </c>
      <c r="B129">
        <v>4900</v>
      </c>
      <c r="C129">
        <v>0</v>
      </c>
      <c r="D129">
        <v>0</v>
      </c>
      <c r="E129">
        <v>0</v>
      </c>
      <c r="F129">
        <v>0</v>
      </c>
      <c r="G129">
        <v>0</v>
      </c>
      <c r="H129">
        <v>0</v>
      </c>
      <c r="I129">
        <v>0</v>
      </c>
      <c r="J129">
        <v>0</v>
      </c>
    </row>
    <row r="130" spans="1:10" x14ac:dyDescent="0.25">
      <c r="A130">
        <v>4925</v>
      </c>
      <c r="B130">
        <v>4925</v>
      </c>
      <c r="C130">
        <v>0</v>
      </c>
      <c r="D130">
        <v>0</v>
      </c>
      <c r="E130">
        <v>0</v>
      </c>
      <c r="F130">
        <v>0</v>
      </c>
      <c r="G130">
        <v>0</v>
      </c>
      <c r="H130">
        <v>0</v>
      </c>
      <c r="I130">
        <v>0</v>
      </c>
      <c r="J130">
        <v>0</v>
      </c>
    </row>
    <row r="131" spans="1:10" x14ac:dyDescent="0.25">
      <c r="A131">
        <v>4950</v>
      </c>
      <c r="B131">
        <v>4950</v>
      </c>
      <c r="C131">
        <v>0</v>
      </c>
      <c r="D131">
        <v>0</v>
      </c>
      <c r="E131">
        <v>0</v>
      </c>
      <c r="F131">
        <v>0</v>
      </c>
      <c r="G131">
        <v>0</v>
      </c>
      <c r="H131">
        <v>0</v>
      </c>
      <c r="I131">
        <v>0</v>
      </c>
      <c r="J131">
        <v>0</v>
      </c>
    </row>
    <row r="132" spans="1:10" x14ac:dyDescent="0.25">
      <c r="A132">
        <v>4975</v>
      </c>
      <c r="B132">
        <v>4975</v>
      </c>
      <c r="C132">
        <v>0</v>
      </c>
      <c r="D132">
        <v>0</v>
      </c>
      <c r="E132">
        <v>0</v>
      </c>
      <c r="F132">
        <v>0</v>
      </c>
      <c r="G132">
        <v>0</v>
      </c>
      <c r="H132">
        <v>0</v>
      </c>
      <c r="I132">
        <v>0</v>
      </c>
      <c r="J132">
        <v>0</v>
      </c>
    </row>
    <row r="133" spans="1:10" x14ac:dyDescent="0.25">
      <c r="A133">
        <v>5000</v>
      </c>
      <c r="B133">
        <v>5000</v>
      </c>
      <c r="C133">
        <v>0</v>
      </c>
      <c r="D133">
        <v>0</v>
      </c>
      <c r="E133">
        <v>1</v>
      </c>
      <c r="F133">
        <v>0</v>
      </c>
      <c r="G133">
        <v>0</v>
      </c>
      <c r="H133">
        <v>0</v>
      </c>
      <c r="I133">
        <v>0</v>
      </c>
      <c r="J133">
        <v>1</v>
      </c>
    </row>
    <row r="134" spans="1:10" x14ac:dyDescent="0.25">
      <c r="A134">
        <v>5025</v>
      </c>
      <c r="B134">
        <v>5025</v>
      </c>
      <c r="C134">
        <v>0</v>
      </c>
      <c r="D134">
        <v>0</v>
      </c>
      <c r="E134">
        <v>0</v>
      </c>
      <c r="F134">
        <v>0</v>
      </c>
      <c r="G134">
        <v>0</v>
      </c>
      <c r="H134">
        <v>0</v>
      </c>
      <c r="I134">
        <v>0</v>
      </c>
      <c r="J134">
        <v>0</v>
      </c>
    </row>
    <row r="135" spans="1:10" x14ac:dyDescent="0.25">
      <c r="A135">
        <v>5050</v>
      </c>
      <c r="B135">
        <v>5050</v>
      </c>
      <c r="C135">
        <v>0</v>
      </c>
      <c r="D135">
        <v>0</v>
      </c>
      <c r="E135">
        <v>0</v>
      </c>
      <c r="F135">
        <v>0</v>
      </c>
      <c r="G135">
        <v>0</v>
      </c>
      <c r="H135">
        <v>0</v>
      </c>
      <c r="I135">
        <v>0</v>
      </c>
      <c r="J135">
        <v>0</v>
      </c>
    </row>
    <row r="136" spans="1:10" x14ac:dyDescent="0.25">
      <c r="A136">
        <v>5075</v>
      </c>
      <c r="B136">
        <v>5075</v>
      </c>
      <c r="C136">
        <v>0</v>
      </c>
      <c r="D136">
        <v>0</v>
      </c>
      <c r="E136">
        <v>0</v>
      </c>
      <c r="F136">
        <v>0</v>
      </c>
      <c r="G136">
        <v>0</v>
      </c>
      <c r="H136">
        <v>0</v>
      </c>
      <c r="I136">
        <v>0</v>
      </c>
      <c r="J136">
        <v>0</v>
      </c>
    </row>
    <row r="137" spans="1:10" x14ac:dyDescent="0.25">
      <c r="A137">
        <v>5100</v>
      </c>
      <c r="B137">
        <v>5100</v>
      </c>
      <c r="C137">
        <v>0</v>
      </c>
      <c r="D137">
        <v>0</v>
      </c>
      <c r="E137">
        <v>2</v>
      </c>
      <c r="F137">
        <v>0</v>
      </c>
      <c r="G137">
        <v>0</v>
      </c>
      <c r="H137">
        <v>0</v>
      </c>
      <c r="I137">
        <v>0</v>
      </c>
      <c r="J137">
        <v>2</v>
      </c>
    </row>
    <row r="138" spans="1:10" x14ac:dyDescent="0.25">
      <c r="A138">
        <v>5125</v>
      </c>
      <c r="B138">
        <v>5125</v>
      </c>
      <c r="C138">
        <v>0</v>
      </c>
      <c r="D138">
        <v>0</v>
      </c>
      <c r="E138">
        <v>0</v>
      </c>
      <c r="F138">
        <v>0</v>
      </c>
      <c r="G138">
        <v>0</v>
      </c>
      <c r="H138">
        <v>0</v>
      </c>
      <c r="I138">
        <v>0</v>
      </c>
      <c r="J138">
        <v>0</v>
      </c>
    </row>
    <row r="139" spans="1:10" x14ac:dyDescent="0.25">
      <c r="A139">
        <v>5150</v>
      </c>
      <c r="B139">
        <v>5150</v>
      </c>
      <c r="C139">
        <v>0</v>
      </c>
      <c r="D139">
        <v>0</v>
      </c>
      <c r="E139">
        <v>0</v>
      </c>
      <c r="F139">
        <v>0</v>
      </c>
      <c r="G139">
        <v>0</v>
      </c>
      <c r="H139">
        <v>0</v>
      </c>
      <c r="I139">
        <v>0</v>
      </c>
      <c r="J139">
        <v>0</v>
      </c>
    </row>
    <row r="140" spans="1:10" x14ac:dyDescent="0.25">
      <c r="A140">
        <v>5175</v>
      </c>
      <c r="B140">
        <v>5175</v>
      </c>
      <c r="C140">
        <v>0</v>
      </c>
      <c r="D140">
        <v>0</v>
      </c>
      <c r="E140">
        <v>0</v>
      </c>
      <c r="F140">
        <v>0</v>
      </c>
      <c r="G140">
        <v>0</v>
      </c>
      <c r="H140">
        <v>0</v>
      </c>
      <c r="I140">
        <v>0</v>
      </c>
      <c r="J140">
        <v>0</v>
      </c>
    </row>
    <row r="141" spans="1:10" x14ac:dyDescent="0.25">
      <c r="A141">
        <v>5200</v>
      </c>
      <c r="B141">
        <v>5200</v>
      </c>
      <c r="C141">
        <v>0</v>
      </c>
      <c r="D141">
        <v>0</v>
      </c>
      <c r="E141">
        <v>0</v>
      </c>
      <c r="F141">
        <v>0</v>
      </c>
      <c r="G141">
        <v>0</v>
      </c>
      <c r="H141">
        <v>0</v>
      </c>
      <c r="I141">
        <v>0</v>
      </c>
      <c r="J141">
        <v>0</v>
      </c>
    </row>
    <row r="142" spans="1:10" x14ac:dyDescent="0.25">
      <c r="A142">
        <v>5225</v>
      </c>
      <c r="B142">
        <v>5225</v>
      </c>
      <c r="C142">
        <v>0</v>
      </c>
      <c r="D142">
        <v>0</v>
      </c>
      <c r="E142">
        <v>0</v>
      </c>
      <c r="F142">
        <v>0</v>
      </c>
      <c r="G142">
        <v>0</v>
      </c>
      <c r="H142">
        <v>0</v>
      </c>
      <c r="I142">
        <v>0</v>
      </c>
      <c r="J142">
        <v>0</v>
      </c>
    </row>
    <row r="143" spans="1:10" x14ac:dyDescent="0.25">
      <c r="A143">
        <v>5250</v>
      </c>
      <c r="B143">
        <v>5250</v>
      </c>
      <c r="C143">
        <v>0</v>
      </c>
      <c r="D143">
        <v>0</v>
      </c>
      <c r="E143">
        <v>0</v>
      </c>
      <c r="F143">
        <v>0</v>
      </c>
      <c r="G143">
        <v>0</v>
      </c>
      <c r="H143">
        <v>0</v>
      </c>
      <c r="I143">
        <v>0</v>
      </c>
      <c r="J143">
        <v>0</v>
      </c>
    </row>
    <row r="144" spans="1:10" x14ac:dyDescent="0.25">
      <c r="A144">
        <v>5275</v>
      </c>
      <c r="B144">
        <v>5275</v>
      </c>
      <c r="C144">
        <v>0</v>
      </c>
      <c r="D144">
        <v>0</v>
      </c>
      <c r="E144">
        <v>0</v>
      </c>
      <c r="F144">
        <v>0</v>
      </c>
      <c r="G144">
        <v>0</v>
      </c>
      <c r="H144">
        <v>0</v>
      </c>
      <c r="I144">
        <v>0</v>
      </c>
      <c r="J144">
        <v>0</v>
      </c>
    </row>
    <row r="145" spans="1:10" x14ac:dyDescent="0.25">
      <c r="A145">
        <v>5300</v>
      </c>
      <c r="B145">
        <v>5300</v>
      </c>
      <c r="C145">
        <v>0</v>
      </c>
      <c r="D145">
        <v>0</v>
      </c>
      <c r="E145">
        <v>0</v>
      </c>
      <c r="F145">
        <v>0</v>
      </c>
      <c r="G145">
        <v>0</v>
      </c>
      <c r="H145">
        <v>0</v>
      </c>
      <c r="I145">
        <v>0</v>
      </c>
      <c r="J145">
        <v>0</v>
      </c>
    </row>
    <row r="146" spans="1:10" x14ac:dyDescent="0.25">
      <c r="A146">
        <v>5325</v>
      </c>
      <c r="B146">
        <v>5325</v>
      </c>
      <c r="C146">
        <v>0</v>
      </c>
      <c r="D146">
        <v>0</v>
      </c>
      <c r="E146">
        <v>0</v>
      </c>
      <c r="F146">
        <v>0</v>
      </c>
      <c r="G146">
        <v>0</v>
      </c>
      <c r="H146">
        <v>0</v>
      </c>
      <c r="I146">
        <v>0</v>
      </c>
      <c r="J146">
        <v>0</v>
      </c>
    </row>
    <row r="147" spans="1:10" x14ac:dyDescent="0.25">
      <c r="A147">
        <v>5400</v>
      </c>
      <c r="B147">
        <v>5400</v>
      </c>
      <c r="C147">
        <v>0</v>
      </c>
      <c r="D147">
        <v>0</v>
      </c>
      <c r="E147">
        <v>0</v>
      </c>
      <c r="F147">
        <v>0</v>
      </c>
      <c r="G147">
        <v>0</v>
      </c>
      <c r="H147">
        <v>0</v>
      </c>
      <c r="I147">
        <v>0</v>
      </c>
      <c r="J147">
        <v>0</v>
      </c>
    </row>
    <row r="148" spans="1:10" x14ac:dyDescent="0.25">
      <c r="A148">
        <v>5500</v>
      </c>
      <c r="B148">
        <v>5500</v>
      </c>
      <c r="C148">
        <v>0</v>
      </c>
      <c r="D148">
        <v>0</v>
      </c>
      <c r="E148">
        <v>0</v>
      </c>
      <c r="F148">
        <v>0</v>
      </c>
      <c r="G148">
        <v>0</v>
      </c>
      <c r="H148">
        <v>0</v>
      </c>
      <c r="I148">
        <v>0</v>
      </c>
      <c r="J148">
        <v>0</v>
      </c>
    </row>
    <row r="149" spans="1:10" x14ac:dyDescent="0.25">
      <c r="A149">
        <v>5600</v>
      </c>
      <c r="B149">
        <v>5600</v>
      </c>
      <c r="C149">
        <v>0</v>
      </c>
      <c r="D149">
        <v>0</v>
      </c>
      <c r="E149">
        <v>0</v>
      </c>
      <c r="F149">
        <v>0</v>
      </c>
      <c r="G149">
        <v>0</v>
      </c>
      <c r="H149">
        <v>0</v>
      </c>
      <c r="I149">
        <v>0</v>
      </c>
      <c r="J149">
        <v>0</v>
      </c>
    </row>
    <row r="150" spans="1:10" x14ac:dyDescent="0.25">
      <c r="A150">
        <v>5700</v>
      </c>
      <c r="B150">
        <v>5700</v>
      </c>
      <c r="C150">
        <v>0</v>
      </c>
      <c r="D150">
        <v>0</v>
      </c>
      <c r="E150">
        <v>3</v>
      </c>
      <c r="F150">
        <v>0</v>
      </c>
      <c r="G150">
        <v>0</v>
      </c>
      <c r="H150">
        <v>0</v>
      </c>
      <c r="I150">
        <v>0</v>
      </c>
      <c r="J150">
        <v>3</v>
      </c>
    </row>
    <row r="151" spans="1:10" x14ac:dyDescent="0.25">
      <c r="A151">
        <v>5800</v>
      </c>
      <c r="B151">
        <v>5800</v>
      </c>
      <c r="C151">
        <v>0</v>
      </c>
      <c r="D151">
        <v>0</v>
      </c>
      <c r="E151">
        <v>3</v>
      </c>
      <c r="F151">
        <v>0</v>
      </c>
      <c r="G151">
        <v>0</v>
      </c>
      <c r="H151">
        <v>0</v>
      </c>
      <c r="I151">
        <v>0</v>
      </c>
      <c r="J151">
        <v>3</v>
      </c>
    </row>
    <row r="152" spans="1:10" x14ac:dyDescent="0.25">
      <c r="A152">
        <v>5900</v>
      </c>
      <c r="B152">
        <v>5900</v>
      </c>
      <c r="C152">
        <v>0</v>
      </c>
      <c r="D152">
        <v>0</v>
      </c>
      <c r="E152">
        <v>0</v>
      </c>
      <c r="F152">
        <v>0</v>
      </c>
      <c r="G152">
        <v>0</v>
      </c>
      <c r="H152">
        <v>0</v>
      </c>
      <c r="I152">
        <v>0</v>
      </c>
      <c r="J152">
        <v>0</v>
      </c>
    </row>
    <row r="153" spans="1:10" x14ac:dyDescent="0.25">
      <c r="A153">
        <v>6000</v>
      </c>
      <c r="B153">
        <v>6000</v>
      </c>
      <c r="C153">
        <v>0</v>
      </c>
      <c r="D153">
        <v>0</v>
      </c>
      <c r="E153">
        <v>0</v>
      </c>
      <c r="F153">
        <v>0</v>
      </c>
      <c r="G153">
        <v>0</v>
      </c>
      <c r="H153">
        <v>0</v>
      </c>
      <c r="I153">
        <v>0</v>
      </c>
      <c r="J153">
        <v>0</v>
      </c>
    </row>
    <row r="154" spans="1:10" x14ac:dyDescent="0.25">
      <c r="A154">
        <v>7000</v>
      </c>
      <c r="B154">
        <v>7000</v>
      </c>
      <c r="C154">
        <v>0</v>
      </c>
      <c r="D154">
        <v>0</v>
      </c>
      <c r="E154">
        <v>0</v>
      </c>
      <c r="F154">
        <v>0</v>
      </c>
      <c r="G154">
        <v>0</v>
      </c>
      <c r="H154">
        <v>0</v>
      </c>
      <c r="I154">
        <v>0</v>
      </c>
      <c r="J154">
        <v>0</v>
      </c>
    </row>
    <row r="155" spans="1:10" x14ac:dyDescent="0.25">
      <c r="A155">
        <v>8000</v>
      </c>
      <c r="B155">
        <v>8000</v>
      </c>
      <c r="C155">
        <v>0</v>
      </c>
      <c r="D155">
        <v>0</v>
      </c>
      <c r="E155">
        <v>0</v>
      </c>
      <c r="F155">
        <v>0</v>
      </c>
      <c r="G155">
        <v>0</v>
      </c>
      <c r="H155">
        <v>0</v>
      </c>
      <c r="I155">
        <v>0</v>
      </c>
      <c r="J155">
        <v>0</v>
      </c>
    </row>
    <row r="156" spans="1:10" x14ac:dyDescent="0.25">
      <c r="A156">
        <v>9000</v>
      </c>
      <c r="B156">
        <v>9000</v>
      </c>
      <c r="C156">
        <v>0</v>
      </c>
      <c r="D156">
        <v>0</v>
      </c>
      <c r="E156">
        <v>0</v>
      </c>
      <c r="F156">
        <v>0</v>
      </c>
      <c r="G156">
        <v>0</v>
      </c>
      <c r="H156">
        <v>0</v>
      </c>
      <c r="I156">
        <v>0</v>
      </c>
      <c r="J156">
        <v>0</v>
      </c>
    </row>
    <row r="157" spans="1:10" x14ac:dyDescent="0.25">
      <c r="A157" t="s">
        <v>284</v>
      </c>
      <c r="B157">
        <v>10000</v>
      </c>
      <c r="C157">
        <v>0</v>
      </c>
      <c r="D157">
        <v>0</v>
      </c>
      <c r="E157">
        <v>0</v>
      </c>
      <c r="F157">
        <v>0</v>
      </c>
      <c r="G157">
        <v>0</v>
      </c>
      <c r="H157">
        <v>0</v>
      </c>
      <c r="I157">
        <v>0</v>
      </c>
      <c r="J157">
        <v>5687.4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157F5-D26F-4527-9E01-78ADFC7C1056}">
  <sheetPr codeName="Tabelle13"/>
  <dimension ref="A2:I47"/>
  <sheetViews>
    <sheetView view="pageBreakPreview" topLeftCell="A19" zoomScaleNormal="100" zoomScaleSheetLayoutView="100" workbookViewId="0">
      <selection activeCell="J55" sqref="J55"/>
    </sheetView>
  </sheetViews>
  <sheetFormatPr defaultColWidth="11.42578125" defaultRowHeight="15" x14ac:dyDescent="0.25"/>
  <sheetData>
    <row r="2" spans="1:6" ht="28.5" x14ac:dyDescent="0.45">
      <c r="A2" s="84" t="s">
        <v>141</v>
      </c>
    </row>
    <row r="4" spans="1:6" ht="21" x14ac:dyDescent="0.25">
      <c r="A4" s="81" t="s">
        <v>142</v>
      </c>
    </row>
    <row r="5" spans="1:6" ht="18.75" x14ac:dyDescent="0.3">
      <c r="A5" s="82" t="s">
        <v>143</v>
      </c>
      <c r="E5" s="85" t="s">
        <v>163</v>
      </c>
      <c r="F5" s="85"/>
    </row>
    <row r="7" spans="1:6" ht="23.25" x14ac:dyDescent="0.35">
      <c r="E7" s="86" t="s">
        <v>151</v>
      </c>
    </row>
    <row r="8" spans="1:6" ht="23.25" x14ac:dyDescent="0.35">
      <c r="E8" s="86" t="s">
        <v>152</v>
      </c>
    </row>
    <row r="9" spans="1:6" ht="23.25" x14ac:dyDescent="0.35">
      <c r="E9" s="86" t="s">
        <v>153</v>
      </c>
    </row>
    <row r="11" spans="1:6" ht="23.25" x14ac:dyDescent="0.35">
      <c r="E11" s="86" t="s">
        <v>144</v>
      </c>
    </row>
    <row r="12" spans="1:6" ht="23.25" x14ac:dyDescent="0.35">
      <c r="E12" s="86" t="s">
        <v>154</v>
      </c>
    </row>
    <row r="15" spans="1:6" ht="23.25" x14ac:dyDescent="0.35">
      <c r="A15" s="82" t="s">
        <v>145</v>
      </c>
      <c r="E15" s="86" t="s">
        <v>155</v>
      </c>
    </row>
    <row r="16" spans="1:6" ht="23.25" x14ac:dyDescent="0.35">
      <c r="E16" s="86" t="s">
        <v>156</v>
      </c>
    </row>
    <row r="17" spans="1:5" ht="23.25" x14ac:dyDescent="0.35">
      <c r="E17" s="86" t="s">
        <v>157</v>
      </c>
    </row>
    <row r="18" spans="1:5" ht="23.25" x14ac:dyDescent="0.35">
      <c r="E18" s="86" t="s">
        <v>158</v>
      </c>
    </row>
    <row r="20" spans="1:5" ht="23.25" x14ac:dyDescent="0.35">
      <c r="E20" s="86" t="s">
        <v>144</v>
      </c>
    </row>
    <row r="21" spans="1:5" ht="23.25" x14ac:dyDescent="0.35">
      <c r="E21" s="86" t="s">
        <v>154</v>
      </c>
    </row>
    <row r="24" spans="1:5" x14ac:dyDescent="0.25">
      <c r="A24" t="s">
        <v>146</v>
      </c>
    </row>
    <row r="27" spans="1:5" ht="18.75" x14ac:dyDescent="0.3">
      <c r="A27" s="82" t="s">
        <v>147</v>
      </c>
    </row>
    <row r="29" spans="1:5" ht="23.25" x14ac:dyDescent="0.25">
      <c r="A29" s="83" t="s">
        <v>148</v>
      </c>
    </row>
    <row r="30" spans="1:5" ht="23.25" x14ac:dyDescent="0.35">
      <c r="A30" s="83" t="s">
        <v>159</v>
      </c>
      <c r="E30" s="86" t="s">
        <v>161</v>
      </c>
    </row>
    <row r="31" spans="1:5" ht="23.25" x14ac:dyDescent="0.25">
      <c r="A31" s="83" t="s">
        <v>160</v>
      </c>
    </row>
    <row r="32" spans="1:5" ht="23.25" x14ac:dyDescent="0.25">
      <c r="A32" s="83" t="s">
        <v>149</v>
      </c>
    </row>
    <row r="35" spans="1:9" x14ac:dyDescent="0.25">
      <c r="A35" s="87" t="s">
        <v>150</v>
      </c>
    </row>
    <row r="40" spans="1:9" x14ac:dyDescent="0.25">
      <c r="A40" s="105"/>
      <c r="B40" s="105"/>
      <c r="C40" s="105"/>
      <c r="D40" s="105"/>
      <c r="E40" s="105"/>
      <c r="F40" s="105"/>
      <c r="G40" s="105"/>
      <c r="H40" s="105"/>
      <c r="I40" s="105"/>
    </row>
    <row r="47" spans="1:9" x14ac:dyDescent="0.25">
      <c r="A47" s="105" t="s">
        <v>162</v>
      </c>
      <c r="B47" s="105"/>
      <c r="C47" s="105"/>
      <c r="D47" s="105"/>
      <c r="E47" s="105"/>
      <c r="F47" s="105"/>
      <c r="G47" s="105"/>
      <c r="H47" s="105"/>
      <c r="I47" s="105"/>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02E4C-9905-4F9A-A321-32DACF94E9B9}">
  <sheetPr codeName="Tabelle18"/>
  <dimension ref="A2:I48"/>
  <sheetViews>
    <sheetView view="pageBreakPreview" zoomScaleNormal="100" zoomScaleSheetLayoutView="100" workbookViewId="0">
      <selection activeCell="J55" sqref="J55"/>
    </sheetView>
  </sheetViews>
  <sheetFormatPr defaultColWidth="11.42578125" defaultRowHeight="15" x14ac:dyDescent="0.25"/>
  <sheetData>
    <row r="2" spans="1:6" ht="28.5" x14ac:dyDescent="0.45">
      <c r="A2" s="84" t="s">
        <v>141</v>
      </c>
    </row>
    <row r="4" spans="1:6" ht="21" x14ac:dyDescent="0.25">
      <c r="A4" s="81" t="s">
        <v>142</v>
      </c>
    </row>
    <row r="5" spans="1:6" ht="18.75" x14ac:dyDescent="0.3">
      <c r="A5" s="82" t="s">
        <v>143</v>
      </c>
      <c r="E5" s="85" t="s">
        <v>164</v>
      </c>
      <c r="F5" s="85"/>
    </row>
    <row r="7" spans="1:6" ht="23.25" x14ac:dyDescent="0.35">
      <c r="E7" s="86" t="s">
        <v>151</v>
      </c>
    </row>
    <row r="8" spans="1:6" ht="23.25" x14ac:dyDescent="0.35">
      <c r="E8" s="86" t="s">
        <v>152</v>
      </c>
    </row>
    <row r="9" spans="1:6" ht="23.25" x14ac:dyDescent="0.35">
      <c r="E9" s="86" t="s">
        <v>165</v>
      </c>
    </row>
    <row r="11" spans="1:6" ht="23.25" x14ac:dyDescent="0.35">
      <c r="E11" s="86" t="s">
        <v>144</v>
      </c>
    </row>
    <row r="12" spans="1:6" ht="23.25" x14ac:dyDescent="0.35">
      <c r="E12" s="86" t="s">
        <v>154</v>
      </c>
    </row>
    <row r="15" spans="1:6" ht="18.75" x14ac:dyDescent="0.3">
      <c r="A15" s="82" t="s">
        <v>145</v>
      </c>
      <c r="E15" s="85" t="s">
        <v>166</v>
      </c>
    </row>
    <row r="16" spans="1:6" ht="18.75" x14ac:dyDescent="0.3">
      <c r="A16" s="82"/>
      <c r="E16" s="85"/>
    </row>
    <row r="17" spans="1:5" ht="23.25" x14ac:dyDescent="0.35">
      <c r="E17" s="86" t="s">
        <v>155</v>
      </c>
    </row>
    <row r="18" spans="1:5" ht="23.25" x14ac:dyDescent="0.35">
      <c r="E18" s="86" t="s">
        <v>156</v>
      </c>
    </row>
    <row r="19" spans="1:5" ht="23.25" x14ac:dyDescent="0.35">
      <c r="E19" s="86" t="s">
        <v>157</v>
      </c>
    </row>
    <row r="20" spans="1:5" ht="23.25" x14ac:dyDescent="0.35">
      <c r="E20" s="86" t="s">
        <v>167</v>
      </c>
    </row>
    <row r="22" spans="1:5" ht="23.25" x14ac:dyDescent="0.35">
      <c r="E22" s="86" t="s">
        <v>144</v>
      </c>
    </row>
    <row r="23" spans="1:5" ht="23.25" x14ac:dyDescent="0.35">
      <c r="E23" s="86" t="s">
        <v>154</v>
      </c>
    </row>
    <row r="25" spans="1:5" x14ac:dyDescent="0.25">
      <c r="A25" t="s">
        <v>146</v>
      </c>
    </row>
    <row r="28" spans="1:5" ht="18.75" x14ac:dyDescent="0.3">
      <c r="A28" s="82" t="s">
        <v>147</v>
      </c>
    </row>
    <row r="30" spans="1:5" ht="23.25" x14ac:dyDescent="0.25">
      <c r="A30" s="83" t="s">
        <v>148</v>
      </c>
    </row>
    <row r="31" spans="1:5" ht="23.25" x14ac:dyDescent="0.35">
      <c r="A31" s="83" t="s">
        <v>159</v>
      </c>
      <c r="E31" s="86" t="s">
        <v>161</v>
      </c>
    </row>
    <row r="32" spans="1:5" ht="23.25" x14ac:dyDescent="0.25">
      <c r="A32" s="83" t="s">
        <v>160</v>
      </c>
    </row>
    <row r="33" spans="1:9" ht="23.25" x14ac:dyDescent="0.25">
      <c r="A33" s="83" t="s">
        <v>149</v>
      </c>
    </row>
    <row r="36" spans="1:9" x14ac:dyDescent="0.25">
      <c r="A36" s="87" t="s">
        <v>150</v>
      </c>
    </row>
    <row r="41" spans="1:9" x14ac:dyDescent="0.25">
      <c r="A41" s="105"/>
      <c r="B41" s="105"/>
      <c r="C41" s="105"/>
      <c r="D41" s="105"/>
      <c r="E41" s="105"/>
      <c r="F41" s="105"/>
      <c r="G41" s="105"/>
      <c r="H41" s="105"/>
      <c r="I41" s="105"/>
    </row>
    <row r="48" spans="1:9" x14ac:dyDescent="0.25">
      <c r="A48" s="105" t="s">
        <v>162</v>
      </c>
      <c r="B48" s="105"/>
      <c r="C48" s="105"/>
      <c r="D48" s="105"/>
      <c r="E48" s="105"/>
      <c r="F48" s="105"/>
      <c r="G48" s="105"/>
      <c r="H48" s="105"/>
      <c r="I48" s="105"/>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D66"/>
  <sheetViews>
    <sheetView topLeftCell="F10" zoomScale="80" zoomScaleNormal="80" workbookViewId="0">
      <selection activeCell="P40" sqref="P40"/>
    </sheetView>
  </sheetViews>
  <sheetFormatPr defaultColWidth="11.42578125" defaultRowHeight="15" x14ac:dyDescent="0.25"/>
  <cols>
    <col min="1" max="1" width="20.140625" customWidth="1"/>
    <col min="14" max="14" width="15.5703125" customWidth="1"/>
  </cols>
  <sheetData>
    <row r="1" spans="1:30" x14ac:dyDescent="0.25">
      <c r="A1" t="s">
        <v>14</v>
      </c>
      <c r="B1" s="46" t="s">
        <v>90</v>
      </c>
      <c r="N1" t="s">
        <v>91</v>
      </c>
      <c r="AD1" s="80" t="s">
        <v>136</v>
      </c>
    </row>
    <row r="2" spans="1:30" x14ac:dyDescent="0.25">
      <c r="A2" t="s">
        <v>92</v>
      </c>
      <c r="B2" s="46" t="s">
        <v>96</v>
      </c>
      <c r="AD2" s="79" t="s">
        <v>135</v>
      </c>
    </row>
    <row r="3" spans="1:30" x14ac:dyDescent="0.25">
      <c r="B3" s="46"/>
      <c r="AD3" s="79" t="s">
        <v>133</v>
      </c>
    </row>
    <row r="6" spans="1:30" x14ac:dyDescent="0.25">
      <c r="N6" t="s">
        <v>168</v>
      </c>
      <c r="O6" t="s">
        <v>171</v>
      </c>
    </row>
    <row r="7" spans="1:30" x14ac:dyDescent="0.25">
      <c r="N7" t="s">
        <v>169</v>
      </c>
      <c r="O7" t="s">
        <v>172</v>
      </c>
    </row>
    <row r="8" spans="1:30" x14ac:dyDescent="0.25">
      <c r="N8" t="s">
        <v>170</v>
      </c>
      <c r="O8" t="s">
        <v>172</v>
      </c>
    </row>
    <row r="22" spans="1:20" x14ac:dyDescent="0.25">
      <c r="O22" t="s">
        <v>189</v>
      </c>
      <c r="P22" t="s">
        <v>300</v>
      </c>
    </row>
    <row r="23" spans="1:20" ht="18.75" x14ac:dyDescent="0.25">
      <c r="A23" s="54" t="s">
        <v>33</v>
      </c>
    </row>
    <row r="24" spans="1:20" x14ac:dyDescent="0.25">
      <c r="A24" t="str">
        <f>"STOXX "&amp;A23 &amp; " - " &amp;STOXX_Summery!C3 &amp; " Tage bis Verfall  - " &amp; (DAY(STOXX_Summery!C9) &amp; "."&amp; MONTH(STOXX_Summery!C9) &amp;"."&amp;YEAR(STOXX_Summery!C9))</f>
        <v>STOXX Änderung des Hedgebedarfs für den Frontmonat (Kontrakte/P) - 9 Tage bis Verfall  - 6.9.2023</v>
      </c>
    </row>
    <row r="26" spans="1:20" x14ac:dyDescent="0.25">
      <c r="A26" t="s">
        <v>38</v>
      </c>
    </row>
    <row r="28" spans="1:20" x14ac:dyDescent="0.25">
      <c r="A28" t="str">
        <f>"STOXX "&amp;A26 &amp; " - " &amp;STOXX_Summery!C3 &amp; " days until expiration    -   " &amp; (YEAR(STOXX_Summery!C9)&amp;"-"&amp;MONTH(STOXX_Summery!C9)&amp;"-"&amp;DAY(STOXX_Summery!C9))&amp;" (last trading day closing:  "&amp;Ueberhaenge!X4&amp;")"</f>
        <v>STOXX Change in hedge requirement for front and following month (contracts/P, estimated) - 9 days until expiration    -   2023-9-6 (last trading day closing:  4264,31)</v>
      </c>
    </row>
    <row r="30" spans="1:20" x14ac:dyDescent="0.25">
      <c r="N30" t="s">
        <v>134</v>
      </c>
      <c r="O30" s="79" t="s">
        <v>133</v>
      </c>
    </row>
    <row r="31" spans="1:20" x14ac:dyDescent="0.25">
      <c r="A31" t="s">
        <v>3</v>
      </c>
      <c r="B31" t="str">
        <f>O34&amp;"-"&amp;P34</f>
        <v>2023-09</v>
      </c>
    </row>
    <row r="32" spans="1:20" x14ac:dyDescent="0.25">
      <c r="A32" t="s">
        <v>40</v>
      </c>
      <c r="B32" t="str">
        <f>O36&amp;"-"&amp;P36</f>
        <v>2023-10</v>
      </c>
      <c r="N32" s="110" t="s">
        <v>73</v>
      </c>
      <c r="O32" s="109" t="s">
        <v>22</v>
      </c>
      <c r="P32" s="109"/>
      <c r="S32" s="109" t="s">
        <v>176</v>
      </c>
      <c r="T32" s="109"/>
    </row>
    <row r="33" spans="1:20" x14ac:dyDescent="0.25">
      <c r="A33" t="s">
        <v>41</v>
      </c>
      <c r="B33" t="str">
        <f>B31&amp;"+"&amp;B32</f>
        <v>2023-09+2023-10</v>
      </c>
      <c r="N33" s="110"/>
      <c r="O33" s="47" t="s">
        <v>74</v>
      </c>
      <c r="P33" s="47" t="s">
        <v>75</v>
      </c>
    </row>
    <row r="34" spans="1:20" x14ac:dyDescent="0.25">
      <c r="N34" t="s">
        <v>97</v>
      </c>
      <c r="O34" s="49">
        <v>2023</v>
      </c>
      <c r="P34" s="48" t="s">
        <v>245</v>
      </c>
      <c r="Q34" t="s">
        <v>205</v>
      </c>
      <c r="R34" s="52"/>
      <c r="S34" s="41">
        <v>45184</v>
      </c>
      <c r="T34" t="s">
        <v>246</v>
      </c>
    </row>
    <row r="35" spans="1:20" x14ac:dyDescent="0.25">
      <c r="A35" t="s">
        <v>42</v>
      </c>
      <c r="N35" t="s">
        <v>98</v>
      </c>
      <c r="O35" s="49">
        <v>2023</v>
      </c>
      <c r="P35" s="48" t="s">
        <v>245</v>
      </c>
      <c r="Q35" t="s">
        <v>205</v>
      </c>
      <c r="R35" s="52"/>
      <c r="S35" s="41"/>
    </row>
    <row r="36" spans="1:20" x14ac:dyDescent="0.25">
      <c r="N36" t="s">
        <v>108</v>
      </c>
      <c r="O36" s="49">
        <v>2023</v>
      </c>
      <c r="P36" s="48" t="s">
        <v>286</v>
      </c>
      <c r="Q36" t="s">
        <v>205</v>
      </c>
      <c r="R36" s="52"/>
      <c r="S36" s="41">
        <v>45219</v>
      </c>
      <c r="T36" t="s">
        <v>206</v>
      </c>
    </row>
    <row r="37" spans="1:20" x14ac:dyDescent="0.25">
      <c r="N37" t="s">
        <v>109</v>
      </c>
      <c r="O37" s="49">
        <v>2023</v>
      </c>
      <c r="P37" s="48" t="s">
        <v>286</v>
      </c>
      <c r="Q37" t="s">
        <v>205</v>
      </c>
      <c r="R37" s="52"/>
      <c r="S37" s="41"/>
    </row>
    <row r="38" spans="1:20" x14ac:dyDescent="0.25">
      <c r="N38" t="s">
        <v>173</v>
      </c>
      <c r="O38" s="49">
        <v>2023</v>
      </c>
      <c r="P38" s="48" t="s">
        <v>245</v>
      </c>
      <c r="Q38" t="s">
        <v>205</v>
      </c>
      <c r="R38" s="52"/>
    </row>
    <row r="39" spans="1:20" x14ac:dyDescent="0.25">
      <c r="A39" t="s">
        <v>54</v>
      </c>
      <c r="B39" t="s">
        <v>220</v>
      </c>
      <c r="N39" t="s">
        <v>174</v>
      </c>
      <c r="O39" s="49">
        <v>2023</v>
      </c>
      <c r="P39" s="48" t="s">
        <v>245</v>
      </c>
      <c r="Q39" t="s">
        <v>205</v>
      </c>
      <c r="R39" s="52"/>
    </row>
    <row r="40" spans="1:20" x14ac:dyDescent="0.25">
      <c r="A40" t="s">
        <v>55</v>
      </c>
      <c r="B40" t="s">
        <v>103</v>
      </c>
      <c r="O40" s="49"/>
      <c r="P40" s="48"/>
      <c r="R40" s="39"/>
    </row>
    <row r="41" spans="1:20" x14ac:dyDescent="0.25">
      <c r="O41" s="49"/>
      <c r="P41" s="48"/>
      <c r="R41" s="39"/>
    </row>
    <row r="42" spans="1:20" x14ac:dyDescent="0.25">
      <c r="A42" t="s">
        <v>85</v>
      </c>
      <c r="O42" s="49"/>
      <c r="P42" s="48"/>
      <c r="R42" s="39"/>
    </row>
    <row r="43" spans="1:20" x14ac:dyDescent="0.25">
      <c r="A43" t="s">
        <v>81</v>
      </c>
      <c r="B43" t="s">
        <v>86</v>
      </c>
      <c r="C43" t="s">
        <v>87</v>
      </c>
      <c r="O43" s="49"/>
      <c r="P43" s="48"/>
      <c r="R43" s="39"/>
    </row>
    <row r="44" spans="1:20" x14ac:dyDescent="0.25">
      <c r="B44" t="s">
        <v>37</v>
      </c>
      <c r="C44" s="46" t="s">
        <v>88</v>
      </c>
      <c r="O44" s="49"/>
      <c r="P44" s="48"/>
      <c r="R44" s="39"/>
    </row>
    <row r="45" spans="1:20" x14ac:dyDescent="0.25">
      <c r="A45" t="s">
        <v>58</v>
      </c>
      <c r="B45" t="s">
        <v>81</v>
      </c>
      <c r="C45" t="s">
        <v>89</v>
      </c>
      <c r="O45" s="49"/>
      <c r="P45" s="48"/>
      <c r="R45" s="39"/>
    </row>
    <row r="46" spans="1:20" x14ac:dyDescent="0.25">
      <c r="O46" s="49"/>
      <c r="P46" s="48"/>
      <c r="R46" s="52"/>
    </row>
    <row r="47" spans="1:20" x14ac:dyDescent="0.25">
      <c r="O47" s="49"/>
      <c r="P47" s="48"/>
      <c r="R47" s="52"/>
    </row>
    <row r="49" spans="1:26" x14ac:dyDescent="0.25">
      <c r="A49" s="107" t="s">
        <v>71</v>
      </c>
      <c r="B49" s="107"/>
      <c r="C49" s="107"/>
      <c r="D49" s="107"/>
      <c r="E49" s="107"/>
      <c r="F49" s="107"/>
      <c r="G49" s="107"/>
      <c r="H49" s="107"/>
      <c r="I49" s="107"/>
      <c r="J49" s="107"/>
      <c r="K49" s="107"/>
      <c r="L49" s="107"/>
      <c r="M49" s="107"/>
      <c r="N49" s="107"/>
    </row>
    <row r="50" spans="1:26" ht="110.25" customHeight="1" x14ac:dyDescent="0.25">
      <c r="A50" t="s">
        <v>97</v>
      </c>
      <c r="B50" s="106" t="s">
        <v>247</v>
      </c>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row>
    <row r="51" spans="1:26" ht="114.95" customHeight="1" x14ac:dyDescent="0.25">
      <c r="A51" t="s">
        <v>98</v>
      </c>
      <c r="B51" s="106" t="s">
        <v>248</v>
      </c>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row>
    <row r="52" spans="1:26" ht="114.95" customHeight="1" x14ac:dyDescent="0.25">
      <c r="A52" t="s">
        <v>108</v>
      </c>
      <c r="B52" s="106" t="s">
        <v>249</v>
      </c>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row>
    <row r="53" spans="1:26" ht="114.95" customHeight="1" x14ac:dyDescent="0.25">
      <c r="A53" t="s">
        <v>109</v>
      </c>
      <c r="B53" s="106" t="s">
        <v>250</v>
      </c>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row>
    <row r="54" spans="1:26" ht="114.95" customHeight="1" x14ac:dyDescent="0.25">
      <c r="A54" t="s">
        <v>173</v>
      </c>
      <c r="B54" s="106" t="s">
        <v>251</v>
      </c>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row>
    <row r="55" spans="1:26" ht="114.95" customHeight="1" x14ac:dyDescent="0.25">
      <c r="A55" t="s">
        <v>174</v>
      </c>
      <c r="B55" s="106" t="s">
        <v>252</v>
      </c>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row>
    <row r="56" spans="1:26" ht="114.95" customHeight="1" x14ac:dyDescent="0.25">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row>
    <row r="57" spans="1:26" ht="114.95" customHeight="1" x14ac:dyDescent="0.25">
      <c r="B57" s="108"/>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row>
    <row r="58" spans="1:26" ht="22.5" customHeight="1" x14ac:dyDescent="0.25">
      <c r="B58" s="108"/>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row>
    <row r="59" spans="1:26" ht="114.95" customHeight="1" x14ac:dyDescent="0.25">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row>
    <row r="60" spans="1:26" ht="114.95" customHeight="1" x14ac:dyDescent="0.25">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row>
    <row r="61" spans="1:26" ht="114.95" customHeight="1" x14ac:dyDescent="0.25">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row>
    <row r="62" spans="1:26" ht="114.95" customHeight="1" x14ac:dyDescent="0.25">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row>
    <row r="63" spans="1:26" ht="114.95" customHeight="1" x14ac:dyDescent="0.25">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row>
    <row r="66" spans="1:2" ht="409.5" x14ac:dyDescent="0.25">
      <c r="A66" t="s">
        <v>93</v>
      </c>
      <c r="B66" s="25" t="s">
        <v>95</v>
      </c>
    </row>
  </sheetData>
  <mergeCells count="18">
    <mergeCell ref="O32:P32"/>
    <mergeCell ref="N32:N33"/>
    <mergeCell ref="B62:Z62"/>
    <mergeCell ref="S32:T32"/>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s>
  <dataValidations count="1">
    <dataValidation type="list" allowBlank="1" showInputMessage="1" showErrorMessage="1" sqref="O30" xr:uid="{24828781-BBCC-4224-9093-F9D4D66D3F56}">
      <formula1>$AD$2:$AD$3</formula1>
    </dataValidation>
  </dataValidations>
  <hyperlinks>
    <hyperlink ref="C44" r:id="rId1" xr:uid="{13AC0715-F374-445E-A314-83D1C782352C}"/>
    <hyperlink ref="B1" r:id="rId2" xr:uid="{0E2D53BC-B9E7-4F6C-AC07-1D7B09D3D37F}"/>
    <hyperlink ref="B2" r:id="rId3" xr:uid="{FB1C85F9-4D1B-4A63-9753-083F016C21E8}"/>
  </hyperlinks>
  <pageMargins left="0.7" right="0.7" top="0.78740157499999996" bottom="0.78740157499999996" header="0.3" footer="0.3"/>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F080-70CC-42BA-AE63-9C808AAEA095}">
  <sheetPr codeName="Tabelle20">
    <pageSetUpPr fitToPage="1"/>
  </sheetPr>
  <dimension ref="A1:V193"/>
  <sheetViews>
    <sheetView view="pageBreakPreview" topLeftCell="A5" zoomScaleNormal="70" zoomScaleSheetLayoutView="100" workbookViewId="0">
      <selection activeCell="A2" sqref="A2:K47"/>
    </sheetView>
  </sheetViews>
  <sheetFormatPr defaultColWidth="11.42578125" defaultRowHeight="15" x14ac:dyDescent="0.25"/>
  <cols>
    <col min="1" max="1" width="11.42578125" style="18"/>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2" ht="80.25" customHeight="1" x14ac:dyDescent="0.25">
      <c r="A1" s="111" t="s">
        <v>101</v>
      </c>
      <c r="B1" s="112"/>
      <c r="C1" s="112"/>
      <c r="D1" s="112"/>
      <c r="E1" s="112"/>
      <c r="F1" s="112"/>
      <c r="G1" s="113">
        <f>Ueberhaenge!G1</f>
        <v>45175</v>
      </c>
      <c r="H1" s="113"/>
      <c r="I1" s="55"/>
      <c r="J1" s="59"/>
      <c r="K1" s="59"/>
    </row>
    <row r="2" spans="1:22" ht="21" customHeight="1" x14ac:dyDescent="0.25">
      <c r="A2" s="61"/>
      <c r="B2" s="62"/>
      <c r="C2" s="62"/>
      <c r="D2" s="62"/>
      <c r="E2" s="62"/>
      <c r="F2" s="62"/>
      <c r="G2" s="62"/>
      <c r="H2" s="62"/>
      <c r="I2" s="62"/>
      <c r="J2" s="62"/>
      <c r="K2" s="62"/>
    </row>
    <row r="3" spans="1:22" ht="18.75" x14ac:dyDescent="0.3">
      <c r="A3" s="63" t="s">
        <v>27</v>
      </c>
      <c r="B3" s="62"/>
      <c r="C3" s="65">
        <f>Ueberhaenge!G2</f>
        <v>9</v>
      </c>
      <c r="D3" s="62"/>
      <c r="E3" s="64" t="s">
        <v>31</v>
      </c>
      <c r="F3" s="64">
        <v>0.5</v>
      </c>
      <c r="G3" s="62"/>
      <c r="H3" s="67"/>
      <c r="I3" s="67"/>
      <c r="J3" s="62"/>
      <c r="K3" s="62"/>
    </row>
    <row r="4" spans="1:22" x14ac:dyDescent="0.25">
      <c r="A4" s="61"/>
      <c r="B4" s="62"/>
      <c r="C4" s="62"/>
      <c r="D4" s="62"/>
      <c r="E4" s="62"/>
      <c r="F4" s="62"/>
      <c r="G4" s="62"/>
      <c r="H4" s="62"/>
      <c r="I4" s="62"/>
      <c r="J4" s="62"/>
      <c r="K4" s="62"/>
      <c r="L4" s="1"/>
      <c r="M4" s="1"/>
      <c r="N4" s="1"/>
      <c r="O4" s="1"/>
      <c r="P4" s="1"/>
      <c r="Q4" s="1"/>
      <c r="R4" s="1"/>
      <c r="S4" s="1"/>
    </row>
    <row r="5" spans="1:22" ht="5.25" customHeight="1" x14ac:dyDescent="0.25">
      <c r="A5" s="61"/>
      <c r="B5" s="62"/>
      <c r="C5" s="62"/>
      <c r="D5" s="62"/>
      <c r="E5" s="62"/>
      <c r="F5" s="62"/>
      <c r="G5" s="62"/>
      <c r="H5" s="62"/>
      <c r="I5" s="62"/>
      <c r="J5" s="62"/>
      <c r="K5" s="62"/>
      <c r="L5" s="1"/>
      <c r="M5" s="1"/>
      <c r="N5" s="1"/>
      <c r="O5" s="1"/>
      <c r="P5" s="1"/>
      <c r="Q5" s="1"/>
      <c r="R5" s="1"/>
      <c r="S5" s="1"/>
    </row>
    <row r="6" spans="1:22" ht="63.75" customHeight="1" thickBot="1" x14ac:dyDescent="0.3">
      <c r="A6" s="114" t="s">
        <v>104</v>
      </c>
      <c r="B6" s="115"/>
      <c r="C6" s="115"/>
      <c r="D6" s="115"/>
      <c r="E6" s="115"/>
      <c r="F6" s="115"/>
      <c r="G6" s="115"/>
      <c r="H6" s="115"/>
      <c r="I6" s="115"/>
      <c r="J6" s="59"/>
      <c r="K6" s="59"/>
      <c r="L6" s="1"/>
      <c r="M6" s="1"/>
      <c r="N6" s="116" t="s">
        <v>32</v>
      </c>
      <c r="O6" s="116"/>
      <c r="P6" s="116"/>
      <c r="Q6" s="116"/>
      <c r="R6" s="1"/>
      <c r="S6" s="1"/>
    </row>
    <row r="7" spans="1:22" ht="32.25" customHeight="1" thickBot="1" x14ac:dyDescent="0.55000000000000004">
      <c r="A7" s="117" t="s">
        <v>1</v>
      </c>
      <c r="B7" s="120" t="str">
        <f xml:space="preserve"> "Front: " &amp; Ueberhaenge!D8</f>
        <v>Front: 2023-09</v>
      </c>
      <c r="C7" s="121"/>
      <c r="D7" s="122"/>
      <c r="E7" s="58"/>
      <c r="F7" s="58"/>
      <c r="G7" s="58"/>
      <c r="H7" s="59"/>
      <c r="I7" s="59"/>
      <c r="J7" s="59"/>
      <c r="K7" s="59"/>
      <c r="L7" s="1"/>
      <c r="M7" s="1"/>
      <c r="N7" s="116"/>
      <c r="O7" s="116"/>
      <c r="P7" s="116"/>
      <c r="Q7" s="116"/>
      <c r="R7" s="38"/>
      <c r="S7" s="38"/>
      <c r="T7" s="37"/>
      <c r="U7" s="37"/>
      <c r="V7" s="37"/>
    </row>
    <row r="8" spans="1:22" ht="21.75" thickBot="1" x14ac:dyDescent="0.4">
      <c r="A8" s="118"/>
      <c r="B8" s="123"/>
      <c r="C8" s="124"/>
      <c r="D8" s="125"/>
      <c r="E8" s="60"/>
      <c r="F8" s="59"/>
      <c r="G8" s="59"/>
      <c r="H8" s="59"/>
      <c r="I8" s="59"/>
      <c r="J8" s="59"/>
      <c r="K8" s="59"/>
      <c r="L8" s="1"/>
      <c r="M8" s="1"/>
      <c r="N8" s="35"/>
      <c r="O8" s="126" t="str">
        <f xml:space="preserve"> "Summe: " &amp; Ueberhaenge!D8 &amp; " bis " &amp; Ueberhaenge!I8</f>
        <v>Summe: 2023-09 bis -</v>
      </c>
      <c r="P8" s="127"/>
      <c r="Q8" s="128"/>
      <c r="R8" s="1"/>
      <c r="S8" s="1"/>
    </row>
    <row r="9" spans="1:22" ht="19.5" thickBot="1" x14ac:dyDescent="0.35">
      <c r="A9" s="119"/>
      <c r="B9" s="56" t="s">
        <v>26</v>
      </c>
      <c r="C9" s="57">
        <f>Ueberhaenge!G5</f>
        <v>45175</v>
      </c>
      <c r="D9" s="57">
        <f>IF(WEEKDAY(C9,2)=1,C9-3,C9-1)</f>
        <v>45174</v>
      </c>
      <c r="E9" s="60"/>
      <c r="F9" s="59"/>
      <c r="G9" s="59"/>
      <c r="H9" s="59"/>
      <c r="I9" s="59"/>
      <c r="J9" s="59"/>
      <c r="K9" s="59"/>
      <c r="L9" s="1"/>
      <c r="M9" s="1"/>
      <c r="N9" s="36" t="s">
        <v>1</v>
      </c>
      <c r="O9" s="22" t="s">
        <v>26</v>
      </c>
      <c r="P9" s="21">
        <f>C9</f>
        <v>45175</v>
      </c>
      <c r="Q9" s="21">
        <f>D9</f>
        <v>45174</v>
      </c>
      <c r="R9" s="1"/>
      <c r="S9" s="1"/>
    </row>
    <row r="10" spans="1:22" ht="23.1" customHeight="1" x14ac:dyDescent="0.3">
      <c r="A10" s="26">
        <v>4500</v>
      </c>
      <c r="B10" s="27">
        <f>STOXX_Summery!B10</f>
        <v>5</v>
      </c>
      <c r="C10" s="28">
        <v>-19654</v>
      </c>
      <c r="D10" s="28">
        <v>-19654</v>
      </c>
      <c r="E10" s="1"/>
      <c r="F10" s="1"/>
      <c r="G10" s="1"/>
      <c r="H10" s="1"/>
      <c r="I10" s="1"/>
      <c r="J10" s="1"/>
      <c r="K10" s="1"/>
      <c r="L10" s="1"/>
      <c r="M10" s="1"/>
      <c r="N10" s="26">
        <v>4500</v>
      </c>
      <c r="O10" s="29">
        <v>12777</v>
      </c>
      <c r="P10" s="30">
        <v>-33985</v>
      </c>
      <c r="Q10" s="31">
        <v>-46762</v>
      </c>
      <c r="R10" s="1"/>
      <c r="S10" s="1"/>
      <c r="T10" s="23">
        <v>-46762</v>
      </c>
    </row>
    <row r="11" spans="1:22" ht="23.1" customHeight="1" x14ac:dyDescent="0.3">
      <c r="A11" s="26">
        <v>4475</v>
      </c>
      <c r="B11" s="29">
        <v>-195</v>
      </c>
      <c r="C11" s="30">
        <v>-4219.5</v>
      </c>
      <c r="D11" s="30">
        <v>-4024.5</v>
      </c>
      <c r="E11" s="1"/>
      <c r="F11" s="1"/>
      <c r="G11" s="1"/>
      <c r="H11" s="1"/>
      <c r="I11" s="1"/>
      <c r="J11" s="1"/>
      <c r="K11" s="1"/>
      <c r="L11" s="1"/>
      <c r="M11" s="1"/>
      <c r="N11" s="26">
        <v>4475</v>
      </c>
      <c r="O11" s="29">
        <v>419</v>
      </c>
      <c r="P11" s="30">
        <v>-4931</v>
      </c>
      <c r="Q11" s="31">
        <v>-5350</v>
      </c>
      <c r="R11" s="1"/>
      <c r="S11" s="1"/>
      <c r="T11" s="23">
        <v>-5350</v>
      </c>
    </row>
    <row r="12" spans="1:22" ht="23.1" customHeight="1" x14ac:dyDescent="0.3">
      <c r="A12" s="26">
        <v>4450</v>
      </c>
      <c r="B12" s="29">
        <v>-1.5</v>
      </c>
      <c r="C12" s="30">
        <v>-6306</v>
      </c>
      <c r="D12" s="30">
        <v>-6304.5</v>
      </c>
      <c r="E12" s="1"/>
      <c r="F12" s="1"/>
      <c r="G12" s="1"/>
      <c r="H12" s="1"/>
      <c r="I12" s="1"/>
      <c r="J12" s="1"/>
      <c r="K12" s="1"/>
      <c r="L12" s="1"/>
      <c r="M12" s="1"/>
      <c r="N12" s="26">
        <v>4450</v>
      </c>
      <c r="O12" s="29">
        <v>36031.5</v>
      </c>
      <c r="P12" s="30">
        <v>-21315</v>
      </c>
      <c r="Q12" s="31">
        <v>-57346.5</v>
      </c>
      <c r="R12" s="1"/>
      <c r="S12" s="1"/>
      <c r="T12" s="23">
        <v>-57346.5</v>
      </c>
    </row>
    <row r="13" spans="1:22" ht="23.1" customHeight="1" x14ac:dyDescent="0.3">
      <c r="A13" s="26">
        <v>4425</v>
      </c>
      <c r="B13" s="29">
        <v>0</v>
      </c>
      <c r="C13" s="30">
        <v>-3982.5</v>
      </c>
      <c r="D13" s="30">
        <v>-3982.5</v>
      </c>
      <c r="E13" s="1"/>
      <c r="F13" s="1"/>
      <c r="G13" s="1"/>
      <c r="H13" s="1"/>
      <c r="I13" s="1"/>
      <c r="J13" s="1"/>
      <c r="K13" s="1"/>
      <c r="L13" s="1"/>
      <c r="M13" s="1"/>
      <c r="N13" s="26">
        <v>4425</v>
      </c>
      <c r="O13" s="29">
        <v>29932</v>
      </c>
      <c r="P13" s="30">
        <v>-6835.5</v>
      </c>
      <c r="Q13" s="31">
        <v>-36767.5</v>
      </c>
      <c r="R13" s="1"/>
      <c r="S13" s="1"/>
      <c r="T13" s="23">
        <v>-36767.5</v>
      </c>
    </row>
    <row r="14" spans="1:22" ht="23.1" customHeight="1" x14ac:dyDescent="0.3">
      <c r="A14" s="26">
        <v>4400</v>
      </c>
      <c r="B14" s="29">
        <v>437.5</v>
      </c>
      <c r="C14" s="30">
        <v>-24460.5</v>
      </c>
      <c r="D14" s="30">
        <v>-24898</v>
      </c>
      <c r="E14" s="1"/>
      <c r="F14" s="1"/>
      <c r="G14" s="1"/>
      <c r="H14" s="1"/>
      <c r="I14" s="1"/>
      <c r="J14" s="1"/>
      <c r="K14" s="1"/>
      <c r="L14" s="1"/>
      <c r="M14" s="1"/>
      <c r="N14" s="26">
        <v>4400</v>
      </c>
      <c r="O14" s="29">
        <v>46206.5</v>
      </c>
      <c r="P14" s="30">
        <v>-45740.5</v>
      </c>
      <c r="Q14" s="31">
        <v>-91947</v>
      </c>
      <c r="R14" s="1"/>
      <c r="S14" s="1"/>
      <c r="T14" s="23">
        <v>-91947</v>
      </c>
    </row>
    <row r="15" spans="1:22" ht="23.1" customHeight="1" x14ac:dyDescent="0.3">
      <c r="A15" s="26">
        <v>4375</v>
      </c>
      <c r="B15" s="29">
        <v>127</v>
      </c>
      <c r="C15" s="30">
        <v>-17958</v>
      </c>
      <c r="D15" s="30">
        <v>-18085</v>
      </c>
      <c r="E15" s="1"/>
      <c r="F15" s="1"/>
      <c r="G15" s="1"/>
      <c r="H15" s="1"/>
      <c r="I15" s="1"/>
      <c r="J15" s="1"/>
      <c r="K15" s="1"/>
      <c r="L15" s="1"/>
      <c r="M15" s="1"/>
      <c r="N15" s="26">
        <v>4375</v>
      </c>
      <c r="O15" s="29">
        <v>8017</v>
      </c>
      <c r="P15" s="30">
        <v>-25381</v>
      </c>
      <c r="Q15" s="31">
        <v>-33398</v>
      </c>
      <c r="R15" s="1"/>
      <c r="S15" s="1"/>
      <c r="T15" s="23">
        <v>-33398</v>
      </c>
    </row>
    <row r="16" spans="1:22" ht="23.1" customHeight="1" x14ac:dyDescent="0.3">
      <c r="A16" s="26">
        <v>4350</v>
      </c>
      <c r="B16" s="29">
        <v>944.5</v>
      </c>
      <c r="C16" s="30">
        <v>-47051</v>
      </c>
      <c r="D16" s="30">
        <v>-47995.5</v>
      </c>
      <c r="E16" s="1"/>
      <c r="F16" s="1"/>
      <c r="G16" s="1"/>
      <c r="H16" s="1"/>
      <c r="I16" s="1"/>
      <c r="J16" s="1"/>
      <c r="K16" s="1"/>
      <c r="L16" s="1"/>
      <c r="M16" s="1"/>
      <c r="N16" s="26">
        <v>4350</v>
      </c>
      <c r="O16" s="29">
        <v>-11789.601999999999</v>
      </c>
      <c r="P16" s="30">
        <v>-86232.5</v>
      </c>
      <c r="Q16" s="31">
        <v>-74442.898000000001</v>
      </c>
      <c r="R16" s="1"/>
      <c r="S16" s="1"/>
      <c r="T16" s="23">
        <v>-74442.898000000001</v>
      </c>
    </row>
    <row r="17" spans="1:20" ht="23.1" customHeight="1" x14ac:dyDescent="0.3">
      <c r="A17" s="26">
        <v>4325</v>
      </c>
      <c r="B17" s="29">
        <v>859.5</v>
      </c>
      <c r="C17" s="30">
        <v>-20984</v>
      </c>
      <c r="D17" s="30">
        <v>-21843.5</v>
      </c>
      <c r="E17" s="1"/>
      <c r="F17" s="1"/>
      <c r="G17" s="1"/>
      <c r="H17" s="1"/>
      <c r="I17" s="1"/>
      <c r="J17" s="1"/>
      <c r="K17" s="1"/>
      <c r="L17" s="1"/>
      <c r="M17" s="1"/>
      <c r="N17" s="26">
        <v>4325</v>
      </c>
      <c r="O17" s="29">
        <v>-8107.8439999999973</v>
      </c>
      <c r="P17" s="30">
        <v>-31454</v>
      </c>
      <c r="Q17" s="31">
        <v>-23346.156000000003</v>
      </c>
      <c r="R17" s="1"/>
      <c r="S17" s="1"/>
      <c r="T17" s="23">
        <v>-23346.156000000003</v>
      </c>
    </row>
    <row r="18" spans="1:20" ht="23.1" customHeight="1" x14ac:dyDescent="0.3">
      <c r="A18" s="26">
        <v>4300</v>
      </c>
      <c r="B18" s="29">
        <v>2175</v>
      </c>
      <c r="C18" s="30">
        <v>-46155.5</v>
      </c>
      <c r="D18" s="30">
        <v>-48330.5</v>
      </c>
      <c r="E18" s="1"/>
      <c r="F18" s="1"/>
      <c r="G18" s="1"/>
      <c r="H18" s="1"/>
      <c r="I18" s="1"/>
      <c r="J18" s="1"/>
      <c r="K18" s="1"/>
      <c r="L18" s="1"/>
      <c r="M18" s="1"/>
      <c r="N18" s="26">
        <v>4300</v>
      </c>
      <c r="O18" s="29">
        <v>-21065.434999999998</v>
      </c>
      <c r="P18" s="30">
        <v>-84479.454499999993</v>
      </c>
      <c r="Q18" s="31">
        <v>-63414.019499999995</v>
      </c>
      <c r="R18" s="1"/>
      <c r="S18" s="1"/>
      <c r="T18" s="23">
        <v>-63414.019499999995</v>
      </c>
    </row>
    <row r="19" spans="1:20" ht="23.1" customHeight="1" x14ac:dyDescent="0.3">
      <c r="A19" s="26">
        <v>4275</v>
      </c>
      <c r="B19" s="29">
        <v>1355.5</v>
      </c>
      <c r="C19" s="30">
        <v>-23114.5</v>
      </c>
      <c r="D19" s="30">
        <v>-24470</v>
      </c>
      <c r="E19" s="1"/>
      <c r="F19" s="1"/>
      <c r="G19" s="1"/>
      <c r="H19" s="1"/>
      <c r="I19" s="1"/>
      <c r="J19" s="1"/>
      <c r="K19" s="1"/>
      <c r="L19" s="1"/>
      <c r="M19" s="1"/>
      <c r="N19" s="26">
        <v>4275</v>
      </c>
      <c r="O19" s="29">
        <v>-23201.556499999999</v>
      </c>
      <c r="P19" s="30">
        <v>-31271.5</v>
      </c>
      <c r="Q19" s="31">
        <v>-8069.9435000000003</v>
      </c>
      <c r="R19" s="1"/>
      <c r="S19" s="1"/>
      <c r="T19" s="23">
        <v>-8069.9435000000003</v>
      </c>
    </row>
    <row r="20" spans="1:20" ht="23.1" customHeight="1" x14ac:dyDescent="0.3">
      <c r="A20" s="26">
        <v>4250</v>
      </c>
      <c r="B20" s="29">
        <v>307</v>
      </c>
      <c r="C20" s="30">
        <v>-19845</v>
      </c>
      <c r="D20" s="30">
        <v>-20152</v>
      </c>
      <c r="E20" s="1"/>
      <c r="F20" s="1"/>
      <c r="G20" s="1"/>
      <c r="H20" s="1"/>
      <c r="I20" s="1"/>
      <c r="J20" s="1"/>
      <c r="K20" s="1"/>
      <c r="L20" s="1"/>
      <c r="M20" s="1"/>
      <c r="N20" s="26">
        <v>4250</v>
      </c>
      <c r="O20" s="29">
        <v>-6307.320000000007</v>
      </c>
      <c r="P20" s="30">
        <v>-49813.317500000005</v>
      </c>
      <c r="Q20" s="31">
        <v>-43505.997499999998</v>
      </c>
      <c r="R20" s="1"/>
      <c r="S20" s="1"/>
      <c r="T20" s="23">
        <v>-43505.997499999998</v>
      </c>
    </row>
    <row r="21" spans="1:20" ht="23.1" customHeight="1" x14ac:dyDescent="0.3">
      <c r="A21" s="26">
        <v>4225</v>
      </c>
      <c r="B21" s="29">
        <v>-328</v>
      </c>
      <c r="C21" s="30">
        <v>-15341</v>
      </c>
      <c r="D21" s="30">
        <v>-15013</v>
      </c>
      <c r="E21" s="1"/>
      <c r="F21" s="1"/>
      <c r="G21" s="1"/>
      <c r="H21" s="1"/>
      <c r="I21" s="1"/>
      <c r="J21" s="1"/>
      <c r="K21" s="1"/>
      <c r="L21" s="1"/>
      <c r="M21" s="1"/>
      <c r="N21" s="26">
        <v>4225</v>
      </c>
      <c r="O21" s="29">
        <v>-16048.421000000002</v>
      </c>
      <c r="P21" s="30">
        <v>-18631.435000000001</v>
      </c>
      <c r="Q21" s="31">
        <v>-2583.0140000000001</v>
      </c>
      <c r="R21" s="1"/>
      <c r="S21" s="1"/>
      <c r="T21" s="23">
        <v>-2583.0140000000001</v>
      </c>
    </row>
    <row r="22" spans="1:20" ht="23.1" customHeight="1" x14ac:dyDescent="0.3">
      <c r="A22" s="26">
        <v>4200</v>
      </c>
      <c r="B22" s="29">
        <v>1831</v>
      </c>
      <c r="C22" s="30">
        <v>-13410.5</v>
      </c>
      <c r="D22" s="30">
        <v>-15241.5</v>
      </c>
      <c r="E22" s="1"/>
      <c r="F22" s="1"/>
      <c r="G22" s="1"/>
      <c r="H22" s="1"/>
      <c r="I22" s="1"/>
      <c r="J22" s="1"/>
      <c r="K22" s="1"/>
      <c r="L22" s="1"/>
      <c r="M22" s="1"/>
      <c r="N22" s="26">
        <v>4200</v>
      </c>
      <c r="O22" s="29">
        <v>327.80900000000111</v>
      </c>
      <c r="P22" s="30">
        <v>-33765.199000000001</v>
      </c>
      <c r="Q22" s="31">
        <v>-34093.008000000002</v>
      </c>
      <c r="R22" s="1"/>
      <c r="S22" s="1"/>
      <c r="T22" s="23">
        <v>-34093.008000000002</v>
      </c>
    </row>
    <row r="23" spans="1:20" ht="23.1" customHeight="1" x14ac:dyDescent="0.3">
      <c r="A23" s="26">
        <v>4175</v>
      </c>
      <c r="B23" s="29">
        <v>-1594.5</v>
      </c>
      <c r="C23" s="30">
        <v>3353.5</v>
      </c>
      <c r="D23" s="30">
        <v>4948</v>
      </c>
      <c r="E23" s="1"/>
      <c r="F23" s="1"/>
      <c r="G23" s="1"/>
      <c r="H23" s="1"/>
      <c r="I23" s="1"/>
      <c r="J23" s="1"/>
      <c r="K23" s="1"/>
      <c r="L23" s="1"/>
      <c r="M23" s="1"/>
      <c r="N23" s="26">
        <v>4175</v>
      </c>
      <c r="O23" s="29">
        <v>24579.261499999997</v>
      </c>
      <c r="P23" s="30">
        <v>-551.98050000000012</v>
      </c>
      <c r="Q23" s="31">
        <v>-25131.241999999998</v>
      </c>
      <c r="R23" s="1"/>
      <c r="S23" s="1"/>
      <c r="T23" s="23">
        <v>-25131.241999999998</v>
      </c>
    </row>
    <row r="24" spans="1:20" ht="23.1" customHeight="1" x14ac:dyDescent="0.3">
      <c r="A24" s="26">
        <v>4150</v>
      </c>
      <c r="B24" s="29">
        <v>354.5</v>
      </c>
      <c r="C24" s="30">
        <v>6343.5</v>
      </c>
      <c r="D24" s="30">
        <v>5989</v>
      </c>
      <c r="E24" s="1"/>
      <c r="F24" s="1"/>
      <c r="G24" s="1"/>
      <c r="H24" s="1"/>
      <c r="I24" s="1"/>
      <c r="J24" s="1"/>
      <c r="K24" s="1"/>
      <c r="L24" s="1"/>
      <c r="M24" s="1"/>
      <c r="N24" s="26">
        <v>4150</v>
      </c>
      <c r="O24" s="29">
        <v>19158.531999999999</v>
      </c>
      <c r="P24" s="30">
        <v>-4575.6650000000009</v>
      </c>
      <c r="Q24" s="31">
        <v>-23734.197</v>
      </c>
      <c r="R24" s="1"/>
      <c r="S24" s="1"/>
      <c r="T24" s="23">
        <v>-23734.197</v>
      </c>
    </row>
    <row r="25" spans="1:20" ht="23.1" customHeight="1" x14ac:dyDescent="0.3">
      <c r="A25" s="26">
        <v>4125</v>
      </c>
      <c r="B25" s="29">
        <v>375</v>
      </c>
      <c r="C25" s="30">
        <v>2909.5</v>
      </c>
      <c r="D25" s="30">
        <v>2534.5</v>
      </c>
      <c r="E25" s="1"/>
      <c r="F25" s="1"/>
      <c r="G25" s="1"/>
      <c r="H25" s="1"/>
      <c r="I25" s="1"/>
      <c r="J25" s="1"/>
      <c r="K25" s="1"/>
      <c r="L25" s="1"/>
      <c r="M25" s="1"/>
      <c r="N25" s="26">
        <v>4125</v>
      </c>
      <c r="O25" s="29">
        <v>-1118.7754999999997</v>
      </c>
      <c r="P25" s="30">
        <v>1291.8420000000001</v>
      </c>
      <c r="Q25" s="31">
        <v>2410.6174999999998</v>
      </c>
      <c r="R25" s="1"/>
      <c r="S25" s="1"/>
      <c r="T25" s="23">
        <v>2410.6174999999998</v>
      </c>
    </row>
    <row r="26" spans="1:20" ht="23.1" customHeight="1" x14ac:dyDescent="0.3">
      <c r="A26" s="26">
        <v>4100</v>
      </c>
      <c r="B26" s="29">
        <v>-5958.5</v>
      </c>
      <c r="C26" s="30">
        <v>12529</v>
      </c>
      <c r="D26" s="30">
        <v>18487.5</v>
      </c>
      <c r="E26" s="1"/>
      <c r="F26" s="1"/>
      <c r="G26" s="1"/>
      <c r="H26" s="1"/>
      <c r="I26" s="1"/>
      <c r="J26" s="1"/>
      <c r="K26" s="1"/>
      <c r="L26" s="1"/>
      <c r="M26" s="1"/>
      <c r="N26" s="26">
        <v>4100</v>
      </c>
      <c r="O26" s="29">
        <v>-7630.0349999999999</v>
      </c>
      <c r="P26" s="30">
        <v>680.26649999999972</v>
      </c>
      <c r="Q26" s="31">
        <v>8310.3014999999996</v>
      </c>
      <c r="R26" s="1"/>
      <c r="S26" s="1"/>
      <c r="T26" s="23">
        <v>8310.3014999999996</v>
      </c>
    </row>
    <row r="27" spans="1:20" ht="23.1" customHeight="1" x14ac:dyDescent="0.3">
      <c r="A27" s="26">
        <v>4075</v>
      </c>
      <c r="B27" s="29">
        <v>353.5</v>
      </c>
      <c r="C27" s="30">
        <v>11004.5</v>
      </c>
      <c r="D27" s="30">
        <v>10651</v>
      </c>
      <c r="E27" s="1"/>
      <c r="F27" s="1"/>
      <c r="G27" s="1"/>
      <c r="H27" s="1"/>
      <c r="I27" s="1"/>
      <c r="J27" s="1"/>
      <c r="K27" s="1"/>
      <c r="L27" s="1"/>
      <c r="M27" s="1"/>
      <c r="N27" s="26">
        <v>4075</v>
      </c>
      <c r="O27" s="29">
        <v>-24953.145500000006</v>
      </c>
      <c r="P27" s="30">
        <v>10311.139499999999</v>
      </c>
      <c r="Q27" s="31">
        <v>35264.285000000003</v>
      </c>
      <c r="R27" s="1"/>
      <c r="S27" s="1"/>
      <c r="T27" s="23">
        <v>35264.285000000003</v>
      </c>
    </row>
    <row r="28" spans="1:20" ht="23.1" customHeight="1" x14ac:dyDescent="0.3">
      <c r="A28" s="26">
        <v>4050</v>
      </c>
      <c r="B28" s="29">
        <v>4420.5</v>
      </c>
      <c r="C28" s="30">
        <v>3930</v>
      </c>
      <c r="D28" s="30">
        <v>-490.5</v>
      </c>
      <c r="E28" s="1"/>
      <c r="F28" s="1"/>
      <c r="G28" s="1"/>
      <c r="H28" s="1"/>
      <c r="I28" s="1"/>
      <c r="J28" s="1"/>
      <c r="K28" s="1"/>
      <c r="L28" s="1"/>
      <c r="M28" s="1"/>
      <c r="N28" s="26">
        <v>4050</v>
      </c>
      <c r="O28" s="29">
        <v>-3392.3254999999999</v>
      </c>
      <c r="P28" s="30">
        <v>187.47749999999996</v>
      </c>
      <c r="Q28" s="31">
        <v>3579.8029999999999</v>
      </c>
      <c r="R28" s="1"/>
      <c r="S28" s="1"/>
      <c r="T28" s="23">
        <v>3579.8029999999999</v>
      </c>
    </row>
    <row r="29" spans="1:20" ht="23.1" customHeight="1" x14ac:dyDescent="0.3">
      <c r="A29" s="26">
        <v>4025</v>
      </c>
      <c r="B29" s="29">
        <v>305.5</v>
      </c>
      <c r="C29" s="30">
        <v>4650</v>
      </c>
      <c r="D29" s="30">
        <v>4344.5</v>
      </c>
      <c r="E29" s="1"/>
      <c r="F29" s="1"/>
      <c r="G29" s="1"/>
      <c r="H29" s="1"/>
      <c r="I29" s="1"/>
      <c r="J29" s="1"/>
      <c r="K29" s="1"/>
      <c r="L29" s="1"/>
      <c r="M29" s="1"/>
      <c r="N29" s="26">
        <v>4025</v>
      </c>
      <c r="O29" s="29">
        <v>6908.5304999999998</v>
      </c>
      <c r="P29" s="30">
        <v>3007.1594999999998</v>
      </c>
      <c r="Q29" s="31">
        <v>-3901.3710000000001</v>
      </c>
      <c r="R29" s="1"/>
      <c r="S29" s="1"/>
      <c r="T29" s="23">
        <v>-3901.3710000000001</v>
      </c>
    </row>
    <row r="30" spans="1:20" ht="23.1" customHeight="1" x14ac:dyDescent="0.3">
      <c r="A30" s="26">
        <v>4000</v>
      </c>
      <c r="B30" s="29">
        <v>2593</v>
      </c>
      <c r="C30" s="30">
        <v>37111</v>
      </c>
      <c r="D30" s="30">
        <v>34518</v>
      </c>
      <c r="E30" s="1"/>
      <c r="F30" s="1"/>
      <c r="G30" s="1"/>
      <c r="H30" s="1"/>
      <c r="I30" s="1"/>
      <c r="J30" s="1"/>
      <c r="K30" s="1"/>
      <c r="L30" s="1"/>
      <c r="M30" s="1"/>
      <c r="N30" s="26">
        <v>4000</v>
      </c>
      <c r="O30" s="29">
        <v>-4582.2805000000008</v>
      </c>
      <c r="P30" s="30">
        <v>32922.656999999999</v>
      </c>
      <c r="Q30" s="31">
        <v>37504.9375</v>
      </c>
      <c r="R30" s="1"/>
      <c r="S30" s="1"/>
      <c r="T30" s="23">
        <v>37504.9375</v>
      </c>
    </row>
    <row r="31" spans="1:20" ht="23.1" customHeight="1" x14ac:dyDescent="0.3">
      <c r="A31" s="26">
        <v>3975</v>
      </c>
      <c r="B31" s="29">
        <v>-205</v>
      </c>
      <c r="C31" s="30">
        <v>14409</v>
      </c>
      <c r="D31" s="30">
        <v>14614</v>
      </c>
      <c r="E31" s="1"/>
      <c r="F31" s="1"/>
      <c r="G31" s="1"/>
      <c r="H31" s="1"/>
      <c r="I31" s="1"/>
      <c r="J31" s="1"/>
      <c r="K31" s="1"/>
      <c r="L31" s="1"/>
      <c r="M31" s="1"/>
      <c r="N31" s="26">
        <v>3975</v>
      </c>
      <c r="O31" s="29">
        <v>9521.9294999999984</v>
      </c>
      <c r="P31" s="30">
        <v>14036.2215</v>
      </c>
      <c r="Q31" s="31">
        <v>4514.2920000000004</v>
      </c>
      <c r="R31" s="1"/>
      <c r="S31" s="1"/>
      <c r="T31" s="23">
        <v>4514.2920000000004</v>
      </c>
    </row>
    <row r="32" spans="1:20" ht="23.1" customHeight="1" x14ac:dyDescent="0.3">
      <c r="A32" s="26">
        <v>3950</v>
      </c>
      <c r="B32" s="29">
        <v>-2838</v>
      </c>
      <c r="C32" s="30">
        <v>30750</v>
      </c>
      <c r="D32" s="30">
        <v>33588</v>
      </c>
      <c r="E32" s="1"/>
      <c r="F32" s="1"/>
      <c r="G32" s="1"/>
      <c r="H32" s="1"/>
      <c r="I32" s="1"/>
      <c r="J32" s="1"/>
      <c r="K32" s="1"/>
      <c r="L32" s="1"/>
      <c r="M32" s="1"/>
      <c r="N32" s="26">
        <v>3950</v>
      </c>
      <c r="O32" s="29">
        <v>20109.335500000001</v>
      </c>
      <c r="P32" s="30">
        <v>25390.210999999999</v>
      </c>
      <c r="Q32" s="31">
        <v>5280.8755000000001</v>
      </c>
      <c r="R32" s="1"/>
      <c r="S32" s="1"/>
      <c r="T32" s="23">
        <v>5280.8755000000001</v>
      </c>
    </row>
    <row r="33" spans="1:20" ht="23.1" customHeight="1" x14ac:dyDescent="0.3">
      <c r="A33" s="26">
        <v>3925</v>
      </c>
      <c r="B33" s="29">
        <v>99.5</v>
      </c>
      <c r="C33" s="30">
        <v>7718.5</v>
      </c>
      <c r="D33" s="30">
        <v>7619</v>
      </c>
      <c r="E33" s="1"/>
      <c r="F33" s="1"/>
      <c r="G33" s="1"/>
      <c r="H33" s="1"/>
      <c r="I33" s="1"/>
      <c r="J33" s="1"/>
      <c r="K33" s="1"/>
      <c r="L33" s="1"/>
      <c r="M33" s="1"/>
      <c r="N33" s="26">
        <v>3925</v>
      </c>
      <c r="O33" s="29">
        <v>-1055.3644999999997</v>
      </c>
      <c r="P33" s="30">
        <v>7443.6175000000003</v>
      </c>
      <c r="Q33" s="31">
        <v>8498.982</v>
      </c>
      <c r="R33" s="1"/>
      <c r="S33" s="1"/>
      <c r="T33" s="23">
        <v>8498.982</v>
      </c>
    </row>
    <row r="34" spans="1:20" ht="23.1" customHeight="1" x14ac:dyDescent="0.3">
      <c r="A34" s="26">
        <v>3900</v>
      </c>
      <c r="B34" s="29">
        <v>-2117</v>
      </c>
      <c r="C34" s="30">
        <v>88423</v>
      </c>
      <c r="D34" s="30">
        <v>90540</v>
      </c>
      <c r="E34" s="1"/>
      <c r="F34" s="1"/>
      <c r="G34" s="1"/>
      <c r="H34" s="1"/>
      <c r="I34" s="1"/>
      <c r="J34" s="1"/>
      <c r="K34" s="1"/>
      <c r="L34" s="1"/>
      <c r="M34" s="1"/>
      <c r="N34" s="26">
        <v>3900</v>
      </c>
      <c r="O34" s="29">
        <v>76252.282000000007</v>
      </c>
      <c r="P34" s="30">
        <v>88132.131500000003</v>
      </c>
      <c r="Q34" s="31">
        <v>11879.8495</v>
      </c>
      <c r="R34" s="1"/>
      <c r="S34" s="1"/>
      <c r="T34" s="23">
        <v>11879.8495</v>
      </c>
    </row>
    <row r="35" spans="1:20" ht="23.1" customHeight="1" x14ac:dyDescent="0.3">
      <c r="A35" s="26">
        <v>3875</v>
      </c>
      <c r="B35" s="29">
        <v>-22</v>
      </c>
      <c r="C35" s="30">
        <v>9722.5</v>
      </c>
      <c r="D35" s="30">
        <v>9744.5</v>
      </c>
      <c r="E35" s="1"/>
      <c r="F35" s="1"/>
      <c r="G35" s="1"/>
      <c r="H35" s="1"/>
      <c r="I35" s="1"/>
      <c r="J35" s="1"/>
      <c r="K35" s="1"/>
      <c r="L35" s="1"/>
      <c r="M35" s="1"/>
      <c r="N35" s="26">
        <v>3875</v>
      </c>
      <c r="O35" s="29">
        <v>5489.4985000000006</v>
      </c>
      <c r="P35" s="30">
        <v>9723.1370000000006</v>
      </c>
      <c r="Q35" s="31">
        <v>4233.6385</v>
      </c>
      <c r="R35" s="1"/>
      <c r="S35" s="1"/>
      <c r="T35" s="23">
        <v>4233.6385</v>
      </c>
    </row>
    <row r="36" spans="1:20" ht="23.1" customHeight="1" x14ac:dyDescent="0.3">
      <c r="A36" s="26">
        <v>3850</v>
      </c>
      <c r="B36" s="29">
        <v>-1112</v>
      </c>
      <c r="C36" s="30">
        <v>61165.5</v>
      </c>
      <c r="D36" s="30">
        <v>62277.5</v>
      </c>
      <c r="E36" s="1"/>
      <c r="F36" s="1"/>
      <c r="G36" s="1"/>
      <c r="H36" s="1"/>
      <c r="I36" s="1"/>
      <c r="J36" s="1"/>
      <c r="K36" s="1"/>
      <c r="L36" s="1"/>
      <c r="M36" s="1"/>
      <c r="N36" s="26">
        <v>3850</v>
      </c>
      <c r="O36" s="29">
        <v>45431.172999999995</v>
      </c>
      <c r="P36" s="30">
        <v>61149.875999999997</v>
      </c>
      <c r="Q36" s="31">
        <v>15718.703</v>
      </c>
      <c r="R36" s="1"/>
      <c r="S36" s="1"/>
      <c r="T36" s="23">
        <v>15718.703</v>
      </c>
    </row>
    <row r="37" spans="1:20" ht="23.1" customHeight="1" x14ac:dyDescent="0.3">
      <c r="A37" s="26">
        <v>3825</v>
      </c>
      <c r="B37" s="29">
        <v>507</v>
      </c>
      <c r="C37" s="30">
        <v>11707.5</v>
      </c>
      <c r="D37" s="30">
        <v>11200.5</v>
      </c>
      <c r="E37" s="1"/>
      <c r="F37" s="1"/>
      <c r="G37" s="1"/>
      <c r="H37" s="1"/>
      <c r="I37" s="1"/>
      <c r="J37" s="1"/>
      <c r="K37" s="1"/>
      <c r="L37" s="1"/>
      <c r="M37" s="1"/>
      <c r="N37" s="26">
        <v>3825</v>
      </c>
      <c r="O37" s="29">
        <v>5517.4219999999996</v>
      </c>
      <c r="P37" s="30">
        <v>11508.906499999999</v>
      </c>
      <c r="Q37" s="31">
        <v>5991.4844999999996</v>
      </c>
      <c r="R37" s="1"/>
      <c r="S37" s="1"/>
      <c r="T37" s="23">
        <v>5991.4844999999996</v>
      </c>
    </row>
    <row r="38" spans="1:20" ht="23.1" customHeight="1" thickBot="1" x14ac:dyDescent="0.35">
      <c r="A38" s="32">
        <v>3800</v>
      </c>
      <c r="B38" s="29">
        <v>-4099</v>
      </c>
      <c r="C38" s="30">
        <v>50505.5</v>
      </c>
      <c r="D38" s="30">
        <v>54604.5</v>
      </c>
      <c r="E38" s="1"/>
      <c r="F38" s="1"/>
      <c r="G38" s="1"/>
      <c r="H38" s="1"/>
      <c r="I38" s="1"/>
      <c r="J38" s="1"/>
      <c r="K38" s="1"/>
      <c r="L38" s="1"/>
      <c r="M38" s="1"/>
      <c r="N38" s="26">
        <v>3800</v>
      </c>
      <c r="O38" s="29">
        <v>11765.2785</v>
      </c>
      <c r="P38" s="30">
        <v>50189.614999999998</v>
      </c>
      <c r="Q38" s="31">
        <v>38424.336499999998</v>
      </c>
      <c r="R38" s="1"/>
      <c r="S38" s="1"/>
      <c r="T38" s="23">
        <v>38424.336499999998</v>
      </c>
    </row>
    <row r="39" spans="1:20" ht="18.75" x14ac:dyDescent="0.3">
      <c r="A39" s="71"/>
      <c r="B39" s="30"/>
      <c r="C39" s="30"/>
      <c r="D39" s="30"/>
      <c r="E39" s="1"/>
      <c r="F39" s="1"/>
      <c r="G39" s="1"/>
      <c r="H39" s="1"/>
      <c r="I39" s="1"/>
      <c r="J39" s="1"/>
      <c r="K39" s="1"/>
      <c r="L39" s="1"/>
      <c r="M39" s="1"/>
      <c r="N39" s="26"/>
      <c r="O39" s="29"/>
      <c r="P39" s="30"/>
      <c r="Q39" s="31"/>
      <c r="R39" s="1"/>
      <c r="S39" s="1"/>
      <c r="T39" s="23">
        <v>17666.5</v>
      </c>
    </row>
    <row r="40" spans="1:20" ht="18.75" x14ac:dyDescent="0.3">
      <c r="A40" s="69"/>
      <c r="B40" s="30"/>
      <c r="C40" s="30"/>
      <c r="D40" s="30"/>
      <c r="E40" s="1"/>
      <c r="F40" s="1"/>
      <c r="G40" s="1"/>
      <c r="H40" s="1"/>
      <c r="I40" s="1"/>
      <c r="J40" s="1"/>
      <c r="K40" s="1"/>
      <c r="L40" s="1"/>
      <c r="M40" s="1"/>
      <c r="N40" s="26"/>
      <c r="O40" s="29"/>
      <c r="P40" s="30"/>
      <c r="Q40" s="31"/>
      <c r="R40" s="1"/>
      <c r="S40" s="1"/>
      <c r="T40" s="23">
        <v>38576</v>
      </c>
    </row>
    <row r="41" spans="1:20" ht="19.5" thickBot="1" x14ac:dyDescent="0.35">
      <c r="A41" s="69"/>
      <c r="B41" s="30"/>
      <c r="C41" s="30"/>
      <c r="D41" s="30"/>
      <c r="E41" s="1"/>
      <c r="F41" s="1"/>
      <c r="G41" s="1"/>
      <c r="H41" s="1"/>
      <c r="I41" s="1"/>
      <c r="J41" s="1"/>
      <c r="K41" s="1"/>
      <c r="L41" s="1"/>
      <c r="M41" s="1"/>
      <c r="N41" s="26"/>
      <c r="O41" s="29"/>
      <c r="P41" s="30"/>
      <c r="Q41" s="31"/>
      <c r="R41" s="1"/>
      <c r="S41" s="1"/>
      <c r="T41" s="23"/>
    </row>
    <row r="42" spans="1:20" ht="49.5" customHeight="1" thickBot="1" x14ac:dyDescent="0.35">
      <c r="A42" s="69"/>
      <c r="B42" s="131" t="s">
        <v>30</v>
      </c>
      <c r="C42" s="132"/>
      <c r="D42" s="133"/>
      <c r="E42" s="1"/>
      <c r="F42" s="1"/>
      <c r="G42" s="1"/>
      <c r="H42" s="1"/>
      <c r="I42" s="1"/>
      <c r="J42" s="1"/>
      <c r="K42" s="1"/>
      <c r="L42" s="1"/>
      <c r="M42" s="1"/>
      <c r="N42" s="26"/>
      <c r="O42" s="29"/>
      <c r="P42" s="30"/>
      <c r="Q42" s="31"/>
      <c r="R42" s="1"/>
      <c r="S42" s="1"/>
      <c r="T42" s="23"/>
    </row>
    <row r="43" spans="1:20" ht="49.5" customHeight="1" x14ac:dyDescent="0.3">
      <c r="A43" s="69"/>
      <c r="B43" s="72"/>
      <c r="C43" s="72"/>
      <c r="D43" s="72"/>
      <c r="E43" s="1"/>
      <c r="F43" s="1"/>
      <c r="G43" s="1"/>
      <c r="H43" s="1"/>
      <c r="I43" s="1"/>
      <c r="J43" s="1"/>
      <c r="K43" s="1"/>
      <c r="L43" s="1"/>
      <c r="M43" s="1"/>
      <c r="N43" s="26"/>
      <c r="O43" s="29"/>
      <c r="P43" s="30"/>
      <c r="Q43" s="31"/>
      <c r="R43" s="1"/>
      <c r="S43" s="1"/>
      <c r="T43" s="23"/>
    </row>
    <row r="44" spans="1:20" ht="18.75" x14ac:dyDescent="0.3">
      <c r="A44" s="69"/>
      <c r="B44" s="30"/>
      <c r="C44" s="30"/>
      <c r="D44" s="30"/>
      <c r="E44" s="1"/>
      <c r="F44" s="1"/>
      <c r="G44" s="1"/>
      <c r="H44" s="1"/>
      <c r="I44" s="1"/>
      <c r="J44" s="1"/>
      <c r="K44" s="1"/>
      <c r="L44" s="1"/>
      <c r="M44" s="1"/>
      <c r="N44" s="26"/>
      <c r="O44" s="29"/>
      <c r="P44" s="30"/>
      <c r="Q44" s="31"/>
      <c r="R44" s="1"/>
      <c r="S44" s="1"/>
      <c r="T44" s="23"/>
    </row>
    <row r="45" spans="1:20" ht="18.75" x14ac:dyDescent="0.3">
      <c r="A45" s="33" t="s">
        <v>28</v>
      </c>
      <c r="B45" s="33"/>
      <c r="C45" s="33"/>
      <c r="D45" s="33"/>
      <c r="E45" s="1"/>
      <c r="F45" s="1"/>
      <c r="G45" s="1" t="str">
        <f>STOXX_Infos!B33</f>
        <v>2023-09+2023-10</v>
      </c>
      <c r="H45" s="1"/>
      <c r="I45" s="1"/>
      <c r="J45" s="1"/>
      <c r="K45" s="1"/>
      <c r="L45" s="1"/>
      <c r="M45" s="1"/>
      <c r="N45" s="26"/>
      <c r="O45" s="29"/>
      <c r="P45" s="30"/>
      <c r="Q45" s="31"/>
      <c r="R45" s="1"/>
      <c r="S45" s="1"/>
      <c r="T45" s="23"/>
    </row>
    <row r="46" spans="1:20" ht="18.75" x14ac:dyDescent="0.3">
      <c r="A46" s="34" t="s">
        <v>29</v>
      </c>
      <c r="B46" s="34"/>
      <c r="C46" s="34"/>
      <c r="D46" s="34"/>
      <c r="E46" s="1"/>
      <c r="F46" s="1"/>
      <c r="G46" s="1" t="str">
        <f>STOXX_Infos!B32</f>
        <v>2023-10</v>
      </c>
      <c r="H46" s="1"/>
      <c r="I46" s="1"/>
      <c r="J46" s="1"/>
      <c r="K46" s="1"/>
      <c r="L46" s="1"/>
      <c r="M46" s="1"/>
      <c r="N46" s="26"/>
      <c r="O46" s="29"/>
      <c r="P46" s="30"/>
      <c r="Q46" s="31"/>
      <c r="R46" s="1"/>
      <c r="S46" s="1"/>
      <c r="T46" s="23"/>
    </row>
    <row r="47" spans="1:20" ht="18.75" x14ac:dyDescent="0.3">
      <c r="A47" s="69"/>
      <c r="B47" s="30"/>
      <c r="C47" s="30"/>
      <c r="D47" s="30"/>
      <c r="E47" s="1"/>
      <c r="F47" s="1"/>
      <c r="G47" s="1"/>
      <c r="H47" s="1"/>
      <c r="I47" s="1"/>
      <c r="J47" s="1"/>
      <c r="K47" s="1"/>
      <c r="L47" s="1"/>
      <c r="M47" s="1"/>
      <c r="N47" s="26"/>
      <c r="O47" s="29"/>
      <c r="P47" s="30"/>
      <c r="Q47" s="31"/>
      <c r="R47" s="1"/>
      <c r="S47" s="1"/>
      <c r="T47" s="23"/>
    </row>
    <row r="48" spans="1:20" ht="18.75" x14ac:dyDescent="0.3">
      <c r="A48" s="69"/>
      <c r="B48" s="30"/>
      <c r="C48" s="30"/>
      <c r="D48" s="30"/>
      <c r="E48" s="1"/>
      <c r="F48" s="1"/>
      <c r="G48" s="1"/>
      <c r="H48" s="1"/>
      <c r="I48" s="1"/>
      <c r="J48" s="1"/>
      <c r="K48" s="1"/>
      <c r="L48" s="1"/>
      <c r="M48" s="1"/>
      <c r="N48" s="26"/>
      <c r="O48" s="29"/>
      <c r="P48" s="30"/>
      <c r="Q48" s="31"/>
      <c r="R48" s="1"/>
      <c r="S48" s="1"/>
      <c r="T48" s="23"/>
    </row>
    <row r="49" spans="1:19" x14ac:dyDescent="0.25">
      <c r="A49" s="24"/>
      <c r="B49" s="24"/>
      <c r="C49" s="24"/>
      <c r="D49" s="24"/>
      <c r="E49" s="24"/>
      <c r="F49" s="24"/>
      <c r="G49" s="24"/>
      <c r="H49" s="24"/>
      <c r="I49" s="1"/>
      <c r="J49" s="1"/>
      <c r="K49" s="1"/>
      <c r="L49" s="1"/>
      <c r="M49" s="1"/>
      <c r="N49" s="1"/>
      <c r="O49" s="1"/>
      <c r="P49" s="1"/>
      <c r="Q49" s="1"/>
      <c r="R49" s="1"/>
      <c r="S49" s="1"/>
    </row>
    <row r="50" spans="1:19" ht="200.25" customHeight="1" x14ac:dyDescent="0.25">
      <c r="A50" s="134" t="str">
        <f>Disclaimer!A2</f>
        <v>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v>
      </c>
      <c r="B50" s="134"/>
      <c r="C50" s="134"/>
      <c r="D50" s="134"/>
      <c r="E50" s="134"/>
      <c r="F50" s="134"/>
      <c r="G50" s="134"/>
      <c r="H50" s="134"/>
      <c r="I50" s="134"/>
      <c r="J50" s="134"/>
      <c r="K50" s="1"/>
      <c r="L50" s="1"/>
      <c r="M50" s="1"/>
      <c r="N50" s="135"/>
      <c r="O50" s="135"/>
      <c r="P50" s="135"/>
      <c r="Q50" s="135"/>
      <c r="R50" s="1"/>
      <c r="S50" s="1"/>
    </row>
    <row r="51" spans="1:19" x14ac:dyDescent="0.25">
      <c r="A51" s="129"/>
      <c r="B51" s="130"/>
      <c r="C51" s="130"/>
      <c r="D51" s="130"/>
      <c r="E51" s="130"/>
      <c r="F51" s="130"/>
      <c r="G51" s="130"/>
      <c r="H51" s="130"/>
      <c r="I51" s="130"/>
      <c r="J51" s="1"/>
      <c r="K51" s="1"/>
      <c r="L51" s="1"/>
      <c r="M51" s="1"/>
      <c r="N51" s="1"/>
      <c r="O51" s="1"/>
      <c r="P51" s="1"/>
      <c r="Q51" s="1"/>
      <c r="R51" s="1"/>
      <c r="S51" s="1"/>
    </row>
    <row r="52" spans="1:19" x14ac:dyDescent="0.25">
      <c r="A52" s="129"/>
      <c r="B52" s="130"/>
      <c r="C52" s="130"/>
      <c r="D52" s="130"/>
      <c r="E52" s="130"/>
      <c r="F52" s="130"/>
      <c r="G52" s="130"/>
      <c r="H52" s="130"/>
      <c r="I52" s="130"/>
      <c r="J52" s="1"/>
      <c r="K52" s="1"/>
      <c r="L52" s="1"/>
      <c r="M52" s="1"/>
      <c r="N52" s="1"/>
      <c r="O52" s="1"/>
      <c r="P52" s="1"/>
      <c r="Q52" s="1"/>
      <c r="R52" s="1"/>
      <c r="S52" s="1"/>
    </row>
    <row r="53" spans="1:19" x14ac:dyDescent="0.25">
      <c r="A53" s="129"/>
      <c r="B53" s="130"/>
      <c r="C53" s="130"/>
      <c r="D53" s="130"/>
      <c r="E53" s="130"/>
      <c r="F53" s="130"/>
      <c r="G53" s="130"/>
      <c r="H53" s="130"/>
      <c r="I53" s="130"/>
      <c r="J53" s="1"/>
      <c r="K53" s="1"/>
      <c r="L53" s="1"/>
      <c r="M53" s="1"/>
      <c r="N53" s="1"/>
      <c r="O53" s="1"/>
      <c r="P53" s="1"/>
      <c r="Q53" s="1"/>
      <c r="R53" s="1"/>
      <c r="S53" s="1"/>
    </row>
    <row r="54" spans="1:19" x14ac:dyDescent="0.25">
      <c r="A54" s="129"/>
      <c r="B54" s="130"/>
      <c r="C54" s="130"/>
      <c r="D54" s="130"/>
      <c r="E54" s="130"/>
      <c r="F54" s="130"/>
      <c r="G54" s="130"/>
      <c r="H54" s="130"/>
      <c r="I54" s="130"/>
      <c r="J54" s="1"/>
      <c r="K54" s="1"/>
      <c r="L54" s="1"/>
      <c r="M54" s="1"/>
      <c r="N54" s="1"/>
      <c r="O54" s="1"/>
      <c r="P54" s="1"/>
      <c r="Q54" s="1"/>
      <c r="R54" s="1"/>
      <c r="S54" s="1"/>
    </row>
    <row r="55" spans="1:19" x14ac:dyDescent="0.25">
      <c r="A55" s="24"/>
      <c r="B55" s="24"/>
      <c r="C55" s="24"/>
      <c r="D55" s="24"/>
      <c r="E55" s="24"/>
      <c r="F55" s="24"/>
      <c r="G55" s="24"/>
      <c r="H55" s="24"/>
      <c r="I55" s="1"/>
      <c r="J55" s="1"/>
      <c r="K55" s="1"/>
      <c r="L55" s="1"/>
      <c r="M55" s="1"/>
      <c r="N55" s="1"/>
      <c r="O55" s="1"/>
      <c r="P55" s="1"/>
      <c r="Q55" s="1"/>
      <c r="R55" s="1"/>
      <c r="S55" s="1"/>
    </row>
    <row r="56" spans="1:19" x14ac:dyDescent="0.25">
      <c r="A56" s="24"/>
      <c r="B56" s="24"/>
      <c r="C56" s="24"/>
      <c r="D56" s="24"/>
      <c r="E56" s="24"/>
      <c r="F56" s="24"/>
      <c r="G56" s="24"/>
      <c r="H56" s="24"/>
      <c r="I56" s="1"/>
      <c r="J56" s="1"/>
      <c r="K56" s="1"/>
      <c r="L56" s="1"/>
      <c r="M56" s="1"/>
      <c r="N56" s="1"/>
      <c r="O56" s="1"/>
      <c r="P56" s="1"/>
      <c r="Q56" s="1"/>
      <c r="R56" s="1"/>
      <c r="S56" s="1"/>
    </row>
    <row r="57" spans="1:19" x14ac:dyDescent="0.25">
      <c r="A57" s="24"/>
      <c r="B57" s="24"/>
      <c r="C57" s="24"/>
      <c r="D57" s="24"/>
      <c r="E57" s="24"/>
      <c r="F57" s="24"/>
      <c r="G57" s="24"/>
      <c r="H57" s="24"/>
      <c r="I57" s="1"/>
      <c r="J57" s="1"/>
      <c r="K57" s="1"/>
      <c r="L57" s="1"/>
      <c r="M57" s="1"/>
      <c r="N57" s="1"/>
      <c r="O57" s="1"/>
      <c r="P57" s="1"/>
      <c r="Q57" s="1"/>
      <c r="R57" s="1"/>
      <c r="S57" s="1"/>
    </row>
    <row r="58" spans="1:19" x14ac:dyDescent="0.25">
      <c r="A58" s="20"/>
      <c r="B58" s="1"/>
      <c r="C58" s="1"/>
      <c r="D58" s="1"/>
      <c r="E58" s="1"/>
      <c r="F58" s="1"/>
      <c r="G58" s="1"/>
      <c r="H58" s="1"/>
      <c r="I58" s="1"/>
      <c r="J58" s="1"/>
      <c r="K58" s="1"/>
      <c r="L58" s="1"/>
      <c r="M58" s="1"/>
      <c r="N58" s="1"/>
      <c r="O58" s="1"/>
      <c r="P58" s="1"/>
      <c r="Q58" s="1"/>
      <c r="R58" s="1"/>
      <c r="S58" s="1"/>
    </row>
    <row r="59" spans="1:19" x14ac:dyDescent="0.25">
      <c r="A59" s="20"/>
      <c r="B59" s="1"/>
      <c r="C59" s="1"/>
      <c r="D59" s="1"/>
      <c r="E59" s="1"/>
      <c r="F59" s="1"/>
      <c r="G59" s="1"/>
      <c r="H59" s="1"/>
      <c r="I59" s="1"/>
      <c r="J59" s="1"/>
      <c r="K59" s="1"/>
      <c r="L59" s="1"/>
      <c r="M59" s="1"/>
      <c r="N59" s="1"/>
      <c r="O59" s="1"/>
      <c r="P59" s="1"/>
      <c r="Q59" s="1"/>
      <c r="R59" s="1"/>
      <c r="S59" s="1"/>
    </row>
    <row r="60" spans="1:19" x14ac:dyDescent="0.25">
      <c r="A60" s="20"/>
      <c r="B60" s="1"/>
      <c r="C60" s="1"/>
      <c r="D60" s="1"/>
      <c r="E60" s="1"/>
      <c r="F60" s="1"/>
      <c r="G60" s="1"/>
      <c r="H60" s="1"/>
      <c r="I60" s="1"/>
      <c r="J60" s="1"/>
      <c r="K60" s="1"/>
      <c r="L60" s="1"/>
      <c r="M60" s="1"/>
      <c r="N60" s="1"/>
      <c r="O60" s="1"/>
      <c r="P60" s="1"/>
      <c r="Q60" s="1"/>
      <c r="R60" s="1"/>
      <c r="S60" s="1"/>
    </row>
    <row r="61" spans="1:19" x14ac:dyDescent="0.25">
      <c r="A61" s="20"/>
      <c r="B61" s="1"/>
      <c r="C61" s="1"/>
      <c r="D61" s="1"/>
      <c r="E61" s="1"/>
      <c r="F61" s="1"/>
      <c r="G61" s="1"/>
      <c r="H61" s="1"/>
      <c r="I61" s="1"/>
      <c r="J61" s="1"/>
      <c r="K61" s="1"/>
      <c r="L61" s="1"/>
      <c r="M61" s="1"/>
      <c r="N61" s="1"/>
      <c r="O61" s="1"/>
      <c r="P61" s="1"/>
      <c r="Q61" s="1"/>
      <c r="R61" s="1"/>
      <c r="S61" s="1"/>
    </row>
    <row r="62" spans="1:19" x14ac:dyDescent="0.25">
      <c r="A62" s="20"/>
      <c r="B62" s="1"/>
      <c r="C62" s="1"/>
      <c r="D62" s="1"/>
      <c r="E62" s="1"/>
      <c r="F62" s="1"/>
      <c r="G62" s="1"/>
      <c r="H62" s="1"/>
      <c r="I62" s="1"/>
      <c r="J62" s="1"/>
      <c r="K62" s="1"/>
      <c r="L62" s="1"/>
      <c r="M62" s="1"/>
      <c r="N62" s="1"/>
      <c r="O62" s="1"/>
      <c r="P62" s="1"/>
      <c r="Q62" s="1"/>
      <c r="R62" s="1"/>
      <c r="S62" s="1"/>
    </row>
    <row r="63" spans="1:19" x14ac:dyDescent="0.25">
      <c r="A63" s="20"/>
      <c r="B63" s="1"/>
      <c r="C63" s="1"/>
      <c r="D63" s="1"/>
      <c r="E63" s="1"/>
      <c r="F63" s="1"/>
      <c r="G63" s="1"/>
      <c r="H63" s="1"/>
      <c r="I63" s="1"/>
      <c r="J63" s="1"/>
      <c r="K63" s="1"/>
      <c r="L63" s="1"/>
      <c r="M63" s="1"/>
      <c r="N63" s="1"/>
      <c r="O63" s="1"/>
      <c r="P63" s="1"/>
      <c r="Q63" s="1"/>
      <c r="R63" s="1"/>
      <c r="S63" s="1"/>
    </row>
    <row r="64" spans="1:19" x14ac:dyDescent="0.25">
      <c r="A64" s="20"/>
      <c r="B64" s="1"/>
      <c r="C64" s="1"/>
      <c r="D64" s="1"/>
      <c r="E64" s="1"/>
      <c r="F64" s="1"/>
      <c r="G64" s="1"/>
      <c r="H64" s="1"/>
      <c r="I64" s="1"/>
      <c r="J64" s="1"/>
      <c r="K64" s="1"/>
      <c r="L64" s="1"/>
      <c r="M64" s="1"/>
      <c r="N64" s="1"/>
      <c r="O64" s="1"/>
      <c r="P64" s="1"/>
      <c r="Q64" s="1"/>
      <c r="R64" s="1"/>
      <c r="S64" s="1"/>
    </row>
    <row r="65" spans="1:19" x14ac:dyDescent="0.25">
      <c r="A65" s="20"/>
      <c r="B65" s="1"/>
      <c r="C65" s="1"/>
      <c r="D65" s="1"/>
      <c r="E65" s="1"/>
      <c r="F65" s="1"/>
      <c r="G65" s="1"/>
      <c r="H65" s="1"/>
      <c r="I65" s="1"/>
      <c r="J65" s="1"/>
      <c r="K65" s="1"/>
      <c r="L65" s="1"/>
      <c r="M65" s="1"/>
      <c r="N65" s="1"/>
      <c r="O65" s="1"/>
      <c r="P65" s="1"/>
      <c r="Q65" s="1"/>
      <c r="R65" s="1"/>
      <c r="S65" s="1"/>
    </row>
    <row r="66" spans="1:19" x14ac:dyDescent="0.25">
      <c r="A66" s="20"/>
      <c r="B66" s="1"/>
      <c r="C66" s="1"/>
      <c r="D66" s="1"/>
      <c r="E66" s="1"/>
      <c r="F66" s="1"/>
      <c r="G66" s="1"/>
      <c r="H66" s="1"/>
      <c r="I66" s="1"/>
      <c r="J66" s="1"/>
      <c r="K66" s="1"/>
      <c r="L66" s="1"/>
      <c r="M66" s="1"/>
      <c r="N66" s="1"/>
      <c r="O66" s="1"/>
      <c r="P66" s="1"/>
      <c r="Q66" s="1"/>
      <c r="R66" s="1"/>
      <c r="S66" s="1"/>
    </row>
    <row r="67" spans="1:19" x14ac:dyDescent="0.25">
      <c r="A67" s="20"/>
      <c r="B67" s="1"/>
      <c r="C67" s="1"/>
      <c r="D67" s="1"/>
      <c r="E67" s="1"/>
      <c r="F67" s="1"/>
      <c r="G67" s="1"/>
      <c r="H67" s="1"/>
      <c r="I67" s="1"/>
      <c r="J67" s="1"/>
      <c r="K67" s="1"/>
      <c r="L67" s="1"/>
      <c r="M67" s="1"/>
      <c r="N67" s="1"/>
      <c r="O67" s="1"/>
      <c r="P67" s="1"/>
      <c r="Q67" s="1"/>
      <c r="R67" s="1"/>
      <c r="S67" s="1"/>
    </row>
    <row r="68" spans="1:19" x14ac:dyDescent="0.25">
      <c r="A68" s="20"/>
      <c r="B68" s="1"/>
      <c r="C68" s="1"/>
      <c r="D68" s="1"/>
      <c r="E68" s="1"/>
      <c r="F68" s="1"/>
      <c r="G68" s="1"/>
      <c r="H68" s="1"/>
      <c r="I68" s="1"/>
      <c r="J68" s="1"/>
      <c r="K68" s="1"/>
      <c r="L68" s="1"/>
      <c r="M68" s="1"/>
      <c r="N68" s="1"/>
      <c r="O68" s="1"/>
      <c r="P68" s="1"/>
      <c r="Q68" s="1"/>
      <c r="R68" s="1"/>
      <c r="S68" s="1"/>
    </row>
    <row r="69" spans="1:19" x14ac:dyDescent="0.25">
      <c r="A69" s="20"/>
      <c r="B69" s="1"/>
      <c r="C69" s="1"/>
      <c r="D69" s="1"/>
      <c r="E69" s="1"/>
      <c r="F69" s="1"/>
      <c r="G69" s="1"/>
      <c r="H69" s="1"/>
      <c r="I69" s="1"/>
      <c r="J69" s="1"/>
      <c r="K69" s="1"/>
      <c r="L69" s="1"/>
      <c r="M69" s="1"/>
      <c r="N69" s="1"/>
      <c r="O69" s="1"/>
      <c r="P69" s="1"/>
      <c r="Q69" s="1"/>
      <c r="R69" s="1"/>
      <c r="S69" s="1"/>
    </row>
    <row r="70" spans="1:19" x14ac:dyDescent="0.25">
      <c r="A70" s="20"/>
      <c r="B70" s="1"/>
      <c r="C70" s="1"/>
      <c r="D70" s="1"/>
      <c r="E70" s="1"/>
      <c r="F70" s="1"/>
      <c r="G70" s="1"/>
      <c r="H70" s="1"/>
      <c r="I70" s="1"/>
      <c r="J70" s="1"/>
      <c r="K70" s="1"/>
      <c r="L70" s="1"/>
      <c r="M70" s="1"/>
      <c r="N70" s="1"/>
      <c r="O70" s="1"/>
      <c r="P70" s="1"/>
      <c r="Q70" s="1"/>
      <c r="R70" s="1"/>
      <c r="S70" s="1"/>
    </row>
    <row r="71" spans="1:19" x14ac:dyDescent="0.25">
      <c r="A71" s="20"/>
      <c r="B71" s="1"/>
      <c r="C71" s="1"/>
      <c r="D71" s="1"/>
      <c r="E71" s="1"/>
      <c r="F71" s="1"/>
      <c r="G71" s="1"/>
      <c r="H71" s="1"/>
      <c r="I71" s="1"/>
      <c r="J71" s="1"/>
      <c r="K71" s="1"/>
      <c r="L71" s="1"/>
      <c r="M71" s="1"/>
      <c r="N71" s="1"/>
      <c r="O71" s="1"/>
      <c r="P71" s="1"/>
      <c r="Q71" s="1"/>
      <c r="R71" s="1"/>
      <c r="S71" s="1"/>
    </row>
    <row r="72" spans="1:19" x14ac:dyDescent="0.25">
      <c r="A72" s="20"/>
      <c r="B72" s="1"/>
      <c r="C72" s="1"/>
      <c r="D72" s="1"/>
      <c r="E72" s="1"/>
      <c r="F72" s="1"/>
      <c r="G72" s="1"/>
      <c r="H72" s="1"/>
      <c r="I72" s="1"/>
      <c r="J72" s="1"/>
      <c r="K72" s="1"/>
      <c r="L72" s="1"/>
      <c r="M72" s="1"/>
      <c r="N72" s="1"/>
      <c r="O72" s="1"/>
      <c r="P72" s="1"/>
      <c r="Q72" s="1"/>
      <c r="R72" s="1"/>
      <c r="S72" s="1"/>
    </row>
    <row r="73" spans="1:19" x14ac:dyDescent="0.25">
      <c r="A73" s="20"/>
      <c r="B73" s="1"/>
      <c r="C73" s="1"/>
      <c r="D73" s="1"/>
      <c r="E73" s="1"/>
      <c r="F73" s="1"/>
      <c r="G73" s="1"/>
      <c r="H73" s="1"/>
      <c r="I73" s="1"/>
      <c r="J73" s="1"/>
      <c r="K73" s="1"/>
      <c r="L73" s="1"/>
      <c r="M73" s="1"/>
      <c r="N73" s="1"/>
      <c r="O73" s="1"/>
      <c r="P73" s="1"/>
      <c r="Q73" s="1"/>
      <c r="R73" s="1"/>
      <c r="S73" s="1"/>
    </row>
    <row r="74" spans="1:19" x14ac:dyDescent="0.25">
      <c r="A74" s="20"/>
      <c r="B74" s="1"/>
      <c r="C74" s="1"/>
      <c r="D74" s="1"/>
      <c r="E74" s="1"/>
      <c r="F74" s="1"/>
      <c r="G74" s="1"/>
      <c r="H74" s="1"/>
      <c r="I74" s="1"/>
      <c r="J74" s="1"/>
      <c r="K74" s="1"/>
      <c r="L74" s="1"/>
      <c r="M74" s="1"/>
      <c r="N74" s="1"/>
      <c r="O74" s="1"/>
      <c r="P74" s="1"/>
      <c r="Q74" s="1"/>
      <c r="R74" s="1"/>
      <c r="S74" s="1"/>
    </row>
    <row r="75" spans="1:19" x14ac:dyDescent="0.25">
      <c r="A75" s="20"/>
      <c r="B75" s="1"/>
      <c r="C75" s="1"/>
      <c r="D75" s="1"/>
      <c r="E75" s="1"/>
      <c r="F75" s="1"/>
      <c r="G75" s="1"/>
      <c r="H75" s="1"/>
      <c r="I75" s="1"/>
      <c r="J75" s="1"/>
      <c r="K75" s="1"/>
      <c r="L75" s="1"/>
      <c r="M75" s="1"/>
      <c r="N75" s="1"/>
      <c r="O75" s="1"/>
      <c r="P75" s="1"/>
      <c r="Q75" s="1"/>
      <c r="R75" s="1"/>
      <c r="S75" s="1"/>
    </row>
    <row r="76" spans="1:19" x14ac:dyDescent="0.25">
      <c r="A76" s="20"/>
      <c r="B76" s="1"/>
      <c r="C76" s="1"/>
      <c r="D76" s="1"/>
      <c r="E76" s="1"/>
      <c r="F76" s="1"/>
      <c r="G76" s="1"/>
      <c r="H76" s="1"/>
      <c r="I76" s="1"/>
      <c r="J76" s="1"/>
      <c r="K76" s="1"/>
      <c r="L76" s="1"/>
      <c r="M76" s="1"/>
      <c r="N76" s="1"/>
      <c r="O76" s="1"/>
      <c r="P76" s="1"/>
      <c r="Q76" s="1"/>
      <c r="R76" s="1"/>
      <c r="S76" s="1"/>
    </row>
    <row r="77" spans="1:19" x14ac:dyDescent="0.25">
      <c r="A77" s="20"/>
      <c r="B77" s="1"/>
      <c r="C77" s="1"/>
      <c r="D77" s="1"/>
      <c r="E77" s="1"/>
      <c r="F77" s="1"/>
      <c r="G77" s="1"/>
      <c r="H77" s="1"/>
      <c r="I77" s="1"/>
      <c r="J77" s="1"/>
      <c r="K77" s="1"/>
      <c r="L77" s="1"/>
      <c r="M77" s="1"/>
      <c r="N77" s="1"/>
      <c r="O77" s="1"/>
      <c r="P77" s="1"/>
      <c r="Q77" s="1"/>
      <c r="R77" s="1"/>
      <c r="S77" s="1"/>
    </row>
    <row r="78" spans="1:19" x14ac:dyDescent="0.25">
      <c r="A78" s="20"/>
      <c r="B78" s="1"/>
      <c r="C78" s="1"/>
      <c r="D78" s="1"/>
      <c r="E78" s="1"/>
      <c r="F78" s="1"/>
      <c r="G78" s="1"/>
      <c r="H78" s="1"/>
      <c r="I78" s="1"/>
      <c r="J78" s="1"/>
      <c r="K78" s="1"/>
      <c r="L78" s="1"/>
      <c r="M78" s="1"/>
      <c r="N78" s="1"/>
      <c r="O78" s="1"/>
      <c r="P78" s="1"/>
      <c r="Q78" s="1"/>
      <c r="R78" s="1"/>
      <c r="S78" s="1"/>
    </row>
    <row r="79" spans="1:19" x14ac:dyDescent="0.25">
      <c r="A79" s="20"/>
      <c r="B79" s="1"/>
      <c r="C79" s="1"/>
      <c r="D79" s="1"/>
      <c r="E79" s="1"/>
      <c r="F79" s="1"/>
      <c r="G79" s="1"/>
      <c r="H79" s="1"/>
      <c r="I79" s="1"/>
      <c r="J79" s="1"/>
      <c r="K79" s="1"/>
      <c r="L79" s="1"/>
      <c r="M79" s="1"/>
      <c r="N79" s="1"/>
      <c r="O79" s="1"/>
      <c r="P79" s="1"/>
      <c r="Q79" s="1"/>
      <c r="R79" s="1"/>
      <c r="S79" s="1"/>
    </row>
    <row r="80" spans="1:19" x14ac:dyDescent="0.25">
      <c r="A80" s="20"/>
      <c r="B80" s="1"/>
      <c r="C80" s="1"/>
      <c r="D80" s="1"/>
      <c r="E80" s="1"/>
      <c r="F80" s="1"/>
      <c r="G80" s="1"/>
      <c r="H80" s="1"/>
      <c r="I80" s="1"/>
      <c r="J80" s="1"/>
      <c r="K80" s="1"/>
      <c r="L80" s="1"/>
      <c r="M80" s="1"/>
      <c r="N80" s="1"/>
      <c r="O80" s="1"/>
      <c r="P80" s="1"/>
      <c r="Q80" s="1"/>
      <c r="R80" s="1"/>
      <c r="S80" s="1"/>
    </row>
    <row r="81" spans="1:19" x14ac:dyDescent="0.25">
      <c r="A81" s="20"/>
      <c r="B81" s="1"/>
      <c r="C81" s="1"/>
      <c r="D81" s="1"/>
      <c r="E81" s="1"/>
      <c r="F81" s="1"/>
      <c r="G81" s="1"/>
      <c r="H81" s="1"/>
      <c r="I81" s="1"/>
      <c r="J81" s="1"/>
      <c r="K81" s="1"/>
      <c r="L81" s="1"/>
      <c r="M81" s="1"/>
      <c r="N81" s="1"/>
      <c r="O81" s="1"/>
      <c r="P81" s="1"/>
      <c r="Q81" s="1"/>
      <c r="R81" s="1"/>
      <c r="S81" s="1"/>
    </row>
    <row r="82" spans="1:19" x14ac:dyDescent="0.25">
      <c r="A82" s="20"/>
      <c r="B82" s="1"/>
      <c r="C82" s="1"/>
      <c r="D82" s="1"/>
      <c r="E82" s="1"/>
      <c r="F82" s="1"/>
      <c r="G82" s="1"/>
      <c r="H82" s="1"/>
      <c r="I82" s="1"/>
      <c r="J82" s="1"/>
      <c r="K82" s="1"/>
      <c r="L82" s="1"/>
      <c r="M82" s="1"/>
      <c r="N82" s="1"/>
      <c r="O82" s="1"/>
      <c r="P82" s="1"/>
      <c r="Q82" s="1"/>
      <c r="R82" s="1"/>
      <c r="S82" s="1"/>
    </row>
    <row r="83" spans="1:19" x14ac:dyDescent="0.25">
      <c r="A83" s="20"/>
      <c r="B83" s="1"/>
      <c r="C83" s="1"/>
      <c r="D83" s="1"/>
      <c r="E83" s="1"/>
      <c r="F83" s="1"/>
      <c r="G83" s="1"/>
      <c r="H83" s="1"/>
      <c r="I83" s="1"/>
      <c r="J83" s="1"/>
      <c r="K83" s="1"/>
      <c r="L83" s="1"/>
      <c r="M83" s="1"/>
      <c r="N83" s="1"/>
      <c r="O83" s="1"/>
      <c r="P83" s="1"/>
      <c r="Q83" s="1"/>
      <c r="R83" s="1"/>
      <c r="S83" s="1"/>
    </row>
    <row r="84" spans="1:19" x14ac:dyDescent="0.25">
      <c r="A84" s="20"/>
      <c r="B84" s="1"/>
      <c r="C84" s="1"/>
      <c r="D84" s="1"/>
      <c r="E84" s="1"/>
      <c r="F84" s="1"/>
      <c r="G84" s="1"/>
      <c r="H84" s="1"/>
      <c r="I84" s="1"/>
      <c r="J84" s="1"/>
      <c r="K84" s="1"/>
      <c r="L84" s="1"/>
      <c r="M84" s="1"/>
      <c r="N84" s="1"/>
      <c r="O84" s="1"/>
      <c r="P84" s="1"/>
      <c r="Q84" s="1"/>
      <c r="R84" s="1"/>
      <c r="S84" s="1"/>
    </row>
    <row r="85" spans="1:19" x14ac:dyDescent="0.25">
      <c r="A85" s="20"/>
      <c r="B85" s="1"/>
      <c r="C85" s="1"/>
      <c r="D85" s="1"/>
      <c r="E85" s="1"/>
      <c r="F85" s="1"/>
      <c r="G85" s="1"/>
      <c r="H85" s="1"/>
      <c r="I85" s="1"/>
      <c r="J85" s="1"/>
      <c r="K85" s="1"/>
      <c r="L85" s="1"/>
      <c r="M85" s="1"/>
      <c r="N85" s="1"/>
      <c r="O85" s="1"/>
      <c r="P85" s="1"/>
      <c r="Q85" s="1"/>
      <c r="R85" s="1"/>
      <c r="S85" s="1"/>
    </row>
    <row r="86" spans="1:19" x14ac:dyDescent="0.25">
      <c r="A86" s="20"/>
      <c r="B86" s="1"/>
      <c r="C86" s="1"/>
      <c r="D86" s="1"/>
      <c r="E86" s="1"/>
      <c r="F86" s="1"/>
      <c r="G86" s="1"/>
      <c r="H86" s="1"/>
      <c r="I86" s="1"/>
      <c r="J86" s="1"/>
      <c r="K86" s="1"/>
      <c r="L86" s="1"/>
      <c r="M86" s="1"/>
      <c r="N86" s="1"/>
      <c r="O86" s="1"/>
      <c r="P86" s="1"/>
      <c r="Q86" s="1"/>
      <c r="R86" s="1"/>
      <c r="S86" s="1"/>
    </row>
    <row r="87" spans="1:19" x14ac:dyDescent="0.25">
      <c r="A87" s="20"/>
      <c r="B87" s="1"/>
      <c r="C87" s="1"/>
      <c r="D87" s="1"/>
      <c r="E87" s="1"/>
      <c r="F87" s="1"/>
      <c r="G87" s="1"/>
      <c r="H87" s="1"/>
      <c r="I87" s="1"/>
      <c r="J87" s="1"/>
      <c r="K87" s="1"/>
      <c r="L87" s="1"/>
      <c r="M87" s="1"/>
      <c r="N87" s="1"/>
      <c r="O87" s="1"/>
      <c r="P87" s="1"/>
      <c r="Q87" s="1"/>
      <c r="R87" s="1"/>
      <c r="S87" s="1"/>
    </row>
    <row r="88" spans="1:19" x14ac:dyDescent="0.25">
      <c r="A88" s="20"/>
      <c r="B88" s="1"/>
      <c r="C88" s="1"/>
      <c r="D88" s="1"/>
      <c r="E88" s="1"/>
      <c r="F88" s="1"/>
      <c r="G88" s="1"/>
      <c r="H88" s="1"/>
      <c r="I88" s="1"/>
      <c r="J88" s="1"/>
      <c r="K88" s="1"/>
      <c r="L88" s="1"/>
      <c r="M88" s="1"/>
      <c r="N88" s="1"/>
      <c r="O88" s="1"/>
      <c r="P88" s="1"/>
      <c r="Q88" s="1"/>
      <c r="R88" s="1"/>
      <c r="S88" s="1"/>
    </row>
    <row r="89" spans="1:19" x14ac:dyDescent="0.25">
      <c r="A89" s="20"/>
      <c r="B89" s="1"/>
      <c r="C89" s="1"/>
      <c r="D89" s="1"/>
      <c r="E89" s="1"/>
      <c r="F89" s="1"/>
      <c r="G89" s="1"/>
      <c r="H89" s="1"/>
      <c r="I89" s="1"/>
      <c r="J89" s="1"/>
      <c r="K89" s="1"/>
      <c r="L89" s="1"/>
      <c r="M89" s="1"/>
      <c r="N89" s="1"/>
      <c r="O89" s="1"/>
      <c r="P89" s="1"/>
      <c r="Q89" s="1"/>
      <c r="R89" s="1"/>
      <c r="S89" s="1"/>
    </row>
    <row r="90" spans="1:19" x14ac:dyDescent="0.25">
      <c r="A90" s="20"/>
      <c r="B90" s="1"/>
      <c r="C90" s="1"/>
      <c r="D90" s="1"/>
      <c r="E90" s="1"/>
      <c r="F90" s="1"/>
      <c r="G90" s="1"/>
      <c r="H90" s="1"/>
      <c r="I90" s="1"/>
      <c r="J90" s="1"/>
      <c r="K90" s="1"/>
      <c r="L90" s="1"/>
      <c r="M90" s="1"/>
      <c r="N90" s="1"/>
      <c r="O90" s="1"/>
      <c r="P90" s="1"/>
      <c r="Q90" s="1"/>
      <c r="R90" s="1"/>
      <c r="S90" s="1"/>
    </row>
    <row r="91" spans="1:19" x14ac:dyDescent="0.25">
      <c r="A91" s="20"/>
      <c r="B91" s="1"/>
      <c r="C91" s="1"/>
      <c r="D91" s="1"/>
      <c r="E91" s="1"/>
      <c r="F91" s="1"/>
      <c r="G91" s="1"/>
      <c r="H91" s="1"/>
      <c r="I91" s="1"/>
      <c r="J91" s="1"/>
      <c r="K91" s="1"/>
      <c r="L91" s="1"/>
      <c r="M91" s="1"/>
      <c r="N91" s="1"/>
      <c r="O91" s="1"/>
      <c r="P91" s="1"/>
      <c r="Q91" s="1"/>
      <c r="R91" s="1"/>
      <c r="S91" s="1"/>
    </row>
    <row r="92" spans="1:19" x14ac:dyDescent="0.25">
      <c r="A92" s="20"/>
      <c r="B92" s="1"/>
      <c r="C92" s="1"/>
      <c r="D92" s="1"/>
      <c r="E92" s="1"/>
      <c r="F92" s="1"/>
      <c r="G92" s="1"/>
      <c r="H92" s="1"/>
      <c r="I92" s="1"/>
      <c r="J92" s="1"/>
      <c r="K92" s="1"/>
      <c r="L92" s="1"/>
      <c r="M92" s="1"/>
      <c r="N92" s="1"/>
      <c r="O92" s="1"/>
      <c r="P92" s="1"/>
      <c r="Q92" s="1"/>
      <c r="R92" s="1"/>
      <c r="S92" s="1"/>
    </row>
    <row r="93" spans="1:19" x14ac:dyDescent="0.25">
      <c r="A93" s="20"/>
      <c r="B93" s="1"/>
      <c r="C93" s="1"/>
      <c r="D93" s="1"/>
      <c r="E93" s="1"/>
      <c r="F93" s="1"/>
      <c r="G93" s="1"/>
      <c r="H93" s="1"/>
      <c r="I93" s="1"/>
      <c r="J93" s="1"/>
      <c r="K93" s="1"/>
      <c r="L93" s="1"/>
      <c r="M93" s="1"/>
      <c r="N93" s="1"/>
      <c r="O93" s="1"/>
      <c r="P93" s="1"/>
      <c r="Q93" s="1"/>
      <c r="R93" s="1"/>
      <c r="S93" s="1"/>
    </row>
    <row r="94" spans="1:19" x14ac:dyDescent="0.25">
      <c r="A94" s="20"/>
      <c r="B94" s="1"/>
      <c r="C94" s="1"/>
      <c r="D94" s="1"/>
      <c r="E94" s="1"/>
      <c r="F94" s="1"/>
      <c r="G94" s="1"/>
      <c r="H94" s="1"/>
      <c r="I94" s="1"/>
      <c r="J94" s="1"/>
      <c r="K94" s="1"/>
      <c r="L94" s="1"/>
      <c r="M94" s="1"/>
      <c r="N94" s="1"/>
      <c r="O94" s="1"/>
      <c r="P94" s="1"/>
      <c r="Q94" s="1"/>
      <c r="R94" s="1"/>
      <c r="S94" s="1"/>
    </row>
    <row r="95" spans="1:19" x14ac:dyDescent="0.25">
      <c r="A95" s="20"/>
      <c r="B95" s="1"/>
      <c r="C95" s="1"/>
      <c r="D95" s="1"/>
      <c r="E95" s="1"/>
      <c r="F95" s="1"/>
      <c r="G95" s="1"/>
      <c r="H95" s="1"/>
      <c r="I95" s="1"/>
      <c r="J95" s="1"/>
      <c r="K95" s="1"/>
      <c r="L95" s="1"/>
      <c r="M95" s="1"/>
      <c r="N95" s="1"/>
      <c r="O95" s="1"/>
      <c r="P95" s="1"/>
      <c r="Q95" s="1"/>
      <c r="R95" s="1"/>
      <c r="S95" s="1"/>
    </row>
    <row r="96" spans="1:19" x14ac:dyDescent="0.25">
      <c r="A96" s="20"/>
      <c r="B96" s="1"/>
      <c r="C96" s="1"/>
      <c r="D96" s="1"/>
      <c r="E96" s="1"/>
      <c r="F96" s="1"/>
      <c r="G96" s="1"/>
      <c r="H96" s="1"/>
      <c r="I96" s="1"/>
      <c r="J96" s="1"/>
      <c r="K96" s="1"/>
      <c r="L96" s="1"/>
      <c r="M96" s="1"/>
      <c r="N96" s="1"/>
      <c r="O96" s="1"/>
      <c r="P96" s="1"/>
      <c r="Q96" s="1"/>
      <c r="R96" s="1"/>
      <c r="S96" s="1"/>
    </row>
    <row r="97" spans="1:19" x14ac:dyDescent="0.25">
      <c r="A97" s="20"/>
      <c r="B97" s="1"/>
      <c r="C97" s="1"/>
      <c r="D97" s="1"/>
      <c r="E97" s="1"/>
      <c r="F97" s="1"/>
      <c r="G97" s="1"/>
      <c r="H97" s="1"/>
      <c r="I97" s="1"/>
      <c r="J97" s="1"/>
      <c r="K97" s="1"/>
      <c r="L97" s="1"/>
      <c r="M97" s="1"/>
      <c r="N97" s="1"/>
      <c r="O97" s="1"/>
      <c r="P97" s="1"/>
      <c r="Q97" s="1"/>
      <c r="R97" s="1"/>
      <c r="S97" s="1"/>
    </row>
    <row r="98" spans="1:19" x14ac:dyDescent="0.25">
      <c r="A98" s="20"/>
      <c r="B98" s="1"/>
      <c r="C98" s="1"/>
      <c r="D98" s="1"/>
      <c r="E98" s="1"/>
      <c r="F98" s="1"/>
      <c r="G98" s="1"/>
      <c r="H98" s="1"/>
      <c r="I98" s="1"/>
      <c r="J98" s="1"/>
      <c r="K98" s="1"/>
      <c r="L98" s="1"/>
      <c r="M98" s="1"/>
      <c r="N98" s="1"/>
      <c r="O98" s="1"/>
      <c r="P98" s="1"/>
      <c r="Q98" s="1"/>
      <c r="R98" s="1"/>
      <c r="S98" s="1"/>
    </row>
    <row r="99" spans="1:19" x14ac:dyDescent="0.25">
      <c r="A99" s="20"/>
      <c r="B99" s="1"/>
      <c r="C99" s="1"/>
      <c r="D99" s="1"/>
      <c r="E99" s="1"/>
      <c r="F99" s="1"/>
      <c r="G99" s="1"/>
      <c r="H99" s="1"/>
      <c r="I99" s="1"/>
      <c r="J99" s="1"/>
      <c r="K99" s="1"/>
      <c r="L99" s="1"/>
      <c r="M99" s="1"/>
      <c r="N99" s="1"/>
      <c r="O99" s="1"/>
      <c r="P99" s="1"/>
      <c r="Q99" s="1"/>
      <c r="R99" s="1"/>
      <c r="S99" s="1"/>
    </row>
    <row r="100" spans="1:19" x14ac:dyDescent="0.25">
      <c r="A100" s="20"/>
      <c r="B100" s="1"/>
      <c r="C100" s="1"/>
      <c r="D100" s="1"/>
      <c r="E100" s="1"/>
      <c r="F100" s="1"/>
      <c r="G100" s="1"/>
      <c r="H100" s="1"/>
      <c r="I100" s="1"/>
      <c r="J100" s="1"/>
      <c r="K100" s="1"/>
      <c r="L100" s="1"/>
      <c r="M100" s="1"/>
      <c r="N100" s="1"/>
      <c r="O100" s="1"/>
      <c r="P100" s="1"/>
      <c r="Q100" s="1"/>
      <c r="R100" s="1"/>
      <c r="S100" s="1"/>
    </row>
    <row r="101" spans="1:19" x14ac:dyDescent="0.25">
      <c r="A101" s="20"/>
      <c r="B101" s="1"/>
      <c r="C101" s="1"/>
      <c r="D101" s="1"/>
      <c r="E101" s="1"/>
      <c r="F101" s="1"/>
      <c r="G101" s="1"/>
      <c r="H101" s="1"/>
      <c r="I101" s="1"/>
      <c r="J101" s="1"/>
      <c r="K101" s="1"/>
      <c r="L101" s="1"/>
      <c r="M101" s="1"/>
      <c r="N101" s="1"/>
      <c r="O101" s="1"/>
      <c r="P101" s="1"/>
      <c r="Q101" s="1"/>
      <c r="R101" s="1"/>
      <c r="S101" s="1"/>
    </row>
    <row r="102" spans="1:19" x14ac:dyDescent="0.25">
      <c r="A102" s="20"/>
      <c r="B102" s="1"/>
      <c r="C102" s="1"/>
      <c r="D102" s="1"/>
      <c r="E102" s="1"/>
      <c r="F102" s="1"/>
      <c r="G102" s="1"/>
      <c r="H102" s="1"/>
      <c r="I102" s="1"/>
      <c r="J102" s="1"/>
      <c r="K102" s="1"/>
      <c r="L102" s="1"/>
      <c r="M102" s="1"/>
      <c r="N102" s="1"/>
      <c r="O102" s="1"/>
      <c r="P102" s="1"/>
      <c r="Q102" s="1"/>
      <c r="R102" s="1"/>
      <c r="S102" s="1"/>
    </row>
    <row r="103" spans="1:19" x14ac:dyDescent="0.25">
      <c r="A103" s="20"/>
      <c r="B103" s="1"/>
      <c r="C103" s="1"/>
      <c r="D103" s="1"/>
      <c r="E103" s="1"/>
      <c r="F103" s="1"/>
      <c r="G103" s="1"/>
      <c r="H103" s="1"/>
      <c r="I103" s="1"/>
      <c r="J103" s="1"/>
      <c r="K103" s="1"/>
      <c r="L103" s="1"/>
      <c r="M103" s="1"/>
      <c r="N103" s="1"/>
      <c r="O103" s="1"/>
      <c r="P103" s="1"/>
      <c r="Q103" s="1"/>
      <c r="R103" s="1"/>
      <c r="S103" s="1"/>
    </row>
    <row r="104" spans="1:19" x14ac:dyDescent="0.25">
      <c r="A104" s="20"/>
      <c r="B104" s="1"/>
      <c r="C104" s="1"/>
      <c r="D104" s="1"/>
      <c r="E104" s="1"/>
      <c r="F104" s="1"/>
      <c r="G104" s="1"/>
      <c r="H104" s="1"/>
      <c r="I104" s="1"/>
      <c r="J104" s="1"/>
      <c r="K104" s="1"/>
      <c r="L104" s="1"/>
      <c r="M104" s="1"/>
      <c r="N104" s="1"/>
      <c r="O104" s="1"/>
      <c r="P104" s="1"/>
      <c r="Q104" s="1"/>
      <c r="R104" s="1"/>
      <c r="S104" s="1"/>
    </row>
    <row r="105" spans="1:19" x14ac:dyDescent="0.25">
      <c r="A105" s="20"/>
      <c r="B105" s="1"/>
      <c r="C105" s="1"/>
      <c r="D105" s="1"/>
      <c r="E105" s="1"/>
      <c r="F105" s="1"/>
      <c r="G105" s="1"/>
      <c r="H105" s="1"/>
      <c r="I105" s="1"/>
      <c r="J105" s="1"/>
      <c r="K105" s="1"/>
      <c r="L105" s="1"/>
      <c r="M105" s="1"/>
      <c r="N105" s="1"/>
      <c r="O105" s="1"/>
      <c r="P105" s="1"/>
      <c r="Q105" s="1"/>
      <c r="R105" s="1"/>
      <c r="S105" s="1"/>
    </row>
    <row r="106" spans="1:19" x14ac:dyDescent="0.25">
      <c r="A106" s="20"/>
      <c r="B106" s="1"/>
      <c r="C106" s="1"/>
      <c r="D106" s="1"/>
      <c r="E106" s="1"/>
      <c r="F106" s="1"/>
      <c r="G106" s="1"/>
      <c r="H106" s="1"/>
      <c r="I106" s="1"/>
      <c r="J106" s="1"/>
      <c r="K106" s="1"/>
      <c r="L106" s="1"/>
      <c r="M106" s="1"/>
      <c r="N106" s="1"/>
      <c r="O106" s="1"/>
      <c r="P106" s="1"/>
      <c r="Q106" s="1"/>
      <c r="R106" s="1"/>
      <c r="S106" s="1"/>
    </row>
    <row r="107" spans="1:19" x14ac:dyDescent="0.25">
      <c r="A107" s="20"/>
      <c r="B107" s="1"/>
      <c r="C107" s="1"/>
      <c r="D107" s="1"/>
      <c r="E107" s="1"/>
      <c r="F107" s="1"/>
      <c r="G107" s="1"/>
      <c r="H107" s="1"/>
      <c r="I107" s="1"/>
      <c r="J107" s="1"/>
      <c r="K107" s="1"/>
      <c r="L107" s="1"/>
      <c r="M107" s="1"/>
      <c r="N107" s="1"/>
      <c r="O107" s="1"/>
      <c r="P107" s="1"/>
      <c r="Q107" s="1"/>
      <c r="R107" s="1"/>
      <c r="S107" s="1"/>
    </row>
    <row r="108" spans="1:19" x14ac:dyDescent="0.25">
      <c r="A108" s="20"/>
      <c r="B108" s="1"/>
      <c r="C108" s="1"/>
      <c r="D108" s="1"/>
      <c r="E108" s="1"/>
      <c r="F108" s="1"/>
      <c r="G108" s="1"/>
      <c r="H108" s="1"/>
      <c r="I108" s="1"/>
      <c r="J108" s="1"/>
      <c r="K108" s="1"/>
      <c r="L108" s="1"/>
      <c r="M108" s="1"/>
      <c r="N108" s="1"/>
      <c r="O108" s="1"/>
      <c r="P108" s="1"/>
      <c r="Q108" s="1"/>
      <c r="R108" s="1"/>
      <c r="S108" s="1"/>
    </row>
    <row r="109" spans="1:19" x14ac:dyDescent="0.25">
      <c r="A109" s="20"/>
      <c r="B109" s="1"/>
      <c r="C109" s="1"/>
      <c r="D109" s="1"/>
      <c r="E109" s="1"/>
      <c r="F109" s="1"/>
      <c r="G109" s="1"/>
      <c r="H109" s="1"/>
      <c r="I109" s="1"/>
      <c r="J109" s="1"/>
      <c r="K109" s="1"/>
      <c r="L109" s="1"/>
      <c r="M109" s="1"/>
      <c r="N109" s="1"/>
      <c r="O109" s="1"/>
      <c r="P109" s="1"/>
      <c r="Q109" s="1"/>
      <c r="R109" s="1"/>
      <c r="S109" s="1"/>
    </row>
    <row r="110" spans="1:19" x14ac:dyDescent="0.25">
      <c r="A110" s="20"/>
      <c r="B110" s="1"/>
      <c r="C110" s="1"/>
      <c r="D110" s="1"/>
      <c r="E110" s="1"/>
      <c r="F110" s="1"/>
      <c r="G110" s="1"/>
      <c r="H110" s="1"/>
      <c r="I110" s="1"/>
      <c r="J110" s="1"/>
      <c r="K110" s="1"/>
      <c r="L110" s="1"/>
      <c r="M110" s="1"/>
      <c r="N110" s="1"/>
      <c r="O110" s="1"/>
      <c r="P110" s="1"/>
      <c r="Q110" s="1"/>
      <c r="R110" s="1"/>
      <c r="S110" s="1"/>
    </row>
    <row r="111" spans="1:19" x14ac:dyDescent="0.25">
      <c r="A111" s="20"/>
      <c r="B111" s="1"/>
      <c r="C111" s="1"/>
      <c r="D111" s="1"/>
      <c r="E111" s="1"/>
      <c r="F111" s="1"/>
      <c r="G111" s="1"/>
      <c r="H111" s="1"/>
      <c r="I111" s="1"/>
      <c r="J111" s="1"/>
      <c r="K111" s="1"/>
      <c r="L111" s="1"/>
      <c r="M111" s="1"/>
      <c r="N111" s="1"/>
      <c r="O111" s="1"/>
      <c r="P111" s="1"/>
      <c r="Q111" s="1"/>
      <c r="R111" s="1"/>
      <c r="S111" s="1"/>
    </row>
    <row r="112" spans="1:19" x14ac:dyDescent="0.25">
      <c r="A112" s="20"/>
      <c r="B112" s="1"/>
      <c r="C112" s="1"/>
      <c r="D112" s="1"/>
      <c r="E112" s="1"/>
      <c r="F112" s="1"/>
      <c r="G112" s="1"/>
      <c r="H112" s="1"/>
      <c r="I112" s="1"/>
      <c r="J112" s="1"/>
      <c r="K112" s="1"/>
      <c r="L112" s="1"/>
      <c r="M112" s="1"/>
      <c r="N112" s="1"/>
      <c r="O112" s="1"/>
      <c r="P112" s="1"/>
      <c r="Q112" s="1"/>
      <c r="R112" s="1"/>
      <c r="S112" s="1"/>
    </row>
    <row r="113" spans="1:19" x14ac:dyDescent="0.25">
      <c r="A113" s="20"/>
      <c r="B113" s="1"/>
      <c r="C113" s="1"/>
      <c r="D113" s="1"/>
      <c r="E113" s="1"/>
      <c r="F113" s="1"/>
      <c r="G113" s="1"/>
      <c r="H113" s="1"/>
      <c r="I113" s="1"/>
      <c r="J113" s="1"/>
      <c r="K113" s="1"/>
      <c r="L113" s="1"/>
      <c r="M113" s="1"/>
      <c r="N113" s="1"/>
      <c r="O113" s="1"/>
      <c r="P113" s="1"/>
      <c r="Q113" s="1"/>
      <c r="R113" s="1"/>
      <c r="S113" s="1"/>
    </row>
    <row r="114" spans="1:19" x14ac:dyDescent="0.25">
      <c r="A114" s="20"/>
      <c r="B114" s="1"/>
      <c r="C114" s="1"/>
      <c r="D114" s="1"/>
      <c r="E114" s="1"/>
      <c r="F114" s="1"/>
      <c r="G114" s="1"/>
      <c r="H114" s="1"/>
      <c r="I114" s="1"/>
      <c r="J114" s="1"/>
      <c r="K114" s="1"/>
      <c r="L114" s="1"/>
      <c r="M114" s="1"/>
      <c r="N114" s="1"/>
      <c r="O114" s="1"/>
      <c r="P114" s="1"/>
      <c r="Q114" s="1"/>
      <c r="R114" s="1"/>
      <c r="S114" s="1"/>
    </row>
    <row r="115" spans="1:19" x14ac:dyDescent="0.25">
      <c r="A115" s="20"/>
      <c r="B115" s="1"/>
      <c r="C115" s="1"/>
      <c r="D115" s="1"/>
      <c r="E115" s="1"/>
      <c r="F115" s="1"/>
      <c r="G115" s="1"/>
      <c r="H115" s="1"/>
      <c r="I115" s="1"/>
      <c r="J115" s="1"/>
      <c r="K115" s="1"/>
      <c r="L115" s="1"/>
      <c r="M115" s="1"/>
      <c r="N115" s="1"/>
      <c r="O115" s="1"/>
      <c r="P115" s="1"/>
      <c r="Q115" s="1"/>
      <c r="R115" s="1"/>
      <c r="S115" s="1"/>
    </row>
    <row r="116" spans="1:19" x14ac:dyDescent="0.25">
      <c r="A116" s="20"/>
      <c r="B116" s="1"/>
      <c r="C116" s="1"/>
      <c r="D116" s="1"/>
      <c r="E116" s="1"/>
      <c r="F116" s="1"/>
      <c r="G116" s="1"/>
      <c r="H116" s="1"/>
      <c r="I116" s="1"/>
      <c r="J116" s="1"/>
      <c r="K116" s="1"/>
      <c r="L116" s="1"/>
      <c r="M116" s="1"/>
      <c r="N116" s="1"/>
      <c r="O116" s="1"/>
      <c r="P116" s="1"/>
      <c r="Q116" s="1"/>
      <c r="R116" s="1"/>
      <c r="S116" s="1"/>
    </row>
    <row r="117" spans="1:19" x14ac:dyDescent="0.25">
      <c r="A117" s="20"/>
      <c r="B117" s="1"/>
      <c r="C117" s="1"/>
      <c r="D117" s="1"/>
      <c r="E117" s="1"/>
      <c r="F117" s="1"/>
      <c r="G117" s="1"/>
      <c r="H117" s="1"/>
      <c r="I117" s="1"/>
      <c r="J117" s="1"/>
      <c r="K117" s="1"/>
      <c r="L117" s="1"/>
      <c r="M117" s="1"/>
      <c r="N117" s="1"/>
      <c r="O117" s="1"/>
      <c r="P117" s="1"/>
      <c r="Q117" s="1"/>
      <c r="R117" s="1"/>
      <c r="S117" s="1"/>
    </row>
    <row r="118" spans="1:19" x14ac:dyDescent="0.25">
      <c r="A118" s="20"/>
      <c r="B118" s="1"/>
      <c r="C118" s="1"/>
      <c r="D118" s="1"/>
      <c r="E118" s="1"/>
      <c r="F118" s="1"/>
      <c r="G118" s="1"/>
      <c r="H118" s="1"/>
      <c r="I118" s="1"/>
      <c r="J118" s="1"/>
      <c r="K118" s="1"/>
      <c r="L118" s="1"/>
      <c r="M118" s="1"/>
      <c r="N118" s="1"/>
      <c r="O118" s="1"/>
      <c r="P118" s="1"/>
      <c r="Q118" s="1"/>
      <c r="R118" s="1"/>
      <c r="S118" s="1"/>
    </row>
    <row r="119" spans="1:19" x14ac:dyDescent="0.25">
      <c r="A119" s="20"/>
      <c r="B119" s="1"/>
      <c r="C119" s="1"/>
      <c r="D119" s="1"/>
      <c r="E119" s="1"/>
      <c r="F119" s="1"/>
      <c r="G119" s="1"/>
      <c r="H119" s="1"/>
      <c r="I119" s="1"/>
      <c r="J119" s="1"/>
      <c r="K119" s="1"/>
      <c r="L119" s="1"/>
      <c r="M119" s="1"/>
      <c r="N119" s="1"/>
      <c r="O119" s="1"/>
      <c r="P119" s="1"/>
      <c r="Q119" s="1"/>
      <c r="R119" s="1"/>
      <c r="S119" s="1"/>
    </row>
    <row r="120" spans="1:19" x14ac:dyDescent="0.25">
      <c r="A120" s="20"/>
      <c r="B120" s="1"/>
      <c r="C120" s="1"/>
      <c r="D120" s="1"/>
      <c r="E120" s="1"/>
      <c r="F120" s="1"/>
      <c r="G120" s="1"/>
      <c r="H120" s="1"/>
      <c r="I120" s="1"/>
      <c r="J120" s="1"/>
      <c r="K120" s="1"/>
      <c r="L120" s="1"/>
      <c r="M120" s="1"/>
      <c r="N120" s="1"/>
      <c r="O120" s="1"/>
      <c r="P120" s="1"/>
      <c r="Q120" s="1"/>
      <c r="R120" s="1"/>
      <c r="S120" s="1"/>
    </row>
    <row r="121" spans="1:19" x14ac:dyDescent="0.25">
      <c r="A121" s="20"/>
      <c r="B121" s="1"/>
      <c r="C121" s="1"/>
      <c r="D121" s="1"/>
      <c r="E121" s="1"/>
      <c r="F121" s="1"/>
      <c r="G121" s="1"/>
      <c r="H121" s="1"/>
      <c r="I121" s="1"/>
      <c r="J121" s="1"/>
      <c r="K121" s="1"/>
      <c r="L121" s="1"/>
      <c r="M121" s="1"/>
      <c r="N121" s="1"/>
      <c r="O121" s="1"/>
      <c r="P121" s="1"/>
      <c r="Q121" s="1"/>
      <c r="R121" s="1"/>
      <c r="S121" s="1"/>
    </row>
    <row r="122" spans="1:19" x14ac:dyDescent="0.25">
      <c r="A122" s="20"/>
      <c r="B122" s="1"/>
      <c r="C122" s="1"/>
      <c r="D122" s="1"/>
      <c r="E122" s="1"/>
      <c r="F122" s="1"/>
      <c r="G122" s="1"/>
      <c r="H122" s="1"/>
      <c r="I122" s="1"/>
      <c r="J122" s="1"/>
      <c r="K122" s="1"/>
      <c r="L122" s="1"/>
      <c r="M122" s="1"/>
      <c r="N122" s="1"/>
      <c r="O122" s="1"/>
      <c r="P122" s="1"/>
      <c r="Q122" s="1"/>
      <c r="R122" s="1"/>
      <c r="S122" s="1"/>
    </row>
    <row r="123" spans="1:19" x14ac:dyDescent="0.25">
      <c r="A123" s="20"/>
      <c r="B123" s="1"/>
      <c r="C123" s="1"/>
      <c r="D123" s="1"/>
      <c r="E123" s="1"/>
      <c r="F123" s="1"/>
      <c r="G123" s="1"/>
      <c r="H123" s="1"/>
      <c r="I123" s="1"/>
      <c r="J123" s="1"/>
      <c r="K123" s="1"/>
      <c r="L123" s="1"/>
      <c r="M123" s="1"/>
      <c r="N123" s="1"/>
      <c r="O123" s="1"/>
      <c r="P123" s="1"/>
      <c r="Q123" s="1"/>
      <c r="R123" s="1"/>
      <c r="S123" s="1"/>
    </row>
    <row r="124" spans="1:19" x14ac:dyDescent="0.25">
      <c r="A124" s="20"/>
      <c r="B124" s="1"/>
      <c r="C124" s="1"/>
      <c r="D124" s="1"/>
      <c r="E124" s="1"/>
      <c r="F124" s="1"/>
      <c r="G124" s="1"/>
      <c r="H124" s="1"/>
      <c r="I124" s="1"/>
      <c r="J124" s="1"/>
      <c r="K124" s="1"/>
      <c r="L124" s="1"/>
      <c r="M124" s="1"/>
      <c r="N124" s="1"/>
      <c r="O124" s="1"/>
      <c r="P124" s="1"/>
      <c r="Q124" s="1"/>
      <c r="R124" s="1"/>
      <c r="S124" s="1"/>
    </row>
    <row r="125" spans="1:19" x14ac:dyDescent="0.25">
      <c r="A125" s="20"/>
      <c r="B125" s="1"/>
      <c r="C125" s="1"/>
      <c r="D125" s="1"/>
      <c r="E125" s="1"/>
      <c r="F125" s="1"/>
      <c r="G125" s="1"/>
      <c r="H125" s="1"/>
      <c r="I125" s="1"/>
      <c r="J125" s="1"/>
      <c r="K125" s="1"/>
      <c r="L125" s="1"/>
      <c r="M125" s="1"/>
      <c r="N125" s="1"/>
      <c r="O125" s="1"/>
      <c r="P125" s="1"/>
      <c r="Q125" s="1"/>
      <c r="R125" s="1"/>
      <c r="S125" s="1"/>
    </row>
    <row r="126" spans="1:19" x14ac:dyDescent="0.25">
      <c r="A126" s="20"/>
      <c r="B126" s="1"/>
      <c r="C126" s="1"/>
      <c r="D126" s="1"/>
      <c r="E126" s="1"/>
      <c r="F126" s="1"/>
      <c r="G126" s="1"/>
      <c r="H126" s="1"/>
      <c r="I126" s="1"/>
      <c r="J126" s="1"/>
      <c r="K126" s="1"/>
      <c r="L126" s="1"/>
      <c r="M126" s="1"/>
      <c r="N126" s="1"/>
      <c r="O126" s="1"/>
      <c r="P126" s="1"/>
      <c r="Q126" s="1"/>
      <c r="R126" s="1"/>
      <c r="S126" s="1"/>
    </row>
    <row r="127" spans="1:19" x14ac:dyDescent="0.25">
      <c r="A127" s="20"/>
      <c r="B127" s="1"/>
      <c r="C127" s="1"/>
      <c r="D127" s="1"/>
      <c r="E127" s="1"/>
      <c r="F127" s="1"/>
      <c r="G127" s="1"/>
      <c r="H127" s="1"/>
      <c r="I127" s="1"/>
      <c r="J127" s="1"/>
      <c r="K127" s="1"/>
      <c r="L127" s="1"/>
      <c r="M127" s="1"/>
      <c r="N127" s="1"/>
      <c r="O127" s="1"/>
      <c r="P127" s="1"/>
      <c r="Q127" s="1"/>
      <c r="R127" s="1"/>
      <c r="S127" s="1"/>
    </row>
    <row r="128" spans="1:19" x14ac:dyDescent="0.25">
      <c r="A128" s="20"/>
      <c r="B128" s="1"/>
      <c r="C128" s="1"/>
      <c r="D128" s="1"/>
      <c r="E128" s="1"/>
      <c r="F128" s="1"/>
      <c r="G128" s="1"/>
      <c r="H128" s="1"/>
      <c r="I128" s="1"/>
      <c r="J128" s="1"/>
      <c r="K128" s="1"/>
      <c r="L128" s="1"/>
      <c r="M128" s="1"/>
      <c r="N128" s="1"/>
      <c r="O128" s="1"/>
      <c r="P128" s="1"/>
      <c r="Q128" s="1"/>
      <c r="R128" s="1"/>
      <c r="S128" s="1"/>
    </row>
    <row r="129" spans="1:19" x14ac:dyDescent="0.25">
      <c r="A129" s="20"/>
      <c r="B129" s="1"/>
      <c r="C129" s="1"/>
      <c r="D129" s="1"/>
      <c r="E129" s="1"/>
      <c r="F129" s="1"/>
      <c r="G129" s="1"/>
      <c r="H129" s="1"/>
      <c r="I129" s="1"/>
      <c r="J129" s="1"/>
      <c r="K129" s="1"/>
      <c r="L129" s="1"/>
      <c r="M129" s="1"/>
      <c r="N129" s="1"/>
      <c r="O129" s="1"/>
      <c r="P129" s="1"/>
      <c r="Q129" s="1"/>
      <c r="R129" s="1"/>
      <c r="S129" s="1"/>
    </row>
    <row r="130" spans="1:19" x14ac:dyDescent="0.25">
      <c r="A130" s="20"/>
      <c r="B130" s="1"/>
      <c r="C130" s="1"/>
      <c r="D130" s="1"/>
      <c r="E130" s="1"/>
      <c r="F130" s="1"/>
      <c r="G130" s="1"/>
      <c r="H130" s="1"/>
      <c r="I130" s="1"/>
      <c r="J130" s="1"/>
      <c r="K130" s="1"/>
      <c r="L130" s="1"/>
      <c r="M130" s="1"/>
      <c r="N130" s="1"/>
      <c r="O130" s="1"/>
      <c r="P130" s="1"/>
      <c r="Q130" s="1"/>
      <c r="R130" s="1"/>
      <c r="S130" s="1"/>
    </row>
    <row r="131" spans="1:19" x14ac:dyDescent="0.25">
      <c r="A131" s="20"/>
      <c r="B131" s="1"/>
      <c r="C131" s="1"/>
      <c r="D131" s="1"/>
      <c r="E131" s="1"/>
      <c r="F131" s="1"/>
      <c r="G131" s="1"/>
      <c r="H131" s="1"/>
      <c r="I131" s="1"/>
      <c r="J131" s="1"/>
      <c r="K131" s="1"/>
      <c r="L131" s="1"/>
      <c r="M131" s="1"/>
      <c r="N131" s="1"/>
      <c r="O131" s="1"/>
      <c r="P131" s="1"/>
      <c r="Q131" s="1"/>
      <c r="R131" s="1"/>
      <c r="S131" s="1"/>
    </row>
    <row r="132" spans="1:19" x14ac:dyDescent="0.25">
      <c r="A132" s="20"/>
      <c r="B132" s="1"/>
      <c r="C132" s="1"/>
      <c r="D132" s="1"/>
      <c r="E132" s="1"/>
      <c r="F132" s="1"/>
      <c r="G132" s="1"/>
      <c r="H132" s="1"/>
      <c r="I132" s="1"/>
      <c r="J132" s="1"/>
      <c r="K132" s="1"/>
      <c r="L132" s="1"/>
      <c r="M132" s="1"/>
      <c r="N132" s="1"/>
      <c r="O132" s="1"/>
      <c r="P132" s="1"/>
      <c r="Q132" s="1"/>
      <c r="R132" s="1"/>
      <c r="S132" s="1"/>
    </row>
    <row r="133" spans="1:19" x14ac:dyDescent="0.25">
      <c r="A133" s="20"/>
      <c r="B133" s="1"/>
      <c r="C133" s="1"/>
      <c r="D133" s="1"/>
      <c r="E133" s="1"/>
      <c r="F133" s="1"/>
      <c r="G133" s="1"/>
      <c r="H133" s="1"/>
      <c r="I133" s="1"/>
      <c r="J133" s="1"/>
      <c r="K133" s="1"/>
      <c r="L133" s="1"/>
      <c r="M133" s="1"/>
      <c r="N133" s="1"/>
      <c r="O133" s="1"/>
      <c r="P133" s="1"/>
      <c r="Q133" s="1"/>
      <c r="R133" s="1"/>
      <c r="S133" s="1"/>
    </row>
    <row r="134" spans="1:19" x14ac:dyDescent="0.25">
      <c r="A134" s="20"/>
      <c r="B134" s="1"/>
      <c r="C134" s="1"/>
      <c r="D134" s="1"/>
      <c r="E134" s="1"/>
      <c r="F134" s="1"/>
      <c r="G134" s="1"/>
      <c r="H134" s="1"/>
      <c r="I134" s="1"/>
      <c r="J134" s="1"/>
      <c r="K134" s="1"/>
      <c r="L134" s="1"/>
      <c r="M134" s="1"/>
      <c r="N134" s="1"/>
      <c r="O134" s="1"/>
      <c r="P134" s="1"/>
      <c r="Q134" s="1"/>
      <c r="R134" s="1"/>
      <c r="S134" s="1"/>
    </row>
    <row r="135" spans="1:19" x14ac:dyDescent="0.25">
      <c r="A135" s="20"/>
      <c r="B135" s="1"/>
      <c r="C135" s="1"/>
      <c r="D135" s="1"/>
      <c r="E135" s="1"/>
      <c r="F135" s="1"/>
      <c r="G135" s="1"/>
      <c r="H135" s="1"/>
      <c r="I135" s="1"/>
      <c r="J135" s="1"/>
      <c r="K135" s="1"/>
      <c r="L135" s="1"/>
      <c r="M135" s="1"/>
      <c r="N135" s="1"/>
      <c r="O135" s="1"/>
      <c r="P135" s="1"/>
      <c r="Q135" s="1"/>
      <c r="R135" s="1"/>
      <c r="S135" s="1"/>
    </row>
    <row r="136" spans="1:19" x14ac:dyDescent="0.25">
      <c r="A136" s="20"/>
      <c r="B136" s="1"/>
      <c r="C136" s="1"/>
      <c r="D136" s="1"/>
      <c r="E136" s="1"/>
      <c r="F136" s="1"/>
      <c r="G136" s="1"/>
      <c r="H136" s="1"/>
      <c r="I136" s="1"/>
      <c r="J136" s="1"/>
      <c r="K136" s="1"/>
      <c r="L136" s="1"/>
      <c r="M136" s="1"/>
      <c r="N136" s="1"/>
      <c r="O136" s="1"/>
      <c r="P136" s="1"/>
      <c r="Q136" s="1"/>
      <c r="R136" s="1"/>
      <c r="S136" s="1"/>
    </row>
    <row r="137" spans="1:19" x14ac:dyDescent="0.25">
      <c r="A137" s="20"/>
      <c r="B137" s="1"/>
      <c r="C137" s="1"/>
      <c r="D137" s="1"/>
      <c r="E137" s="1"/>
      <c r="F137" s="1"/>
      <c r="G137" s="1"/>
      <c r="H137" s="1"/>
      <c r="I137" s="1"/>
      <c r="J137" s="1"/>
      <c r="K137" s="1"/>
      <c r="L137" s="1"/>
      <c r="M137" s="1"/>
      <c r="N137" s="1"/>
      <c r="O137" s="1"/>
      <c r="P137" s="1"/>
      <c r="Q137" s="1"/>
      <c r="R137" s="1"/>
      <c r="S137" s="1"/>
    </row>
    <row r="138" spans="1:19" x14ac:dyDescent="0.25">
      <c r="A138" s="20"/>
      <c r="B138" s="1"/>
      <c r="C138" s="1"/>
      <c r="D138" s="1"/>
      <c r="E138" s="1"/>
      <c r="F138" s="1"/>
      <c r="G138" s="1"/>
      <c r="H138" s="1"/>
      <c r="I138" s="1"/>
      <c r="J138" s="1"/>
      <c r="K138" s="1"/>
      <c r="L138" s="1"/>
      <c r="M138" s="1"/>
      <c r="N138" s="1"/>
      <c r="O138" s="1"/>
      <c r="P138" s="1"/>
      <c r="Q138" s="1"/>
      <c r="R138" s="1"/>
      <c r="S138" s="1"/>
    </row>
    <row r="139" spans="1:19" x14ac:dyDescent="0.25">
      <c r="A139" s="20"/>
      <c r="B139" s="1"/>
      <c r="C139" s="1"/>
      <c r="D139" s="1"/>
      <c r="E139" s="1"/>
      <c r="F139" s="1"/>
      <c r="G139" s="1"/>
      <c r="H139" s="1"/>
      <c r="I139" s="1"/>
      <c r="J139" s="1"/>
      <c r="K139" s="1"/>
      <c r="L139" s="1"/>
      <c r="M139" s="1"/>
      <c r="N139" s="1"/>
      <c r="O139" s="1"/>
      <c r="P139" s="1"/>
      <c r="Q139" s="1"/>
      <c r="R139" s="1"/>
      <c r="S139" s="1"/>
    </row>
    <row r="140" spans="1:19" x14ac:dyDescent="0.25">
      <c r="A140" s="20"/>
      <c r="B140" s="1"/>
      <c r="C140" s="1"/>
      <c r="D140" s="1"/>
      <c r="E140" s="1"/>
      <c r="F140" s="1"/>
      <c r="G140" s="1"/>
      <c r="H140" s="1"/>
      <c r="I140" s="1"/>
      <c r="J140" s="1"/>
      <c r="K140" s="1"/>
      <c r="L140" s="1"/>
      <c r="M140" s="1"/>
      <c r="N140" s="1"/>
      <c r="O140" s="1"/>
      <c r="P140" s="1"/>
      <c r="Q140" s="1"/>
      <c r="R140" s="1"/>
      <c r="S140" s="1"/>
    </row>
    <row r="141" spans="1:19" x14ac:dyDescent="0.25">
      <c r="A141" s="20"/>
      <c r="B141" s="1"/>
      <c r="C141" s="1"/>
      <c r="D141" s="1"/>
      <c r="E141" s="1"/>
      <c r="F141" s="1"/>
      <c r="G141" s="1"/>
      <c r="H141" s="1"/>
      <c r="I141" s="1"/>
      <c r="J141" s="1"/>
      <c r="K141" s="1"/>
      <c r="L141" s="1"/>
      <c r="M141" s="1"/>
      <c r="N141" s="1"/>
      <c r="O141" s="1"/>
      <c r="P141" s="1"/>
      <c r="Q141" s="1"/>
      <c r="R141" s="1"/>
      <c r="S141" s="1"/>
    </row>
    <row r="142" spans="1:19" x14ac:dyDescent="0.25">
      <c r="A142" s="20"/>
      <c r="B142" s="1"/>
      <c r="C142" s="1"/>
      <c r="D142" s="1"/>
      <c r="E142" s="1"/>
      <c r="F142" s="1"/>
      <c r="G142" s="1"/>
      <c r="H142" s="1"/>
      <c r="I142" s="1"/>
      <c r="J142" s="1"/>
      <c r="K142" s="1"/>
      <c r="L142" s="1"/>
      <c r="M142" s="1"/>
      <c r="N142" s="1"/>
      <c r="O142" s="1"/>
      <c r="P142" s="1"/>
      <c r="Q142" s="1"/>
      <c r="R142" s="1"/>
      <c r="S142" s="1"/>
    </row>
    <row r="143" spans="1:19" x14ac:dyDescent="0.25">
      <c r="A143" s="20"/>
      <c r="B143" s="1"/>
      <c r="C143" s="1"/>
      <c r="D143" s="1"/>
      <c r="E143" s="1"/>
      <c r="F143" s="1"/>
      <c r="G143" s="1"/>
      <c r="H143" s="1"/>
      <c r="I143" s="1"/>
      <c r="J143" s="1"/>
      <c r="K143" s="1"/>
      <c r="L143" s="1"/>
      <c r="M143" s="1"/>
      <c r="N143" s="1"/>
      <c r="O143" s="1"/>
      <c r="P143" s="1"/>
      <c r="Q143" s="1"/>
      <c r="R143" s="1"/>
      <c r="S143" s="1"/>
    </row>
    <row r="144" spans="1:19" x14ac:dyDescent="0.25">
      <c r="A144" s="20"/>
      <c r="B144" s="1"/>
      <c r="C144" s="1"/>
      <c r="D144" s="1"/>
      <c r="E144" s="1"/>
      <c r="F144" s="1"/>
      <c r="G144" s="1"/>
      <c r="H144" s="1"/>
      <c r="I144" s="1"/>
      <c r="J144" s="1"/>
      <c r="K144" s="1"/>
      <c r="L144" s="1"/>
      <c r="M144" s="1"/>
      <c r="N144" s="1"/>
      <c r="O144" s="1"/>
      <c r="P144" s="1"/>
      <c r="Q144" s="1"/>
      <c r="R144" s="1"/>
      <c r="S144" s="1"/>
    </row>
    <row r="145" spans="1:19" x14ac:dyDescent="0.25">
      <c r="A145" s="20"/>
      <c r="B145" s="1"/>
      <c r="C145" s="1"/>
      <c r="D145" s="1"/>
      <c r="E145" s="1"/>
      <c r="F145" s="1"/>
      <c r="G145" s="1"/>
      <c r="H145" s="1"/>
      <c r="I145" s="1"/>
      <c r="J145" s="1"/>
      <c r="K145" s="1"/>
      <c r="L145" s="1"/>
      <c r="M145" s="1"/>
      <c r="N145" s="1"/>
      <c r="O145" s="1"/>
      <c r="P145" s="1"/>
      <c r="Q145" s="1"/>
      <c r="R145" s="1"/>
      <c r="S145" s="1"/>
    </row>
    <row r="146" spans="1:19" x14ac:dyDescent="0.25">
      <c r="A146" s="20"/>
      <c r="B146" s="1"/>
      <c r="C146" s="1"/>
      <c r="D146" s="1"/>
      <c r="E146" s="1"/>
      <c r="F146" s="1"/>
      <c r="G146" s="1"/>
      <c r="H146" s="1"/>
      <c r="I146" s="1"/>
      <c r="J146" s="1"/>
      <c r="K146" s="1"/>
      <c r="L146" s="1"/>
      <c r="M146" s="1"/>
      <c r="N146" s="1"/>
      <c r="O146" s="1"/>
      <c r="P146" s="1"/>
      <c r="Q146" s="1"/>
      <c r="R146" s="1"/>
      <c r="S146" s="1"/>
    </row>
    <row r="147" spans="1:19" x14ac:dyDescent="0.25">
      <c r="A147" s="20"/>
      <c r="B147" s="1"/>
      <c r="C147" s="1"/>
      <c r="D147" s="1"/>
      <c r="E147" s="1"/>
      <c r="F147" s="1"/>
      <c r="G147" s="1"/>
      <c r="H147" s="1"/>
      <c r="I147" s="1"/>
      <c r="J147" s="1"/>
      <c r="K147" s="1"/>
      <c r="L147" s="1"/>
      <c r="M147" s="1"/>
      <c r="N147" s="1"/>
      <c r="O147" s="1"/>
      <c r="P147" s="1"/>
      <c r="Q147" s="1"/>
      <c r="R147" s="1"/>
      <c r="S147" s="1"/>
    </row>
    <row r="148" spans="1:19" x14ac:dyDescent="0.25">
      <c r="A148" s="20"/>
      <c r="B148" s="1"/>
      <c r="C148" s="1"/>
      <c r="D148" s="1"/>
      <c r="E148" s="1"/>
      <c r="F148" s="1"/>
      <c r="G148" s="1"/>
      <c r="H148" s="1"/>
      <c r="I148" s="1"/>
      <c r="J148" s="1"/>
      <c r="K148" s="1"/>
      <c r="L148" s="1"/>
      <c r="M148" s="1"/>
      <c r="N148" s="1"/>
      <c r="O148" s="1"/>
      <c r="P148" s="1"/>
      <c r="Q148" s="1"/>
      <c r="R148" s="1"/>
      <c r="S148" s="1"/>
    </row>
    <row r="149" spans="1:19" x14ac:dyDescent="0.25">
      <c r="A149" s="20"/>
      <c r="B149" s="1"/>
      <c r="C149" s="1"/>
      <c r="D149" s="1"/>
      <c r="E149" s="1"/>
      <c r="F149" s="1"/>
      <c r="G149" s="1"/>
      <c r="H149" s="1"/>
      <c r="I149" s="1"/>
      <c r="J149" s="1"/>
      <c r="K149" s="1"/>
      <c r="L149" s="1"/>
      <c r="M149" s="1"/>
      <c r="N149" s="1"/>
      <c r="O149" s="1"/>
      <c r="P149" s="1"/>
      <c r="Q149" s="1"/>
      <c r="R149" s="1"/>
      <c r="S149" s="1"/>
    </row>
    <row r="150" spans="1:19" x14ac:dyDescent="0.25">
      <c r="A150" s="20"/>
      <c r="B150" s="1"/>
      <c r="C150" s="1"/>
      <c r="D150" s="1"/>
      <c r="E150" s="1"/>
      <c r="F150" s="1"/>
      <c r="G150" s="1"/>
      <c r="H150" s="1"/>
      <c r="I150" s="1"/>
      <c r="J150" s="1"/>
      <c r="K150" s="1"/>
      <c r="L150" s="1"/>
      <c r="M150" s="1"/>
      <c r="N150" s="1"/>
      <c r="O150" s="1"/>
      <c r="P150" s="1"/>
      <c r="Q150" s="1"/>
      <c r="R150" s="1"/>
      <c r="S150" s="1"/>
    </row>
    <row r="151" spans="1:19" x14ac:dyDescent="0.25">
      <c r="A151" s="20"/>
      <c r="B151" s="1"/>
      <c r="C151" s="1"/>
      <c r="D151" s="1"/>
      <c r="E151" s="1"/>
      <c r="F151" s="1"/>
      <c r="G151" s="1"/>
      <c r="H151" s="1"/>
      <c r="I151" s="1"/>
      <c r="J151" s="1"/>
      <c r="K151" s="1"/>
      <c r="L151" s="1"/>
      <c r="M151" s="1"/>
      <c r="N151" s="1"/>
      <c r="O151" s="1"/>
      <c r="P151" s="1"/>
      <c r="Q151" s="1"/>
      <c r="R151" s="1"/>
      <c r="S151" s="1"/>
    </row>
    <row r="152" spans="1:19" x14ac:dyDescent="0.25">
      <c r="A152" s="20"/>
      <c r="B152" s="1"/>
      <c r="C152" s="1"/>
      <c r="D152" s="1"/>
      <c r="E152" s="1"/>
      <c r="F152" s="1"/>
      <c r="G152" s="1"/>
      <c r="H152" s="1"/>
      <c r="I152" s="1"/>
      <c r="J152" s="1"/>
      <c r="K152" s="1"/>
      <c r="L152" s="1"/>
      <c r="M152" s="1"/>
      <c r="N152" s="1"/>
      <c r="O152" s="1"/>
      <c r="P152" s="1"/>
      <c r="Q152" s="1"/>
      <c r="R152" s="1"/>
      <c r="S152" s="1"/>
    </row>
    <row r="153" spans="1:19" x14ac:dyDescent="0.25">
      <c r="A153" s="20"/>
      <c r="B153" s="1"/>
      <c r="C153" s="1"/>
      <c r="D153" s="1"/>
      <c r="E153" s="1"/>
      <c r="F153" s="1"/>
      <c r="G153" s="1"/>
      <c r="H153" s="1"/>
      <c r="I153" s="1"/>
      <c r="J153" s="1"/>
      <c r="K153" s="1"/>
      <c r="L153" s="1"/>
      <c r="M153" s="1"/>
      <c r="N153" s="1"/>
      <c r="O153" s="1"/>
      <c r="P153" s="1"/>
      <c r="Q153" s="1"/>
      <c r="R153" s="1"/>
      <c r="S153" s="1"/>
    </row>
    <row r="154" spans="1:19" x14ac:dyDescent="0.25">
      <c r="A154" s="20"/>
      <c r="B154" s="1"/>
      <c r="C154" s="1"/>
      <c r="D154" s="1"/>
      <c r="E154" s="1"/>
      <c r="F154" s="1"/>
      <c r="G154" s="1"/>
      <c r="H154" s="1"/>
      <c r="I154" s="1"/>
      <c r="J154" s="1"/>
      <c r="K154" s="1"/>
      <c r="L154" s="1"/>
      <c r="M154" s="1"/>
      <c r="N154" s="1"/>
      <c r="O154" s="1"/>
      <c r="P154" s="1"/>
      <c r="Q154" s="1"/>
      <c r="R154" s="1"/>
      <c r="S154" s="1"/>
    </row>
    <row r="155" spans="1:19" x14ac:dyDescent="0.25">
      <c r="A155" s="20"/>
      <c r="B155" s="1"/>
      <c r="C155" s="1"/>
      <c r="D155" s="1"/>
      <c r="E155" s="1"/>
      <c r="F155" s="1"/>
      <c r="G155" s="1"/>
      <c r="H155" s="1"/>
      <c r="I155" s="1"/>
      <c r="J155" s="1"/>
      <c r="K155" s="1"/>
      <c r="L155" s="1"/>
      <c r="M155" s="1"/>
      <c r="N155" s="1"/>
      <c r="O155" s="1"/>
      <c r="P155" s="1"/>
      <c r="Q155" s="1"/>
      <c r="R155" s="1"/>
      <c r="S155" s="1"/>
    </row>
    <row r="156" spans="1:19" x14ac:dyDescent="0.25">
      <c r="A156" s="20"/>
      <c r="B156" s="1"/>
      <c r="C156" s="1"/>
      <c r="D156" s="1"/>
      <c r="E156" s="1"/>
      <c r="F156" s="1"/>
      <c r="G156" s="1"/>
      <c r="H156" s="1"/>
      <c r="I156" s="1"/>
      <c r="J156" s="1"/>
      <c r="K156" s="1"/>
      <c r="L156" s="1"/>
      <c r="M156" s="1"/>
      <c r="N156" s="1"/>
      <c r="O156" s="1"/>
      <c r="P156" s="1"/>
      <c r="Q156" s="1"/>
      <c r="R156" s="1"/>
      <c r="S156" s="1"/>
    </row>
    <row r="157" spans="1:19" x14ac:dyDescent="0.25">
      <c r="A157" s="20"/>
      <c r="B157" s="1"/>
      <c r="C157" s="1"/>
      <c r="D157" s="1"/>
      <c r="E157" s="1"/>
      <c r="F157" s="1"/>
      <c r="G157" s="1"/>
      <c r="H157" s="1"/>
      <c r="I157" s="1"/>
      <c r="J157" s="1"/>
      <c r="K157" s="1"/>
      <c r="L157" s="1"/>
      <c r="M157" s="1"/>
      <c r="N157" s="1"/>
      <c r="O157" s="1"/>
      <c r="P157" s="1"/>
      <c r="Q157" s="1"/>
      <c r="R157" s="1"/>
      <c r="S157" s="1"/>
    </row>
    <row r="158" spans="1:19" x14ac:dyDescent="0.25">
      <c r="A158" s="20"/>
      <c r="B158" s="1"/>
      <c r="C158" s="1"/>
      <c r="D158" s="1"/>
      <c r="E158" s="1"/>
      <c r="F158" s="1"/>
      <c r="G158" s="1"/>
      <c r="H158" s="1"/>
      <c r="I158" s="1"/>
      <c r="J158" s="1"/>
      <c r="K158" s="1"/>
      <c r="L158" s="1"/>
      <c r="M158" s="1"/>
      <c r="N158" s="1"/>
      <c r="O158" s="1"/>
      <c r="P158" s="1"/>
      <c r="Q158" s="1"/>
      <c r="R158" s="1"/>
      <c r="S158" s="1"/>
    </row>
    <row r="159" spans="1:19" x14ac:dyDescent="0.25">
      <c r="A159" s="20"/>
      <c r="B159" s="1"/>
      <c r="C159" s="1"/>
      <c r="D159" s="1"/>
      <c r="E159" s="1"/>
      <c r="F159" s="1"/>
      <c r="G159" s="1"/>
      <c r="H159" s="1"/>
      <c r="I159" s="1"/>
      <c r="J159" s="1"/>
      <c r="K159" s="1"/>
      <c r="L159" s="1"/>
      <c r="M159" s="1"/>
      <c r="N159" s="1"/>
      <c r="O159" s="1"/>
      <c r="P159" s="1"/>
      <c r="Q159" s="1"/>
      <c r="R159" s="1"/>
      <c r="S159" s="1"/>
    </row>
    <row r="160" spans="1:19" x14ac:dyDescent="0.25">
      <c r="A160" s="20"/>
      <c r="B160" s="1"/>
      <c r="C160" s="1"/>
      <c r="D160" s="1"/>
      <c r="E160" s="1"/>
      <c r="F160" s="1"/>
      <c r="G160" s="1"/>
      <c r="H160" s="1"/>
      <c r="I160" s="1"/>
      <c r="J160" s="1"/>
      <c r="K160" s="1"/>
      <c r="L160" s="1"/>
      <c r="M160" s="1"/>
      <c r="N160" s="1"/>
      <c r="O160" s="1"/>
      <c r="P160" s="1"/>
      <c r="Q160" s="1"/>
      <c r="R160" s="1"/>
      <c r="S160" s="1"/>
    </row>
    <row r="161" spans="1:19" x14ac:dyDescent="0.25">
      <c r="A161" s="20"/>
      <c r="B161" s="1"/>
      <c r="C161" s="1"/>
      <c r="D161" s="1"/>
      <c r="E161" s="1"/>
      <c r="F161" s="1"/>
      <c r="G161" s="1"/>
      <c r="H161" s="1"/>
      <c r="I161" s="1"/>
      <c r="J161" s="1"/>
      <c r="K161" s="1"/>
      <c r="L161" s="1"/>
      <c r="M161" s="1"/>
      <c r="N161" s="1"/>
      <c r="O161" s="1"/>
      <c r="P161" s="1"/>
      <c r="Q161" s="1"/>
      <c r="R161" s="1"/>
      <c r="S161" s="1"/>
    </row>
    <row r="162" spans="1:19" x14ac:dyDescent="0.25">
      <c r="A162" s="20"/>
      <c r="B162" s="1"/>
      <c r="C162" s="1"/>
      <c r="D162" s="1"/>
      <c r="E162" s="1"/>
      <c r="F162" s="1"/>
      <c r="G162" s="1"/>
      <c r="H162" s="1"/>
      <c r="I162" s="1"/>
      <c r="J162" s="1"/>
      <c r="K162" s="1"/>
      <c r="L162" s="1"/>
      <c r="M162" s="1"/>
      <c r="N162" s="1"/>
      <c r="O162" s="1"/>
      <c r="P162" s="1"/>
      <c r="Q162" s="1"/>
      <c r="R162" s="1"/>
      <c r="S162" s="1"/>
    </row>
    <row r="163" spans="1:19" x14ac:dyDescent="0.25">
      <c r="A163" s="20"/>
      <c r="B163" s="1"/>
      <c r="C163" s="1"/>
      <c r="D163" s="1"/>
      <c r="E163" s="1"/>
      <c r="F163" s="1"/>
      <c r="G163" s="1"/>
      <c r="H163" s="1"/>
      <c r="I163" s="1"/>
      <c r="J163" s="1"/>
      <c r="K163" s="1"/>
      <c r="L163" s="1"/>
      <c r="M163" s="1"/>
      <c r="N163" s="1"/>
      <c r="O163" s="1"/>
      <c r="P163" s="1"/>
      <c r="Q163" s="1"/>
      <c r="R163" s="1"/>
      <c r="S163" s="1"/>
    </row>
    <row r="164" spans="1:19" x14ac:dyDescent="0.25">
      <c r="A164" s="20"/>
      <c r="B164" s="1"/>
      <c r="C164" s="1"/>
      <c r="D164" s="1"/>
      <c r="E164" s="1"/>
      <c r="F164" s="1"/>
      <c r="G164" s="1"/>
      <c r="H164" s="1"/>
      <c r="I164" s="1"/>
      <c r="J164" s="1"/>
      <c r="K164" s="1"/>
      <c r="L164" s="1"/>
      <c r="M164" s="1"/>
      <c r="N164" s="1"/>
      <c r="O164" s="1"/>
      <c r="P164" s="1"/>
      <c r="Q164" s="1"/>
      <c r="R164" s="1"/>
      <c r="S164" s="1"/>
    </row>
    <row r="165" spans="1:19" x14ac:dyDescent="0.25">
      <c r="A165" s="20"/>
      <c r="B165" s="1"/>
      <c r="C165" s="1"/>
      <c r="D165" s="1"/>
      <c r="E165" s="1"/>
      <c r="F165" s="1"/>
      <c r="G165" s="1"/>
      <c r="H165" s="1"/>
      <c r="I165" s="1"/>
      <c r="J165" s="1"/>
      <c r="K165" s="1"/>
      <c r="L165" s="1"/>
      <c r="M165" s="1"/>
      <c r="N165" s="1"/>
      <c r="O165" s="1"/>
      <c r="P165" s="1"/>
      <c r="Q165" s="1"/>
      <c r="R165" s="1"/>
      <c r="S165" s="1"/>
    </row>
    <row r="166" spans="1:19" x14ac:dyDescent="0.25">
      <c r="A166" s="20"/>
      <c r="B166" s="1"/>
      <c r="C166" s="1"/>
      <c r="D166" s="1"/>
      <c r="E166" s="1"/>
      <c r="F166" s="1"/>
      <c r="G166" s="1"/>
      <c r="H166" s="1"/>
      <c r="I166" s="1"/>
      <c r="J166" s="1"/>
      <c r="K166" s="1"/>
      <c r="L166" s="1"/>
      <c r="M166" s="1"/>
      <c r="N166" s="1"/>
      <c r="O166" s="1"/>
      <c r="P166" s="1"/>
      <c r="Q166" s="1"/>
      <c r="R166" s="1"/>
      <c r="S166" s="1"/>
    </row>
    <row r="167" spans="1:19" x14ac:dyDescent="0.25">
      <c r="A167" s="20"/>
      <c r="B167" s="1"/>
      <c r="C167" s="1"/>
      <c r="D167" s="1"/>
      <c r="E167" s="1"/>
      <c r="F167" s="1"/>
      <c r="G167" s="1"/>
      <c r="H167" s="1"/>
      <c r="I167" s="1"/>
      <c r="J167" s="1"/>
      <c r="K167" s="1"/>
      <c r="L167" s="1"/>
      <c r="M167" s="1"/>
      <c r="N167" s="1"/>
      <c r="O167" s="1"/>
      <c r="P167" s="1"/>
      <c r="Q167" s="1"/>
      <c r="R167" s="1"/>
      <c r="S167" s="1"/>
    </row>
    <row r="168" spans="1:19" x14ac:dyDescent="0.25">
      <c r="A168" s="20"/>
      <c r="B168" s="1"/>
      <c r="C168" s="1"/>
      <c r="D168" s="1"/>
      <c r="E168" s="1"/>
      <c r="F168" s="1"/>
      <c r="G168" s="1"/>
      <c r="H168" s="1"/>
      <c r="I168" s="1"/>
      <c r="J168" s="1"/>
      <c r="K168" s="1"/>
      <c r="L168" s="1"/>
      <c r="M168" s="1"/>
      <c r="N168" s="1"/>
      <c r="O168" s="1"/>
      <c r="P168" s="1"/>
      <c r="Q168" s="1"/>
      <c r="R168" s="1"/>
      <c r="S168" s="1"/>
    </row>
    <row r="169" spans="1:19" x14ac:dyDescent="0.25">
      <c r="A169" s="20"/>
      <c r="B169" s="1"/>
      <c r="C169" s="1"/>
      <c r="D169" s="1"/>
      <c r="E169" s="1"/>
      <c r="F169" s="1"/>
      <c r="G169" s="1"/>
      <c r="H169" s="1"/>
      <c r="I169" s="1"/>
      <c r="J169" s="1"/>
      <c r="K169" s="1"/>
      <c r="L169" s="1"/>
      <c r="M169" s="1"/>
      <c r="N169" s="1"/>
      <c r="O169" s="1"/>
      <c r="P169" s="1"/>
      <c r="Q169" s="1"/>
      <c r="R169" s="1"/>
      <c r="S169" s="1"/>
    </row>
    <row r="170" spans="1:19" x14ac:dyDescent="0.25">
      <c r="A170" s="20"/>
      <c r="B170" s="1"/>
      <c r="C170" s="1"/>
      <c r="D170" s="1"/>
      <c r="E170" s="1"/>
      <c r="F170" s="1"/>
      <c r="G170" s="1"/>
      <c r="H170" s="1"/>
      <c r="I170" s="1"/>
      <c r="J170" s="1"/>
      <c r="K170" s="1"/>
      <c r="L170" s="1"/>
      <c r="M170" s="1"/>
      <c r="N170" s="1"/>
      <c r="O170" s="1"/>
      <c r="P170" s="1"/>
      <c r="Q170" s="1"/>
      <c r="R170" s="1"/>
      <c r="S170" s="1"/>
    </row>
    <row r="171" spans="1:19" x14ac:dyDescent="0.25">
      <c r="A171" s="20"/>
      <c r="B171" s="1"/>
      <c r="C171" s="1"/>
      <c r="D171" s="1"/>
      <c r="E171" s="1"/>
      <c r="F171" s="1"/>
      <c r="G171" s="1"/>
      <c r="H171" s="1"/>
      <c r="I171" s="1"/>
      <c r="J171" s="1"/>
      <c r="K171" s="1"/>
      <c r="L171" s="1"/>
      <c r="M171" s="1"/>
      <c r="N171" s="1"/>
      <c r="O171" s="1"/>
      <c r="P171" s="1"/>
      <c r="Q171" s="1"/>
      <c r="R171" s="1"/>
      <c r="S171" s="1"/>
    </row>
    <row r="172" spans="1:19" x14ac:dyDescent="0.25">
      <c r="A172" s="20"/>
      <c r="B172" s="1"/>
      <c r="C172" s="1"/>
      <c r="D172" s="1"/>
      <c r="E172" s="1"/>
      <c r="F172" s="1"/>
      <c r="G172" s="1"/>
      <c r="H172" s="1"/>
      <c r="I172" s="1"/>
      <c r="J172" s="1"/>
      <c r="K172" s="1"/>
      <c r="L172" s="1"/>
      <c r="M172" s="1"/>
      <c r="N172" s="1"/>
      <c r="O172" s="1"/>
      <c r="P172" s="1"/>
      <c r="Q172" s="1"/>
      <c r="R172" s="1"/>
      <c r="S172" s="1"/>
    </row>
    <row r="173" spans="1:19" x14ac:dyDescent="0.25">
      <c r="A173" s="20"/>
      <c r="B173" s="1"/>
      <c r="C173" s="1"/>
      <c r="D173" s="1"/>
      <c r="E173" s="1"/>
      <c r="F173" s="1"/>
      <c r="G173" s="1"/>
      <c r="H173" s="1"/>
      <c r="I173" s="1"/>
      <c r="J173" s="1"/>
      <c r="K173" s="1"/>
      <c r="L173" s="1"/>
      <c r="M173" s="1"/>
      <c r="N173" s="1"/>
      <c r="O173" s="1"/>
      <c r="P173" s="1"/>
      <c r="Q173" s="1"/>
      <c r="R173" s="1"/>
      <c r="S173" s="1"/>
    </row>
    <row r="174" spans="1:19" x14ac:dyDescent="0.25">
      <c r="A174" s="20"/>
      <c r="B174" s="1"/>
      <c r="C174" s="1"/>
      <c r="D174" s="1"/>
      <c r="E174" s="1"/>
      <c r="F174" s="1"/>
      <c r="G174" s="1"/>
      <c r="H174" s="1"/>
      <c r="I174" s="1"/>
      <c r="J174" s="1"/>
      <c r="K174" s="1"/>
      <c r="L174" s="1"/>
      <c r="M174" s="1"/>
      <c r="N174" s="1"/>
      <c r="O174" s="1"/>
      <c r="P174" s="1"/>
      <c r="Q174" s="1"/>
      <c r="R174" s="1"/>
      <c r="S174" s="1"/>
    </row>
    <row r="175" spans="1:19" x14ac:dyDescent="0.25">
      <c r="A175" s="20"/>
      <c r="B175" s="1"/>
      <c r="C175" s="1"/>
      <c r="D175" s="1"/>
      <c r="E175" s="1"/>
      <c r="F175" s="1"/>
      <c r="G175" s="1"/>
      <c r="H175" s="1"/>
      <c r="I175" s="1"/>
      <c r="J175" s="1"/>
      <c r="K175" s="1"/>
      <c r="L175" s="1"/>
      <c r="M175" s="1"/>
      <c r="N175" s="1"/>
      <c r="O175" s="1"/>
      <c r="P175" s="1"/>
      <c r="Q175" s="1"/>
      <c r="R175" s="1"/>
      <c r="S175" s="1"/>
    </row>
    <row r="176" spans="1:19" x14ac:dyDescent="0.25">
      <c r="A176" s="20"/>
      <c r="B176" s="1"/>
      <c r="C176" s="1"/>
      <c r="D176" s="1"/>
      <c r="E176" s="1"/>
      <c r="F176" s="1"/>
      <c r="G176" s="1"/>
      <c r="H176" s="1"/>
      <c r="I176" s="1"/>
      <c r="J176" s="1"/>
      <c r="K176" s="1"/>
      <c r="L176" s="1"/>
      <c r="M176" s="1"/>
      <c r="N176" s="1"/>
      <c r="O176" s="1"/>
      <c r="P176" s="1"/>
      <c r="Q176" s="1"/>
      <c r="R176" s="1"/>
      <c r="S176" s="1"/>
    </row>
    <row r="177" spans="1:19" x14ac:dyDescent="0.25">
      <c r="A177" s="20"/>
      <c r="B177" s="1"/>
      <c r="C177" s="1"/>
      <c r="D177" s="1"/>
      <c r="E177" s="1"/>
      <c r="F177" s="1"/>
      <c r="G177" s="1"/>
      <c r="H177" s="1"/>
      <c r="I177" s="1"/>
      <c r="J177" s="1"/>
      <c r="K177" s="1"/>
      <c r="L177" s="1"/>
      <c r="M177" s="1"/>
      <c r="N177" s="1"/>
      <c r="O177" s="1"/>
      <c r="P177" s="1"/>
      <c r="Q177" s="1"/>
      <c r="R177" s="1"/>
      <c r="S177" s="1"/>
    </row>
    <row r="178" spans="1:19" x14ac:dyDescent="0.25">
      <c r="A178" s="20"/>
      <c r="B178" s="1"/>
      <c r="C178" s="1"/>
      <c r="D178" s="1"/>
      <c r="E178" s="1"/>
      <c r="F178" s="1"/>
      <c r="G178" s="1"/>
      <c r="H178" s="1"/>
      <c r="I178" s="1"/>
      <c r="J178" s="1"/>
      <c r="K178" s="1"/>
      <c r="L178" s="1"/>
      <c r="M178" s="1"/>
      <c r="N178" s="1"/>
      <c r="O178" s="1"/>
      <c r="P178" s="1"/>
      <c r="Q178" s="1"/>
      <c r="R178" s="1"/>
      <c r="S178" s="1"/>
    </row>
    <row r="179" spans="1:19" x14ac:dyDescent="0.25">
      <c r="A179" s="20"/>
      <c r="B179" s="1"/>
      <c r="C179" s="1"/>
      <c r="D179" s="1"/>
      <c r="E179" s="1"/>
      <c r="F179" s="1"/>
      <c r="G179" s="1"/>
      <c r="H179" s="1"/>
      <c r="I179" s="1"/>
      <c r="J179" s="1"/>
      <c r="K179" s="1"/>
      <c r="L179" s="1"/>
      <c r="M179" s="1"/>
      <c r="N179" s="1"/>
      <c r="O179" s="1"/>
      <c r="P179" s="1"/>
      <c r="Q179" s="1"/>
      <c r="R179" s="1"/>
      <c r="S179" s="1"/>
    </row>
    <row r="180" spans="1:19" x14ac:dyDescent="0.25">
      <c r="A180" s="20"/>
      <c r="B180" s="1"/>
      <c r="C180" s="1"/>
      <c r="D180" s="1"/>
      <c r="E180" s="1"/>
      <c r="F180" s="1"/>
      <c r="G180" s="1"/>
      <c r="H180" s="1"/>
      <c r="I180" s="1"/>
      <c r="J180" s="1"/>
      <c r="K180" s="1"/>
      <c r="L180" s="1"/>
      <c r="M180" s="1"/>
      <c r="N180" s="1"/>
      <c r="O180" s="1"/>
      <c r="P180" s="1"/>
      <c r="Q180" s="1"/>
      <c r="R180" s="1"/>
      <c r="S180" s="1"/>
    </row>
    <row r="181" spans="1:19" x14ac:dyDescent="0.25">
      <c r="A181" s="20"/>
      <c r="B181" s="1"/>
      <c r="C181" s="1"/>
      <c r="D181" s="1"/>
      <c r="E181" s="1"/>
      <c r="F181" s="1"/>
      <c r="G181" s="1"/>
      <c r="H181" s="1"/>
      <c r="I181" s="1"/>
      <c r="J181" s="1"/>
      <c r="K181" s="1"/>
      <c r="L181" s="1"/>
      <c r="M181" s="1"/>
      <c r="N181" s="1"/>
      <c r="O181" s="1"/>
      <c r="P181" s="1"/>
      <c r="Q181" s="1"/>
      <c r="R181" s="1"/>
      <c r="S181" s="1"/>
    </row>
    <row r="182" spans="1:19" x14ac:dyDescent="0.25">
      <c r="A182" s="20"/>
      <c r="B182" s="1"/>
      <c r="C182" s="1"/>
      <c r="D182" s="1"/>
      <c r="E182" s="1"/>
      <c r="F182" s="1"/>
      <c r="G182" s="1"/>
      <c r="H182" s="1"/>
      <c r="I182" s="1"/>
      <c r="J182" s="1"/>
      <c r="K182" s="1"/>
      <c r="L182" s="1"/>
      <c r="M182" s="1"/>
      <c r="N182" s="1"/>
      <c r="O182" s="1"/>
      <c r="P182" s="1"/>
      <c r="Q182" s="1"/>
      <c r="R182" s="1"/>
      <c r="S182" s="1"/>
    </row>
    <row r="183" spans="1:19" x14ac:dyDescent="0.25">
      <c r="A183" s="20"/>
      <c r="B183" s="1"/>
      <c r="C183" s="1"/>
      <c r="D183" s="1"/>
      <c r="E183" s="1"/>
      <c r="F183" s="1"/>
      <c r="G183" s="1"/>
      <c r="H183" s="1"/>
      <c r="I183" s="1"/>
      <c r="J183" s="1"/>
      <c r="K183" s="1"/>
      <c r="L183" s="1"/>
      <c r="M183" s="1"/>
      <c r="N183" s="1"/>
      <c r="O183" s="1"/>
      <c r="P183" s="1"/>
      <c r="Q183" s="1"/>
      <c r="R183" s="1"/>
      <c r="S183" s="1"/>
    </row>
    <row r="184" spans="1:19" x14ac:dyDescent="0.25">
      <c r="A184" s="20"/>
      <c r="B184" s="1"/>
      <c r="C184" s="1"/>
      <c r="D184" s="1"/>
      <c r="E184" s="1"/>
      <c r="F184" s="1"/>
      <c r="G184" s="1"/>
      <c r="H184" s="1"/>
      <c r="I184" s="1"/>
      <c r="J184" s="1"/>
      <c r="K184" s="1"/>
      <c r="L184" s="1"/>
      <c r="M184" s="1"/>
      <c r="N184" s="1"/>
      <c r="O184" s="1"/>
      <c r="P184" s="1"/>
      <c r="Q184" s="1"/>
      <c r="R184" s="1"/>
      <c r="S184" s="1"/>
    </row>
    <row r="185" spans="1:19" x14ac:dyDescent="0.25">
      <c r="A185" s="20"/>
      <c r="B185" s="1"/>
      <c r="C185" s="1"/>
      <c r="D185" s="1"/>
      <c r="E185" s="1"/>
      <c r="F185" s="1"/>
      <c r="G185" s="1"/>
      <c r="H185" s="1"/>
      <c r="I185" s="1"/>
      <c r="J185" s="1"/>
      <c r="K185" s="1"/>
      <c r="L185" s="1"/>
      <c r="M185" s="1"/>
      <c r="N185" s="1"/>
      <c r="O185" s="1"/>
      <c r="P185" s="1"/>
      <c r="Q185" s="1"/>
      <c r="R185" s="1"/>
      <c r="S185" s="1"/>
    </row>
    <row r="186" spans="1:19" x14ac:dyDescent="0.25">
      <c r="A186" s="20"/>
      <c r="B186" s="1"/>
      <c r="C186" s="1"/>
      <c r="D186" s="1"/>
      <c r="E186" s="1"/>
      <c r="F186" s="1"/>
      <c r="G186" s="1"/>
      <c r="H186" s="1"/>
      <c r="I186" s="1"/>
      <c r="J186" s="1"/>
      <c r="K186" s="1"/>
      <c r="L186" s="1"/>
      <c r="M186" s="1"/>
      <c r="N186" s="1"/>
      <c r="O186" s="1"/>
      <c r="P186" s="1"/>
      <c r="Q186" s="1"/>
      <c r="R186" s="1"/>
      <c r="S186" s="1"/>
    </row>
    <row r="187" spans="1:19" x14ac:dyDescent="0.25">
      <c r="A187" s="20"/>
      <c r="B187" s="1"/>
      <c r="C187" s="1"/>
      <c r="D187" s="1"/>
      <c r="E187" s="1"/>
      <c r="F187" s="1"/>
      <c r="G187" s="1"/>
      <c r="H187" s="1"/>
      <c r="I187" s="1"/>
      <c r="J187" s="1"/>
      <c r="K187" s="1"/>
      <c r="L187" s="1"/>
      <c r="M187" s="1"/>
      <c r="N187" s="1"/>
      <c r="O187" s="1"/>
      <c r="P187" s="1"/>
      <c r="Q187" s="1"/>
      <c r="R187" s="1"/>
      <c r="S187" s="1"/>
    </row>
    <row r="188" spans="1:19" x14ac:dyDescent="0.25">
      <c r="A188" s="20"/>
      <c r="B188" s="1"/>
      <c r="C188" s="1"/>
      <c r="D188" s="1"/>
      <c r="E188" s="1"/>
      <c r="F188" s="1"/>
      <c r="G188" s="1"/>
      <c r="H188" s="1"/>
      <c r="I188" s="1"/>
      <c r="J188" s="1"/>
      <c r="K188" s="1"/>
      <c r="L188" s="1"/>
      <c r="M188" s="1"/>
      <c r="N188" s="1"/>
      <c r="O188" s="1"/>
      <c r="P188" s="1"/>
      <c r="Q188" s="1"/>
      <c r="R188" s="1"/>
      <c r="S188" s="1"/>
    </row>
    <row r="189" spans="1:19" x14ac:dyDescent="0.25">
      <c r="A189" s="20"/>
      <c r="B189" s="1"/>
      <c r="C189" s="1"/>
      <c r="D189" s="1"/>
      <c r="E189" s="1"/>
      <c r="F189" s="1"/>
      <c r="G189" s="1"/>
      <c r="H189" s="1"/>
      <c r="I189" s="1"/>
      <c r="J189" s="1"/>
      <c r="K189" s="1"/>
      <c r="L189" s="1"/>
      <c r="M189" s="1"/>
      <c r="N189" s="1"/>
      <c r="O189" s="1"/>
      <c r="P189" s="1"/>
      <c r="Q189" s="1"/>
      <c r="R189" s="1"/>
      <c r="S189" s="1"/>
    </row>
    <row r="190" spans="1:19" x14ac:dyDescent="0.25">
      <c r="A190" s="20"/>
      <c r="B190" s="1"/>
      <c r="C190" s="1"/>
      <c r="D190" s="1"/>
      <c r="E190" s="1"/>
      <c r="F190" s="1"/>
      <c r="G190" s="1"/>
      <c r="H190" s="1"/>
      <c r="I190" s="1"/>
      <c r="J190" s="1"/>
      <c r="K190" s="1"/>
      <c r="L190" s="1"/>
      <c r="M190" s="1"/>
      <c r="N190" s="1"/>
      <c r="O190" s="1"/>
      <c r="P190" s="1"/>
      <c r="Q190" s="1"/>
      <c r="R190" s="1"/>
      <c r="S190" s="1"/>
    </row>
    <row r="191" spans="1:19" x14ac:dyDescent="0.25">
      <c r="A191" s="20"/>
      <c r="B191" s="1"/>
      <c r="C191" s="1"/>
      <c r="D191" s="1"/>
      <c r="E191" s="1"/>
      <c r="F191" s="1"/>
      <c r="G191" s="1"/>
      <c r="H191" s="1"/>
      <c r="I191" s="1"/>
      <c r="J191" s="1"/>
      <c r="K191" s="1"/>
      <c r="L191" s="1"/>
      <c r="M191" s="1"/>
      <c r="N191" s="1"/>
      <c r="O191" s="1"/>
      <c r="P191" s="1"/>
      <c r="Q191" s="1"/>
      <c r="R191" s="1"/>
      <c r="S191" s="1"/>
    </row>
    <row r="192" spans="1:19" x14ac:dyDescent="0.25">
      <c r="A192" s="20"/>
      <c r="B192" s="1"/>
      <c r="C192" s="1"/>
      <c r="D192" s="1"/>
      <c r="E192" s="1"/>
      <c r="F192" s="1"/>
      <c r="G192" s="1"/>
      <c r="H192" s="1"/>
      <c r="I192" s="1"/>
      <c r="J192" s="1"/>
      <c r="K192" s="1"/>
      <c r="L192" s="1"/>
      <c r="M192" s="1"/>
      <c r="N192" s="1"/>
      <c r="O192" s="1"/>
      <c r="P192" s="1"/>
      <c r="Q192" s="1"/>
      <c r="R192" s="1"/>
      <c r="S192" s="1"/>
    </row>
    <row r="193" spans="1:19" x14ac:dyDescent="0.25">
      <c r="A193" s="20"/>
      <c r="B193" s="1"/>
      <c r="C193" s="1"/>
      <c r="D193" s="1"/>
      <c r="E193" s="1"/>
      <c r="F193" s="1"/>
      <c r="G193" s="1"/>
      <c r="H193" s="1"/>
      <c r="I193" s="1"/>
      <c r="J193" s="1"/>
      <c r="K193" s="1"/>
      <c r="L193" s="1"/>
      <c r="M193" s="1"/>
      <c r="N193" s="1"/>
      <c r="O193" s="1"/>
      <c r="P193" s="1"/>
      <c r="Q193" s="1"/>
      <c r="R193" s="1"/>
      <c r="S193" s="1"/>
    </row>
  </sheetData>
  <mergeCells count="14">
    <mergeCell ref="A54:I54"/>
    <mergeCell ref="B42:D42"/>
    <mergeCell ref="A50:J50"/>
    <mergeCell ref="N50:Q50"/>
    <mergeCell ref="A51:I51"/>
    <mergeCell ref="A52:I52"/>
    <mergeCell ref="A53:I53"/>
    <mergeCell ref="A1:F1"/>
    <mergeCell ref="G1:H1"/>
    <mergeCell ref="A6:I6"/>
    <mergeCell ref="N6:Q7"/>
    <mergeCell ref="A7:A9"/>
    <mergeCell ref="B7:D8"/>
    <mergeCell ref="O8:Q8"/>
  </mergeCells>
  <conditionalFormatting sqref="C44 C47:C48 C10:D41 P10:Q48">
    <cfRule type="cellIs" dxfId="58" priority="7" operator="lessThan">
      <formula>0</formula>
    </cfRule>
    <cfRule type="cellIs" dxfId="57" priority="8" operator="greaterThan">
      <formula>0</formula>
    </cfRule>
  </conditionalFormatting>
  <conditionalFormatting sqref="B47:B48 B44 B10:B41">
    <cfRule type="colorScale" priority="6">
      <colorScale>
        <cfvo type="num" val="-40000"/>
        <cfvo type="num" val="0"/>
        <cfvo type="num" val="40000"/>
        <color rgb="FFF8696B"/>
        <color rgb="FFFCFCFF"/>
        <color rgb="FF5A8AC6"/>
      </colorScale>
    </cfRule>
  </conditionalFormatting>
  <conditionalFormatting sqref="O10:O48">
    <cfRule type="colorScale" priority="5">
      <colorScale>
        <cfvo type="num" val="-100"/>
        <cfvo type="num" val="0"/>
        <cfvo type="num" val="100"/>
        <color rgb="FFF8696B"/>
        <color rgb="FFFCFCFF"/>
        <color rgb="FF5A8AC6"/>
      </colorScale>
    </cfRule>
  </conditionalFormatting>
  <conditionalFormatting sqref="F3">
    <cfRule type="cellIs" dxfId="56" priority="3" operator="lessThan">
      <formula>0.55</formula>
    </cfRule>
    <cfRule type="cellIs" dxfId="55" priority="4" operator="greaterThan">
      <formula>0.6</formula>
    </cfRule>
  </conditionalFormatting>
  <conditionalFormatting sqref="D44 D47:D48">
    <cfRule type="cellIs" dxfId="54" priority="1" operator="lessThan">
      <formula>0</formula>
    </cfRule>
    <cfRule type="cellIs" dxfId="53" priority="2" operator="greaterThan">
      <formula>0</formula>
    </cfRule>
  </conditionalFormatting>
  <pageMargins left="0.70866141732283472" right="0.70866141732283472" top="0.59055118110236227" bottom="0.39370078740157483" header="0.31496062992125984" footer="0.31496062992125984"/>
  <pageSetup paperSize="9" scale="20" fitToHeight="0" orientation="portrait" r:id="rId1"/>
  <rowBreaks count="1" manualBreakCount="1">
    <brk id="47" max="10"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193"/>
  <sheetViews>
    <sheetView view="pageBreakPreview" topLeftCell="A2" zoomScale="80" zoomScaleNormal="70" zoomScaleSheetLayoutView="80" workbookViewId="0">
      <selection activeCell="J11" sqref="J11"/>
    </sheetView>
  </sheetViews>
  <sheetFormatPr defaultColWidth="11.42578125" defaultRowHeight="15" x14ac:dyDescent="0.25"/>
  <cols>
    <col min="1" max="1" width="11.42578125" style="18"/>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2" ht="80.25" customHeight="1" x14ac:dyDescent="0.25">
      <c r="A1" s="111" t="s">
        <v>101</v>
      </c>
      <c r="B1" s="112"/>
      <c r="C1" s="112"/>
      <c r="D1" s="112"/>
      <c r="E1" s="112"/>
      <c r="F1" s="112"/>
      <c r="G1" s="113">
        <f>Ueberhaenge!G1</f>
        <v>45175</v>
      </c>
      <c r="H1" s="113"/>
      <c r="I1" s="55"/>
      <c r="J1" s="59"/>
      <c r="K1" s="59"/>
    </row>
    <row r="2" spans="1:22" ht="21" customHeight="1" x14ac:dyDescent="0.25">
      <c r="A2" s="61"/>
      <c r="B2" s="62"/>
      <c r="C2" s="62"/>
      <c r="D2" s="62"/>
      <c r="E2" s="62"/>
      <c r="F2" s="62"/>
      <c r="G2" s="62"/>
      <c r="H2" s="62"/>
      <c r="I2" s="62"/>
      <c r="J2" s="62"/>
      <c r="K2" s="62"/>
    </row>
    <row r="3" spans="1:22" ht="18.75" x14ac:dyDescent="0.3">
      <c r="A3" s="63" t="s">
        <v>27</v>
      </c>
      <c r="B3" s="62"/>
      <c r="C3" s="65">
        <f>Ueberhaenge!G2</f>
        <v>9</v>
      </c>
      <c r="D3" s="62"/>
      <c r="E3" s="64" t="s">
        <v>31</v>
      </c>
      <c r="F3" s="64">
        <v>0.5</v>
      </c>
      <c r="G3" s="62"/>
      <c r="H3" s="39" t="str">
        <f>IF(F3&lt;0.9,"",IF(STOXX_Infos!T34="klein","Heute kleiner Verfall","Heute großer Verfall"))</f>
        <v/>
      </c>
      <c r="I3" s="67"/>
      <c r="J3" s="62"/>
      <c r="K3" s="62"/>
    </row>
    <row r="4" spans="1:22" x14ac:dyDescent="0.25">
      <c r="A4" s="61"/>
      <c r="B4" s="62"/>
      <c r="C4" s="62"/>
      <c r="D4" s="62"/>
      <c r="E4" s="62"/>
      <c r="F4" s="62"/>
      <c r="G4" s="62"/>
      <c r="H4" s="62"/>
      <c r="I4" s="62"/>
      <c r="J4" s="62"/>
      <c r="K4" s="62"/>
      <c r="L4" s="1"/>
      <c r="M4" s="1"/>
      <c r="N4" s="1"/>
      <c r="O4" s="1"/>
      <c r="P4" s="1"/>
      <c r="Q4" s="1"/>
      <c r="R4" s="1"/>
      <c r="S4" s="1"/>
    </row>
    <row r="5" spans="1:22" ht="5.25" customHeight="1" x14ac:dyDescent="0.25">
      <c r="A5" s="61"/>
      <c r="B5" s="62"/>
      <c r="C5" s="62"/>
      <c r="D5" s="62"/>
      <c r="E5" s="62"/>
      <c r="F5" s="62"/>
      <c r="G5" s="62"/>
      <c r="H5" s="62"/>
      <c r="I5" s="62"/>
      <c r="J5" s="62"/>
      <c r="K5" s="62"/>
      <c r="L5" s="1"/>
      <c r="M5" s="1"/>
      <c r="N5" s="1"/>
      <c r="O5" s="1"/>
      <c r="P5" s="1"/>
      <c r="Q5" s="1"/>
      <c r="R5" s="1"/>
      <c r="S5" s="1"/>
    </row>
    <row r="6" spans="1:22" ht="63.75" customHeight="1" thickBot="1" x14ac:dyDescent="0.3">
      <c r="A6" s="114" t="s">
        <v>104</v>
      </c>
      <c r="B6" s="115"/>
      <c r="C6" s="115"/>
      <c r="D6" s="115"/>
      <c r="E6" s="115"/>
      <c r="F6" s="115"/>
      <c r="G6" s="115"/>
      <c r="H6" s="115"/>
      <c r="I6" s="115"/>
      <c r="J6" s="59"/>
      <c r="K6" s="59"/>
      <c r="L6" s="1"/>
      <c r="M6" s="1"/>
      <c r="N6" s="116" t="s">
        <v>32</v>
      </c>
      <c r="O6" s="116"/>
      <c r="P6" s="116"/>
      <c r="Q6" s="116"/>
      <c r="R6" s="1"/>
      <c r="S6" s="1"/>
    </row>
    <row r="7" spans="1:22" ht="32.25" customHeight="1" thickBot="1" x14ac:dyDescent="0.55000000000000004">
      <c r="A7" s="117" t="s">
        <v>1</v>
      </c>
      <c r="B7" s="120" t="str">
        <f xml:space="preserve"> "Front: " &amp; Ueberhaenge!D8</f>
        <v>Front: 2023-09</v>
      </c>
      <c r="C7" s="121"/>
      <c r="D7" s="122"/>
      <c r="E7" s="58"/>
      <c r="F7" s="58"/>
      <c r="G7" s="58"/>
      <c r="H7" s="59"/>
      <c r="I7" s="59"/>
      <c r="J7" s="59"/>
      <c r="K7" s="59"/>
      <c r="L7" s="1"/>
      <c r="M7" s="1"/>
      <c r="N7" s="116"/>
      <c r="O7" s="116"/>
      <c r="P7" s="116"/>
      <c r="Q7" s="116"/>
      <c r="R7" s="38"/>
      <c r="S7" s="38"/>
      <c r="T7" s="37"/>
      <c r="U7" s="37"/>
      <c r="V7" s="37"/>
    </row>
    <row r="8" spans="1:22" ht="21.75" thickBot="1" x14ac:dyDescent="0.4">
      <c r="A8" s="118"/>
      <c r="B8" s="123"/>
      <c r="C8" s="124"/>
      <c r="D8" s="125"/>
      <c r="E8" s="60"/>
      <c r="F8" s="59"/>
      <c r="G8" s="59"/>
      <c r="H8" s="59"/>
      <c r="I8" s="59"/>
      <c r="J8" s="59"/>
      <c r="K8" s="59"/>
      <c r="L8" s="1"/>
      <c r="M8" s="1"/>
      <c r="N8" s="35"/>
      <c r="O8" s="126" t="str">
        <f xml:space="preserve"> "Summe: " &amp; Ueberhaenge!D8 &amp; " bis " &amp; Ueberhaenge!I8</f>
        <v>Summe: 2023-09 bis -</v>
      </c>
      <c r="P8" s="127"/>
      <c r="Q8" s="128"/>
      <c r="R8" s="1"/>
      <c r="S8" s="1"/>
    </row>
    <row r="9" spans="1:22" ht="19.5" thickBot="1" x14ac:dyDescent="0.35">
      <c r="A9" s="119"/>
      <c r="B9" s="56" t="s">
        <v>26</v>
      </c>
      <c r="C9" s="57">
        <f>Ueberhaenge!G5</f>
        <v>45175</v>
      </c>
      <c r="D9" s="57">
        <f>IF(WEEKDAY(C9,2)=1,C9-3,C9-1)</f>
        <v>45174</v>
      </c>
      <c r="E9" s="60"/>
      <c r="F9" s="59"/>
      <c r="G9" s="59"/>
      <c r="H9" s="59"/>
      <c r="I9" s="59"/>
      <c r="J9" s="59"/>
      <c r="K9" s="59"/>
      <c r="L9" s="1"/>
      <c r="M9" s="1"/>
      <c r="N9" s="36" t="s">
        <v>1</v>
      </c>
      <c r="O9" s="22" t="s">
        <v>26</v>
      </c>
      <c r="P9" s="21">
        <f>C9</f>
        <v>45175</v>
      </c>
      <c r="Q9" s="21">
        <f>D9</f>
        <v>45174</v>
      </c>
      <c r="R9" s="1"/>
      <c r="S9" s="1"/>
    </row>
    <row r="10" spans="1:22" ht="23.1" customHeight="1" x14ac:dyDescent="0.3">
      <c r="A10" s="26">
        <v>4650</v>
      </c>
      <c r="B10" s="27">
        <v>5</v>
      </c>
      <c r="C10" s="28">
        <v>-66798.5</v>
      </c>
      <c r="D10" s="28">
        <v>-66803.5</v>
      </c>
      <c r="E10" s="1"/>
      <c r="F10" s="1"/>
      <c r="G10" s="1"/>
      <c r="H10" s="1"/>
      <c r="I10" s="1"/>
      <c r="J10" s="1"/>
      <c r="K10" s="1"/>
      <c r="L10" s="1"/>
      <c r="M10" s="1"/>
      <c r="N10" s="26">
        <v>4650</v>
      </c>
      <c r="O10" s="29">
        <v>-112</v>
      </c>
      <c r="P10" s="30">
        <v>-78939.5</v>
      </c>
      <c r="Q10" s="31">
        <v>-78827.5</v>
      </c>
      <c r="R10" s="1"/>
      <c r="S10" s="1"/>
      <c r="T10" s="23">
        <v>-78827.5</v>
      </c>
    </row>
    <row r="11" spans="1:22" ht="23.1" customHeight="1" x14ac:dyDescent="0.3">
      <c r="A11" s="26">
        <v>4625</v>
      </c>
      <c r="B11" s="29">
        <v>0</v>
      </c>
      <c r="C11" s="30">
        <v>-17295</v>
      </c>
      <c r="D11" s="30">
        <v>-17295</v>
      </c>
      <c r="E11" s="1"/>
      <c r="F11" s="1"/>
      <c r="G11" s="1"/>
      <c r="H11" s="1"/>
      <c r="I11" s="1"/>
      <c r="J11" s="1"/>
      <c r="K11" s="1"/>
      <c r="L11" s="1"/>
      <c r="M11" s="1"/>
      <c r="N11" s="26">
        <v>4625</v>
      </c>
      <c r="O11" s="29">
        <v>-148.5</v>
      </c>
      <c r="P11" s="30">
        <v>-18440.5</v>
      </c>
      <c r="Q11" s="31">
        <v>-18292</v>
      </c>
      <c r="R11" s="1"/>
      <c r="S11" s="1"/>
      <c r="T11" s="23">
        <v>-18292</v>
      </c>
    </row>
    <row r="12" spans="1:22" ht="23.1" customHeight="1" x14ac:dyDescent="0.3">
      <c r="A12" s="26">
        <v>4600</v>
      </c>
      <c r="B12" s="29">
        <v>-361.5</v>
      </c>
      <c r="C12" s="30">
        <v>-59448</v>
      </c>
      <c r="D12" s="30">
        <v>-59086.5</v>
      </c>
      <c r="E12" s="1"/>
      <c r="F12" s="1"/>
      <c r="G12" s="1"/>
      <c r="H12" s="1"/>
      <c r="I12" s="1"/>
      <c r="J12" s="1"/>
      <c r="K12" s="1"/>
      <c r="L12" s="1"/>
      <c r="M12" s="1"/>
      <c r="N12" s="26">
        <v>4600</v>
      </c>
      <c r="O12" s="29">
        <v>51.5</v>
      </c>
      <c r="P12" s="30">
        <v>-86335.5</v>
      </c>
      <c r="Q12" s="31">
        <v>-86387</v>
      </c>
      <c r="R12" s="1"/>
      <c r="S12" s="1"/>
      <c r="T12" s="23">
        <v>-86387</v>
      </c>
    </row>
    <row r="13" spans="1:22" ht="23.1" customHeight="1" x14ac:dyDescent="0.3">
      <c r="A13" s="26">
        <v>4575</v>
      </c>
      <c r="B13" s="29">
        <v>55.5</v>
      </c>
      <c r="C13" s="30">
        <v>-10050.5</v>
      </c>
      <c r="D13" s="30">
        <v>-10106</v>
      </c>
      <c r="E13" s="1"/>
      <c r="F13" s="1"/>
      <c r="G13" s="1"/>
      <c r="H13" s="1"/>
      <c r="I13" s="1"/>
      <c r="J13" s="1"/>
      <c r="K13" s="1"/>
      <c r="L13" s="1"/>
      <c r="M13" s="1"/>
      <c r="N13" s="26">
        <v>4575</v>
      </c>
      <c r="O13" s="29">
        <v>105.5</v>
      </c>
      <c r="P13" s="30">
        <v>-16729.5</v>
      </c>
      <c r="Q13" s="31">
        <v>-16835</v>
      </c>
      <c r="R13" s="1"/>
      <c r="S13" s="1"/>
      <c r="T13" s="23">
        <v>-16835</v>
      </c>
    </row>
    <row r="14" spans="1:22" ht="23.1" customHeight="1" x14ac:dyDescent="0.3">
      <c r="A14" s="26">
        <v>4550</v>
      </c>
      <c r="B14" s="29">
        <v>12</v>
      </c>
      <c r="C14" s="30">
        <v>-54167.5</v>
      </c>
      <c r="D14" s="30">
        <v>-54179.5</v>
      </c>
      <c r="E14" s="1"/>
      <c r="F14" s="1"/>
      <c r="G14" s="1"/>
      <c r="H14" s="1"/>
      <c r="I14" s="1"/>
      <c r="J14" s="1"/>
      <c r="K14" s="1"/>
      <c r="L14" s="1"/>
      <c r="M14" s="1"/>
      <c r="N14" s="26">
        <v>4550</v>
      </c>
      <c r="O14" s="29">
        <v>-4759.5</v>
      </c>
      <c r="P14" s="30">
        <v>-75028.5</v>
      </c>
      <c r="Q14" s="31">
        <v>-70269</v>
      </c>
      <c r="R14" s="1"/>
      <c r="S14" s="1"/>
      <c r="T14" s="23">
        <v>-70269</v>
      </c>
    </row>
    <row r="15" spans="1:22" ht="23.1" customHeight="1" x14ac:dyDescent="0.3">
      <c r="A15" s="26">
        <v>4525</v>
      </c>
      <c r="B15" s="29">
        <v>40</v>
      </c>
      <c r="C15" s="30">
        <v>-14535.5</v>
      </c>
      <c r="D15" s="30">
        <v>-14575.5</v>
      </c>
      <c r="E15" s="1"/>
      <c r="F15" s="1"/>
      <c r="G15" s="1"/>
      <c r="H15" s="1"/>
      <c r="I15" s="1"/>
      <c r="J15" s="1"/>
      <c r="K15" s="1"/>
      <c r="L15" s="1"/>
      <c r="M15" s="1"/>
      <c r="N15" s="26">
        <v>4525</v>
      </c>
      <c r="O15" s="29">
        <v>-3987.5</v>
      </c>
      <c r="P15" s="30">
        <v>-29911.5</v>
      </c>
      <c r="Q15" s="31">
        <v>-25924</v>
      </c>
      <c r="R15" s="1"/>
      <c r="S15" s="1"/>
      <c r="T15" s="23">
        <v>-25924</v>
      </c>
    </row>
    <row r="16" spans="1:22" ht="23.1" customHeight="1" x14ac:dyDescent="0.3">
      <c r="A16" s="26">
        <v>4500</v>
      </c>
      <c r="B16" s="29">
        <v>763.5</v>
      </c>
      <c r="C16" s="30">
        <v>-68094.5</v>
      </c>
      <c r="D16" s="30">
        <v>-68858</v>
      </c>
      <c r="E16" s="1"/>
      <c r="F16" s="1"/>
      <c r="G16" s="1"/>
      <c r="H16" s="1"/>
      <c r="I16" s="1"/>
      <c r="J16" s="1"/>
      <c r="K16" s="1"/>
      <c r="L16" s="1"/>
      <c r="M16" s="1"/>
      <c r="N16" s="26">
        <v>4500</v>
      </c>
      <c r="O16" s="29">
        <v>1158.5</v>
      </c>
      <c r="P16" s="30">
        <v>-104307.5</v>
      </c>
      <c r="Q16" s="31">
        <v>-105466</v>
      </c>
      <c r="R16" s="1"/>
      <c r="S16" s="1"/>
      <c r="T16" s="23">
        <v>-105466</v>
      </c>
    </row>
    <row r="17" spans="1:20" ht="23.1" customHeight="1" x14ac:dyDescent="0.3">
      <c r="A17" s="26">
        <v>4475</v>
      </c>
      <c r="B17" s="29">
        <v>-882</v>
      </c>
      <c r="C17" s="30">
        <v>-15479</v>
      </c>
      <c r="D17" s="30">
        <v>-14597</v>
      </c>
      <c r="E17" s="1"/>
      <c r="F17" s="1"/>
      <c r="G17" s="1"/>
      <c r="H17" s="1"/>
      <c r="I17" s="1"/>
      <c r="J17" s="1"/>
      <c r="K17" s="1"/>
      <c r="L17" s="1"/>
      <c r="M17" s="1"/>
      <c r="N17" s="26">
        <v>4475</v>
      </c>
      <c r="O17" s="29">
        <v>-1397</v>
      </c>
      <c r="P17" s="30">
        <v>-21035.5</v>
      </c>
      <c r="Q17" s="31">
        <v>-19638.5</v>
      </c>
      <c r="R17" s="1"/>
      <c r="S17" s="1"/>
      <c r="T17" s="23">
        <v>-19638.5</v>
      </c>
    </row>
    <row r="18" spans="1:20" ht="23.1" customHeight="1" x14ac:dyDescent="0.3">
      <c r="A18" s="26">
        <v>4450</v>
      </c>
      <c r="B18" s="29">
        <v>-810</v>
      </c>
      <c r="C18" s="30">
        <v>-25285.5</v>
      </c>
      <c r="D18" s="30">
        <v>-24475.5</v>
      </c>
      <c r="E18" s="1"/>
      <c r="F18" s="1"/>
      <c r="G18" s="1"/>
      <c r="H18" s="1"/>
      <c r="I18" s="1"/>
      <c r="J18" s="1"/>
      <c r="K18" s="1"/>
      <c r="L18" s="1"/>
      <c r="M18" s="1"/>
      <c r="N18" s="26">
        <v>4450</v>
      </c>
      <c r="O18" s="29">
        <v>-2402.5</v>
      </c>
      <c r="P18" s="30">
        <v>-65420.5</v>
      </c>
      <c r="Q18" s="31">
        <v>-63018</v>
      </c>
      <c r="R18" s="1"/>
      <c r="S18" s="1"/>
      <c r="T18" s="23">
        <v>-63018</v>
      </c>
    </row>
    <row r="19" spans="1:20" ht="23.1" customHeight="1" x14ac:dyDescent="0.3">
      <c r="A19" s="26">
        <v>4425</v>
      </c>
      <c r="B19" s="29">
        <v>310</v>
      </c>
      <c r="C19" s="30">
        <v>-4359.5</v>
      </c>
      <c r="D19" s="30">
        <v>-4669.5</v>
      </c>
      <c r="E19" s="1"/>
      <c r="F19" s="1"/>
      <c r="G19" s="1"/>
      <c r="H19" s="1"/>
      <c r="I19" s="1"/>
      <c r="J19" s="1"/>
      <c r="K19" s="1"/>
      <c r="L19" s="1"/>
      <c r="M19" s="1"/>
      <c r="N19" s="26">
        <v>4425</v>
      </c>
      <c r="O19" s="29">
        <v>5</v>
      </c>
      <c r="P19" s="30">
        <v>-8500</v>
      </c>
      <c r="Q19" s="31">
        <v>-8505</v>
      </c>
      <c r="R19" s="1"/>
      <c r="S19" s="1"/>
      <c r="T19" s="23">
        <v>-8505</v>
      </c>
    </row>
    <row r="20" spans="1:20" ht="23.1" customHeight="1" x14ac:dyDescent="0.3">
      <c r="A20" s="26">
        <v>4400</v>
      </c>
      <c r="B20" s="29">
        <v>-193</v>
      </c>
      <c r="C20" s="30">
        <v>-20449</v>
      </c>
      <c r="D20" s="30">
        <v>-20256</v>
      </c>
      <c r="E20" s="1"/>
      <c r="F20" s="1"/>
      <c r="G20" s="1"/>
      <c r="H20" s="1"/>
      <c r="I20" s="1"/>
      <c r="J20" s="1"/>
      <c r="K20" s="1"/>
      <c r="L20" s="1"/>
      <c r="M20" s="1"/>
      <c r="N20" s="26">
        <v>4400</v>
      </c>
      <c r="O20" s="29">
        <v>1454.5</v>
      </c>
      <c r="P20" s="30">
        <v>-39099.5</v>
      </c>
      <c r="Q20" s="31">
        <v>-40554</v>
      </c>
      <c r="R20" s="1"/>
      <c r="S20" s="1"/>
      <c r="T20" s="23">
        <v>-40554</v>
      </c>
    </row>
    <row r="21" spans="1:20" ht="23.1" customHeight="1" x14ac:dyDescent="0.3">
      <c r="A21" s="26">
        <v>4375</v>
      </c>
      <c r="B21" s="29">
        <v>249</v>
      </c>
      <c r="C21" s="30">
        <v>-1056</v>
      </c>
      <c r="D21" s="30">
        <v>-1305</v>
      </c>
      <c r="E21" s="1"/>
      <c r="F21" s="1"/>
      <c r="G21" s="1"/>
      <c r="H21" s="1"/>
      <c r="I21" s="1"/>
      <c r="J21" s="1"/>
      <c r="K21" s="1"/>
      <c r="L21" s="1"/>
      <c r="M21" s="1"/>
      <c r="N21" s="26">
        <v>4375</v>
      </c>
      <c r="O21" s="29">
        <v>233.5</v>
      </c>
      <c r="P21" s="30">
        <v>5343</v>
      </c>
      <c r="Q21" s="31">
        <v>5109.5</v>
      </c>
      <c r="R21" s="1"/>
      <c r="S21" s="1"/>
      <c r="T21" s="23">
        <v>5109.5</v>
      </c>
    </row>
    <row r="22" spans="1:20" ht="23.1" customHeight="1" x14ac:dyDescent="0.3">
      <c r="A22" s="26">
        <v>4350</v>
      </c>
      <c r="B22" s="29">
        <v>-275.5</v>
      </c>
      <c r="C22" s="30">
        <v>3851</v>
      </c>
      <c r="D22" s="30">
        <v>4126.5</v>
      </c>
      <c r="E22" s="1"/>
      <c r="F22" s="1"/>
      <c r="G22" s="1"/>
      <c r="H22" s="1"/>
      <c r="I22" s="1"/>
      <c r="J22" s="1"/>
      <c r="K22" s="1"/>
      <c r="L22" s="1"/>
      <c r="M22" s="1"/>
      <c r="N22" s="26">
        <v>4350</v>
      </c>
      <c r="O22" s="29">
        <v>-228</v>
      </c>
      <c r="P22" s="30">
        <v>1164.5</v>
      </c>
      <c r="Q22" s="31">
        <v>1392.5</v>
      </c>
      <c r="R22" s="1"/>
      <c r="S22" s="1"/>
      <c r="T22" s="23">
        <v>1392.5</v>
      </c>
    </row>
    <row r="23" spans="1:20" ht="23.1" customHeight="1" x14ac:dyDescent="0.3">
      <c r="A23" s="26">
        <v>4325</v>
      </c>
      <c r="B23" s="29">
        <v>-399.5</v>
      </c>
      <c r="C23" s="30">
        <v>-3197.5</v>
      </c>
      <c r="D23" s="30">
        <v>-2798</v>
      </c>
      <c r="E23" s="1"/>
      <c r="F23" s="1"/>
      <c r="G23" s="1"/>
      <c r="H23" s="1"/>
      <c r="I23" s="1"/>
      <c r="J23" s="1"/>
      <c r="K23" s="1"/>
      <c r="L23" s="1"/>
      <c r="M23" s="1"/>
      <c r="N23" s="26">
        <v>4325</v>
      </c>
      <c r="O23" s="29">
        <v>-410.5</v>
      </c>
      <c r="P23" s="30">
        <v>-2064</v>
      </c>
      <c r="Q23" s="31">
        <v>-1653.5</v>
      </c>
      <c r="R23" s="1"/>
      <c r="S23" s="1"/>
      <c r="T23" s="23">
        <v>-1653.5</v>
      </c>
    </row>
    <row r="24" spans="1:20" ht="23.1" customHeight="1" x14ac:dyDescent="0.3">
      <c r="A24" s="26">
        <v>4300</v>
      </c>
      <c r="B24" s="29">
        <v>1437</v>
      </c>
      <c r="C24" s="30">
        <v>-5156.5</v>
      </c>
      <c r="D24" s="30">
        <v>-6593.5</v>
      </c>
      <c r="E24" s="1"/>
      <c r="F24" s="1"/>
      <c r="G24" s="1"/>
      <c r="H24" s="1"/>
      <c r="I24" s="1"/>
      <c r="J24" s="1"/>
      <c r="K24" s="1"/>
      <c r="L24" s="1"/>
      <c r="M24" s="1"/>
      <c r="N24" s="26">
        <v>4300</v>
      </c>
      <c r="O24" s="29">
        <v>2011</v>
      </c>
      <c r="P24" s="30">
        <v>-2173.5</v>
      </c>
      <c r="Q24" s="31">
        <v>-4184.5</v>
      </c>
      <c r="R24" s="1"/>
      <c r="S24" s="1"/>
      <c r="T24" s="23">
        <v>-4184.5</v>
      </c>
    </row>
    <row r="25" spans="1:20" ht="23.1" customHeight="1" x14ac:dyDescent="0.3">
      <c r="A25" s="26">
        <v>4275</v>
      </c>
      <c r="B25" s="29">
        <v>-384</v>
      </c>
      <c r="C25" s="30">
        <v>1937</v>
      </c>
      <c r="D25" s="30">
        <v>2321</v>
      </c>
      <c r="E25" s="1"/>
      <c r="F25" s="1"/>
      <c r="G25" s="1"/>
      <c r="H25" s="1"/>
      <c r="I25" s="1"/>
      <c r="J25" s="1"/>
      <c r="K25" s="1"/>
      <c r="L25" s="1"/>
      <c r="M25" s="1"/>
      <c r="N25" s="26">
        <v>4275</v>
      </c>
      <c r="O25" s="29">
        <v>25</v>
      </c>
      <c r="P25" s="30">
        <v>4778</v>
      </c>
      <c r="Q25" s="31">
        <v>4753</v>
      </c>
      <c r="R25" s="1"/>
      <c r="S25" s="1"/>
      <c r="T25" s="23">
        <v>4753</v>
      </c>
    </row>
    <row r="26" spans="1:20" ht="23.1" customHeight="1" x14ac:dyDescent="0.3">
      <c r="A26" s="26">
        <v>4250</v>
      </c>
      <c r="B26" s="29">
        <v>5380.5</v>
      </c>
      <c r="C26" s="30">
        <v>47026</v>
      </c>
      <c r="D26" s="30">
        <v>41645.5</v>
      </c>
      <c r="E26" s="1"/>
      <c r="F26" s="1"/>
      <c r="G26" s="1"/>
      <c r="H26" s="1"/>
      <c r="I26" s="1"/>
      <c r="J26" s="1"/>
      <c r="K26" s="1"/>
      <c r="L26" s="1"/>
      <c r="M26" s="1"/>
      <c r="N26" s="26">
        <v>4250</v>
      </c>
      <c r="O26" s="29">
        <v>5505</v>
      </c>
      <c r="P26" s="30">
        <v>71659</v>
      </c>
      <c r="Q26" s="31">
        <v>66154</v>
      </c>
      <c r="R26" s="1"/>
      <c r="S26" s="1"/>
      <c r="T26" s="23">
        <v>66154</v>
      </c>
    </row>
    <row r="27" spans="1:20" ht="23.1" customHeight="1" x14ac:dyDescent="0.3">
      <c r="A27" s="26">
        <v>4225</v>
      </c>
      <c r="B27" s="29">
        <v>-161</v>
      </c>
      <c r="C27" s="30">
        <v>7597.5</v>
      </c>
      <c r="D27" s="30">
        <v>7758.5</v>
      </c>
      <c r="E27" s="1"/>
      <c r="F27" s="1"/>
      <c r="G27" s="1"/>
      <c r="H27" s="1"/>
      <c r="I27" s="1"/>
      <c r="J27" s="1"/>
      <c r="K27" s="1"/>
      <c r="L27" s="1"/>
      <c r="M27" s="1"/>
      <c r="N27" s="26">
        <v>4225</v>
      </c>
      <c r="O27" s="29">
        <v>-160.5</v>
      </c>
      <c r="P27" s="30">
        <v>11052</v>
      </c>
      <c r="Q27" s="31">
        <v>11212.5</v>
      </c>
      <c r="R27" s="1"/>
      <c r="S27" s="1"/>
      <c r="T27" s="23">
        <v>11212.5</v>
      </c>
    </row>
    <row r="28" spans="1:20" ht="23.1" customHeight="1" x14ac:dyDescent="0.3">
      <c r="A28" s="26">
        <v>4200</v>
      </c>
      <c r="B28" s="29">
        <v>-3060</v>
      </c>
      <c r="C28" s="30">
        <v>48597.5</v>
      </c>
      <c r="D28" s="30">
        <v>51657.5</v>
      </c>
      <c r="E28" s="1"/>
      <c r="F28" s="1"/>
      <c r="G28" s="1"/>
      <c r="H28" s="1"/>
      <c r="I28" s="1"/>
      <c r="J28" s="1"/>
      <c r="K28" s="1"/>
      <c r="L28" s="1"/>
      <c r="M28" s="1"/>
      <c r="N28" s="26">
        <v>4200</v>
      </c>
      <c r="O28" s="29">
        <v>-1970.5</v>
      </c>
      <c r="P28" s="30">
        <v>74462.5</v>
      </c>
      <c r="Q28" s="31">
        <v>76433</v>
      </c>
      <c r="R28" s="1"/>
      <c r="S28" s="1"/>
      <c r="T28" s="23">
        <v>76433</v>
      </c>
    </row>
    <row r="29" spans="1:20" ht="23.1" customHeight="1" x14ac:dyDescent="0.3">
      <c r="A29" s="26">
        <v>4175</v>
      </c>
      <c r="B29" s="29">
        <v>681</v>
      </c>
      <c r="C29" s="30">
        <v>9116</v>
      </c>
      <c r="D29" s="30">
        <v>8435</v>
      </c>
      <c r="E29" s="1"/>
      <c r="F29" s="1"/>
      <c r="G29" s="1"/>
      <c r="H29" s="1"/>
      <c r="I29" s="1"/>
      <c r="J29" s="1"/>
      <c r="K29" s="1"/>
      <c r="L29" s="1"/>
      <c r="M29" s="1"/>
      <c r="N29" s="26">
        <v>4175</v>
      </c>
      <c r="O29" s="29">
        <v>710</v>
      </c>
      <c r="P29" s="30">
        <v>18518</v>
      </c>
      <c r="Q29" s="31">
        <v>17808</v>
      </c>
      <c r="R29" s="1"/>
      <c r="S29" s="1"/>
      <c r="T29" s="23">
        <v>17808</v>
      </c>
    </row>
    <row r="30" spans="1:20" ht="23.1" customHeight="1" x14ac:dyDescent="0.3">
      <c r="A30" s="26">
        <v>4150</v>
      </c>
      <c r="B30" s="29">
        <v>-1008.5</v>
      </c>
      <c r="C30" s="30">
        <v>43584</v>
      </c>
      <c r="D30" s="30">
        <v>44592.5</v>
      </c>
      <c r="E30" s="1"/>
      <c r="F30" s="1"/>
      <c r="G30" s="1"/>
      <c r="H30" s="1"/>
      <c r="I30" s="1"/>
      <c r="J30" s="1"/>
      <c r="K30" s="1"/>
      <c r="L30" s="1"/>
      <c r="M30" s="1"/>
      <c r="N30" s="26">
        <v>4150</v>
      </c>
      <c r="O30" s="29">
        <v>-671</v>
      </c>
      <c r="P30" s="30">
        <v>64325</v>
      </c>
      <c r="Q30" s="31">
        <v>64996</v>
      </c>
      <c r="R30" s="1"/>
      <c r="S30" s="1"/>
      <c r="T30" s="23">
        <v>64996</v>
      </c>
    </row>
    <row r="31" spans="1:20" ht="23.1" customHeight="1" x14ac:dyDescent="0.3">
      <c r="A31" s="26">
        <v>4125</v>
      </c>
      <c r="B31" s="29">
        <v>799.5</v>
      </c>
      <c r="C31" s="30">
        <v>17851.5</v>
      </c>
      <c r="D31" s="30">
        <v>17052</v>
      </c>
      <c r="E31" s="1"/>
      <c r="F31" s="1"/>
      <c r="G31" s="1"/>
      <c r="H31" s="1"/>
      <c r="I31" s="1"/>
      <c r="J31" s="1"/>
      <c r="K31" s="1"/>
      <c r="L31" s="1"/>
      <c r="M31" s="1"/>
      <c r="N31" s="26">
        <v>4125</v>
      </c>
      <c r="O31" s="29">
        <v>1738.5</v>
      </c>
      <c r="P31" s="30">
        <v>25110</v>
      </c>
      <c r="Q31" s="31">
        <v>23371.5</v>
      </c>
      <c r="R31" s="1"/>
      <c r="S31" s="1"/>
      <c r="T31" s="23">
        <v>23371.5</v>
      </c>
    </row>
    <row r="32" spans="1:20" ht="23.1" customHeight="1" x14ac:dyDescent="0.3">
      <c r="A32" s="26">
        <v>4100</v>
      </c>
      <c r="B32" s="29">
        <v>707.5</v>
      </c>
      <c r="C32" s="30">
        <v>42667.5</v>
      </c>
      <c r="D32" s="30">
        <v>41960</v>
      </c>
      <c r="E32" s="1"/>
      <c r="F32" s="1"/>
      <c r="G32" s="1"/>
      <c r="H32" s="1"/>
      <c r="I32" s="1"/>
      <c r="J32" s="1"/>
      <c r="K32" s="1"/>
      <c r="L32" s="1"/>
      <c r="M32" s="1"/>
      <c r="N32" s="26">
        <v>4100</v>
      </c>
      <c r="O32" s="29">
        <v>-1316.5</v>
      </c>
      <c r="P32" s="30">
        <v>100373.5</v>
      </c>
      <c r="Q32" s="31">
        <v>101690</v>
      </c>
      <c r="R32" s="1"/>
      <c r="S32" s="1"/>
      <c r="T32" s="23">
        <v>101690</v>
      </c>
    </row>
    <row r="33" spans="1:20" ht="23.1" customHeight="1" x14ac:dyDescent="0.3">
      <c r="A33" s="26">
        <v>4075</v>
      </c>
      <c r="B33" s="29">
        <v>-71</v>
      </c>
      <c r="C33" s="30">
        <v>38384.5</v>
      </c>
      <c r="D33" s="30">
        <v>38455.5</v>
      </c>
      <c r="E33" s="1"/>
      <c r="F33" s="1"/>
      <c r="G33" s="1"/>
      <c r="H33" s="1"/>
      <c r="I33" s="1"/>
      <c r="J33" s="1"/>
      <c r="K33" s="1"/>
      <c r="L33" s="1"/>
      <c r="M33" s="1"/>
      <c r="N33" s="26">
        <v>4075</v>
      </c>
      <c r="O33" s="29">
        <v>-63</v>
      </c>
      <c r="P33" s="30">
        <v>40326.5</v>
      </c>
      <c r="Q33" s="31">
        <v>40389.5</v>
      </c>
      <c r="R33" s="1"/>
      <c r="S33" s="1"/>
      <c r="T33" s="23">
        <v>40389.5</v>
      </c>
    </row>
    <row r="34" spans="1:20" ht="23.1" customHeight="1" x14ac:dyDescent="0.3">
      <c r="A34" s="26">
        <v>4050</v>
      </c>
      <c r="B34" s="29">
        <v>2002</v>
      </c>
      <c r="C34" s="30">
        <v>25998.5</v>
      </c>
      <c r="D34" s="30">
        <v>23996.5</v>
      </c>
      <c r="E34" s="1"/>
      <c r="F34" s="1"/>
      <c r="G34" s="1"/>
      <c r="H34" s="1"/>
      <c r="I34" s="1"/>
      <c r="J34" s="1"/>
      <c r="K34" s="1"/>
      <c r="L34" s="1"/>
      <c r="M34" s="1"/>
      <c r="N34" s="26">
        <v>4050</v>
      </c>
      <c r="O34" s="29">
        <v>1948.5</v>
      </c>
      <c r="P34" s="30">
        <v>54222</v>
      </c>
      <c r="Q34" s="31">
        <v>52273.5</v>
      </c>
      <c r="R34" s="1"/>
      <c r="S34" s="1"/>
      <c r="T34" s="23">
        <v>52273.5</v>
      </c>
    </row>
    <row r="35" spans="1:20" ht="23.1" customHeight="1" x14ac:dyDescent="0.3">
      <c r="A35" s="26">
        <v>4025</v>
      </c>
      <c r="B35" s="29">
        <v>274.5</v>
      </c>
      <c r="C35" s="30">
        <v>10157</v>
      </c>
      <c r="D35" s="30">
        <v>9882.5</v>
      </c>
      <c r="E35" s="1"/>
      <c r="F35" s="1"/>
      <c r="G35" s="1"/>
      <c r="H35" s="1"/>
      <c r="I35" s="1"/>
      <c r="J35" s="1"/>
      <c r="K35" s="1"/>
      <c r="L35" s="1"/>
      <c r="M35" s="1"/>
      <c r="N35" s="26">
        <v>4025</v>
      </c>
      <c r="O35" s="29">
        <v>289.5</v>
      </c>
      <c r="P35" s="30">
        <v>13593.5</v>
      </c>
      <c r="Q35" s="31">
        <v>13304</v>
      </c>
      <c r="R35" s="1"/>
      <c r="S35" s="1"/>
      <c r="T35" s="23">
        <v>13304</v>
      </c>
    </row>
    <row r="36" spans="1:20" ht="23.1" customHeight="1" x14ac:dyDescent="0.3">
      <c r="A36" s="26">
        <v>4000</v>
      </c>
      <c r="B36" s="29">
        <v>4377.5</v>
      </c>
      <c r="C36" s="30">
        <v>87104</v>
      </c>
      <c r="D36" s="30">
        <v>82726.5</v>
      </c>
      <c r="E36" s="1"/>
      <c r="F36" s="1"/>
      <c r="G36" s="1"/>
      <c r="H36" s="1"/>
      <c r="I36" s="1"/>
      <c r="J36" s="1"/>
      <c r="K36" s="1"/>
      <c r="L36" s="1"/>
      <c r="M36" s="1"/>
      <c r="N36" s="26">
        <v>4000</v>
      </c>
      <c r="O36" s="29">
        <v>9178.5</v>
      </c>
      <c r="P36" s="30">
        <v>133880</v>
      </c>
      <c r="Q36" s="31">
        <v>124701.5</v>
      </c>
      <c r="R36" s="1"/>
      <c r="S36" s="1"/>
      <c r="T36" s="23">
        <v>124701.5</v>
      </c>
    </row>
    <row r="37" spans="1:20" ht="23.1" customHeight="1" x14ac:dyDescent="0.3">
      <c r="A37" s="26">
        <v>3975</v>
      </c>
      <c r="B37" s="29">
        <v>19.5</v>
      </c>
      <c r="C37" s="30">
        <v>6868.5</v>
      </c>
      <c r="D37" s="30">
        <v>6849</v>
      </c>
      <c r="E37" s="1"/>
      <c r="F37" s="1"/>
      <c r="G37" s="1"/>
      <c r="H37" s="1"/>
      <c r="I37" s="1"/>
      <c r="J37" s="1"/>
      <c r="K37" s="1"/>
      <c r="L37" s="1"/>
      <c r="M37" s="1"/>
      <c r="N37" s="26">
        <v>3975</v>
      </c>
      <c r="O37" s="29">
        <v>1702.5</v>
      </c>
      <c r="P37" s="30">
        <v>13628</v>
      </c>
      <c r="Q37" s="31">
        <v>11925.5</v>
      </c>
      <c r="R37" s="1"/>
      <c r="S37" s="1"/>
      <c r="T37" s="23">
        <v>11925.5</v>
      </c>
    </row>
    <row r="38" spans="1:20" ht="23.1" customHeight="1" thickBot="1" x14ac:dyDescent="0.35">
      <c r="A38" s="32">
        <v>3950</v>
      </c>
      <c r="B38" s="29">
        <v>125.5</v>
      </c>
      <c r="C38" s="30">
        <v>33147.5</v>
      </c>
      <c r="D38" s="30">
        <v>33022</v>
      </c>
      <c r="E38" s="1"/>
      <c r="F38" s="1"/>
      <c r="G38" s="1"/>
      <c r="H38" s="1"/>
      <c r="I38" s="1"/>
      <c r="J38" s="1"/>
      <c r="K38" s="1"/>
      <c r="L38" s="1"/>
      <c r="M38" s="1"/>
      <c r="N38" s="26">
        <v>3950</v>
      </c>
      <c r="O38" s="29">
        <v>304.5</v>
      </c>
      <c r="P38" s="30">
        <v>51148</v>
      </c>
      <c r="Q38" s="31">
        <v>50843.5</v>
      </c>
      <c r="R38" s="1"/>
      <c r="S38" s="1"/>
      <c r="T38" s="23">
        <v>50843.5</v>
      </c>
    </row>
    <row r="39" spans="1:20" ht="18.75" x14ac:dyDescent="0.3">
      <c r="A39" s="71"/>
      <c r="B39" s="30"/>
      <c r="C39" s="30"/>
      <c r="D39" s="30"/>
      <c r="E39" s="1"/>
      <c r="F39" s="1"/>
      <c r="G39" s="1"/>
      <c r="H39" s="1"/>
      <c r="I39" s="1"/>
      <c r="J39" s="1"/>
      <c r="K39" s="1"/>
      <c r="L39" s="1"/>
      <c r="M39" s="1"/>
      <c r="N39" s="26"/>
      <c r="O39" s="29"/>
      <c r="P39" s="30"/>
      <c r="Q39" s="31"/>
      <c r="R39" s="1"/>
      <c r="S39" s="1"/>
      <c r="T39" s="23">
        <v>17666.5</v>
      </c>
    </row>
    <row r="40" spans="1:20" ht="18.75" x14ac:dyDescent="0.3">
      <c r="A40" s="69"/>
      <c r="B40" s="30"/>
      <c r="C40" s="30"/>
      <c r="D40" s="30"/>
      <c r="E40" s="1"/>
      <c r="F40" s="1"/>
      <c r="G40" s="1"/>
      <c r="H40" s="1"/>
      <c r="I40" s="1"/>
      <c r="J40" s="1"/>
      <c r="K40" s="1"/>
      <c r="L40" s="1"/>
      <c r="M40" s="1"/>
      <c r="N40" s="26"/>
      <c r="O40" s="29"/>
      <c r="P40" s="30"/>
      <c r="Q40" s="31"/>
      <c r="R40" s="1"/>
      <c r="S40" s="1"/>
      <c r="T40" s="23">
        <v>38576</v>
      </c>
    </row>
    <row r="41" spans="1:20" ht="19.5" thickBot="1" x14ac:dyDescent="0.35">
      <c r="A41" s="69"/>
      <c r="B41" s="30"/>
      <c r="C41" s="30"/>
      <c r="D41" s="30"/>
      <c r="E41" s="1"/>
      <c r="F41" s="1"/>
      <c r="G41" s="1"/>
      <c r="H41" s="1"/>
      <c r="I41" s="1"/>
      <c r="J41" s="1"/>
      <c r="K41" s="1"/>
      <c r="L41" s="1"/>
      <c r="M41" s="1"/>
      <c r="N41" s="26"/>
      <c r="O41" s="29"/>
      <c r="P41" s="30"/>
      <c r="Q41" s="31"/>
      <c r="R41" s="1"/>
      <c r="S41" s="1"/>
      <c r="T41" s="23"/>
    </row>
    <row r="42" spans="1:20" ht="49.5" customHeight="1" thickBot="1" x14ac:dyDescent="0.35">
      <c r="A42" s="69"/>
      <c r="B42" s="131" t="s">
        <v>30</v>
      </c>
      <c r="C42" s="132"/>
      <c r="D42" s="133"/>
      <c r="E42" s="1"/>
      <c r="F42" s="1"/>
      <c r="G42" s="1"/>
      <c r="H42" s="1"/>
      <c r="I42" s="1"/>
      <c r="J42" s="1"/>
      <c r="K42" s="1"/>
      <c r="L42" s="1"/>
      <c r="M42" s="1"/>
      <c r="N42" s="26"/>
      <c r="O42" s="29"/>
      <c r="P42" s="30"/>
      <c r="Q42" s="31"/>
      <c r="R42" s="1"/>
      <c r="S42" s="1"/>
      <c r="T42" s="23"/>
    </row>
    <row r="43" spans="1:20" ht="49.5" customHeight="1" x14ac:dyDescent="0.3">
      <c r="A43" s="69"/>
      <c r="B43" s="72"/>
      <c r="C43" s="72"/>
      <c r="D43" s="72"/>
      <c r="E43" s="1"/>
      <c r="F43" s="1"/>
      <c r="G43" s="1"/>
      <c r="H43" s="1"/>
      <c r="I43" s="1"/>
      <c r="J43" s="1"/>
      <c r="K43" s="1"/>
      <c r="L43" s="1"/>
      <c r="M43" s="1"/>
      <c r="N43" s="26"/>
      <c r="O43" s="29"/>
      <c r="P43" s="30"/>
      <c r="Q43" s="31"/>
      <c r="R43" s="1"/>
      <c r="S43" s="1"/>
      <c r="T43" s="23"/>
    </row>
    <row r="44" spans="1:20" ht="18.75" x14ac:dyDescent="0.3">
      <c r="A44" s="69"/>
      <c r="B44" s="30"/>
      <c r="C44" s="30"/>
      <c r="D44" s="30"/>
      <c r="E44" s="1"/>
      <c r="F44" s="1"/>
      <c r="G44" s="1"/>
      <c r="H44" s="1"/>
      <c r="I44" s="1"/>
      <c r="J44" s="1"/>
      <c r="K44" s="1"/>
      <c r="L44" s="1"/>
      <c r="M44" s="1"/>
      <c r="N44" s="26"/>
      <c r="O44" s="29"/>
      <c r="P44" s="30"/>
      <c r="Q44" s="31"/>
      <c r="R44" s="1"/>
      <c r="S44" s="1"/>
      <c r="T44" s="23"/>
    </row>
    <row r="45" spans="1:20" ht="18.75" x14ac:dyDescent="0.3">
      <c r="A45" s="33" t="s">
        <v>28</v>
      </c>
      <c r="B45" s="33"/>
      <c r="C45" s="33"/>
      <c r="D45" s="33"/>
      <c r="E45" s="1"/>
      <c r="F45" s="1"/>
      <c r="G45" s="1"/>
      <c r="H45" s="1"/>
      <c r="I45" s="1"/>
      <c r="J45" s="1"/>
      <c r="K45" s="1"/>
      <c r="L45" s="1"/>
      <c r="M45" s="1"/>
      <c r="N45" s="26"/>
      <c r="O45" s="29"/>
      <c r="P45" s="30"/>
      <c r="Q45" s="31"/>
      <c r="R45" s="1"/>
      <c r="S45" s="1"/>
      <c r="T45" s="23"/>
    </row>
    <row r="46" spans="1:20" ht="18.75" x14ac:dyDescent="0.3">
      <c r="A46" s="34" t="s">
        <v>29</v>
      </c>
      <c r="B46" s="34"/>
      <c r="C46" s="34"/>
      <c r="D46" s="34"/>
      <c r="E46" s="1"/>
      <c r="F46" s="1"/>
      <c r="G46" s="70"/>
      <c r="H46" s="1"/>
      <c r="I46" s="1"/>
      <c r="J46" s="1"/>
      <c r="K46" s="1"/>
      <c r="L46" s="1"/>
      <c r="M46" s="1"/>
      <c r="N46" s="26"/>
      <c r="O46" s="29"/>
      <c r="P46" s="30"/>
      <c r="Q46" s="31"/>
      <c r="R46" s="1"/>
      <c r="S46" s="1"/>
      <c r="T46" s="23"/>
    </row>
    <row r="47" spans="1:20" ht="18.75" x14ac:dyDescent="0.3">
      <c r="A47" s="69"/>
      <c r="B47" s="30"/>
      <c r="C47" s="30"/>
      <c r="D47" s="30"/>
      <c r="E47" s="1"/>
      <c r="F47" s="1"/>
      <c r="G47" s="1"/>
      <c r="H47" s="1"/>
      <c r="I47" s="1"/>
      <c r="J47" s="1"/>
      <c r="K47" s="1"/>
      <c r="L47" s="1"/>
      <c r="M47" s="1"/>
      <c r="N47" s="26"/>
      <c r="O47" s="29"/>
      <c r="P47" s="30"/>
      <c r="Q47" s="31"/>
      <c r="R47" s="1"/>
      <c r="S47" s="1"/>
      <c r="T47" s="23"/>
    </row>
    <row r="48" spans="1:20" ht="18.75" x14ac:dyDescent="0.3">
      <c r="A48" s="69"/>
      <c r="B48" s="30"/>
      <c r="C48" s="30"/>
      <c r="D48" s="30"/>
      <c r="E48" s="1"/>
      <c r="F48" s="1"/>
      <c r="G48" s="1"/>
      <c r="H48" s="1"/>
      <c r="I48" s="1"/>
      <c r="J48" s="1"/>
      <c r="K48" s="1"/>
      <c r="L48" s="1"/>
      <c r="M48" s="1"/>
      <c r="N48" s="26"/>
      <c r="O48" s="29"/>
      <c r="P48" s="30"/>
      <c r="Q48" s="31"/>
      <c r="R48" s="1"/>
      <c r="S48" s="1"/>
      <c r="T48" s="23"/>
    </row>
    <row r="49" spans="1:19" x14ac:dyDescent="0.25">
      <c r="A49" s="24"/>
      <c r="B49" s="24"/>
      <c r="C49" s="24"/>
      <c r="D49" s="24"/>
      <c r="E49" s="24"/>
      <c r="F49" s="24"/>
      <c r="G49" s="24"/>
      <c r="H49" s="24"/>
      <c r="I49" s="1"/>
      <c r="J49" s="1"/>
      <c r="K49" s="1"/>
      <c r="L49" s="1"/>
      <c r="M49" s="1"/>
      <c r="N49" s="1"/>
      <c r="O49" s="1"/>
      <c r="P49" s="1"/>
      <c r="Q49" s="1"/>
      <c r="R49" s="1"/>
      <c r="S49" s="1"/>
    </row>
    <row r="50" spans="1:19" ht="255" customHeight="1" x14ac:dyDescent="0.25">
      <c r="A50" s="136" t="str">
        <f>Disclaimer!A2</f>
        <v>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dieser Unterlage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v>
      </c>
      <c r="B50" s="136"/>
      <c r="C50" s="136"/>
      <c r="D50" s="136"/>
      <c r="E50" s="136"/>
      <c r="F50" s="136"/>
      <c r="G50" s="136"/>
      <c r="H50" s="136"/>
      <c r="I50" s="136"/>
      <c r="J50" s="136"/>
      <c r="K50" s="1"/>
      <c r="L50" s="1"/>
      <c r="M50" s="1"/>
      <c r="N50" s="135"/>
      <c r="O50" s="135"/>
      <c r="P50" s="135"/>
      <c r="Q50" s="135"/>
      <c r="R50" s="1"/>
      <c r="S50" s="1"/>
    </row>
    <row r="51" spans="1:19" x14ac:dyDescent="0.25">
      <c r="A51" s="129"/>
      <c r="B51" s="130"/>
      <c r="C51" s="130"/>
      <c r="D51" s="130"/>
      <c r="E51" s="130"/>
      <c r="F51" s="130"/>
      <c r="G51" s="130"/>
      <c r="H51" s="130"/>
      <c r="I51" s="130"/>
      <c r="J51" s="1"/>
      <c r="K51" s="1"/>
      <c r="L51" s="1"/>
      <c r="M51" s="1"/>
      <c r="N51" s="1"/>
      <c r="O51" s="1"/>
      <c r="P51" s="1"/>
      <c r="Q51" s="1"/>
      <c r="R51" s="1"/>
      <c r="S51" s="1"/>
    </row>
    <row r="52" spans="1:19" x14ac:dyDescent="0.25">
      <c r="A52" s="129"/>
      <c r="B52" s="130"/>
      <c r="C52" s="130"/>
      <c r="D52" s="130"/>
      <c r="E52" s="130"/>
      <c r="F52" s="130"/>
      <c r="G52" s="130"/>
      <c r="H52" s="130"/>
      <c r="I52" s="130"/>
      <c r="J52" s="1"/>
      <c r="K52" s="1"/>
      <c r="L52" s="1"/>
      <c r="M52" s="1"/>
      <c r="N52" s="1"/>
      <c r="O52" s="1"/>
      <c r="P52" s="1"/>
      <c r="Q52" s="1"/>
      <c r="R52" s="1"/>
      <c r="S52" s="1"/>
    </row>
    <row r="53" spans="1:19" x14ac:dyDescent="0.25">
      <c r="A53" s="129"/>
      <c r="B53" s="130"/>
      <c r="C53" s="130"/>
      <c r="D53" s="130"/>
      <c r="E53" s="130"/>
      <c r="F53" s="130"/>
      <c r="G53" s="130"/>
      <c r="H53" s="130"/>
      <c r="I53" s="130"/>
      <c r="J53" s="1"/>
      <c r="K53" s="1"/>
      <c r="L53" s="1"/>
      <c r="M53" s="1"/>
      <c r="N53" s="1"/>
      <c r="O53" s="1"/>
      <c r="P53" s="1"/>
      <c r="Q53" s="1"/>
      <c r="R53" s="1"/>
      <c r="S53" s="1"/>
    </row>
    <row r="54" spans="1:19" x14ac:dyDescent="0.25">
      <c r="A54" s="129"/>
      <c r="B54" s="130"/>
      <c r="C54" s="130"/>
      <c r="D54" s="130"/>
      <c r="E54" s="130"/>
      <c r="F54" s="130"/>
      <c r="G54" s="130"/>
      <c r="H54" s="130"/>
      <c r="I54" s="130"/>
      <c r="J54" s="1"/>
      <c r="K54" s="1"/>
      <c r="L54" s="1"/>
      <c r="M54" s="1"/>
      <c r="N54" s="1"/>
      <c r="O54" s="1"/>
      <c r="P54" s="1"/>
      <c r="Q54" s="1"/>
      <c r="R54" s="1"/>
      <c r="S54" s="1"/>
    </row>
    <row r="55" spans="1:19" x14ac:dyDescent="0.25">
      <c r="A55" s="24"/>
      <c r="B55" s="24"/>
      <c r="C55" s="24"/>
      <c r="D55" s="24"/>
      <c r="E55" s="24"/>
      <c r="F55" s="24"/>
      <c r="G55" s="24"/>
      <c r="H55" s="24"/>
      <c r="I55" s="1"/>
      <c r="J55" s="1"/>
      <c r="K55" s="1"/>
      <c r="L55" s="1"/>
      <c r="M55" s="1"/>
      <c r="N55" s="1"/>
      <c r="O55" s="1"/>
      <c r="P55" s="1"/>
      <c r="Q55" s="1"/>
      <c r="R55" s="1"/>
      <c r="S55" s="1"/>
    </row>
    <row r="56" spans="1:19" x14ac:dyDescent="0.25">
      <c r="A56" s="24"/>
      <c r="B56" s="24"/>
      <c r="C56" s="24"/>
      <c r="D56" s="24"/>
      <c r="E56" s="24"/>
      <c r="F56" s="24"/>
      <c r="G56" s="24"/>
      <c r="H56" s="24"/>
      <c r="I56" s="1"/>
      <c r="J56" s="1"/>
      <c r="K56" s="1"/>
      <c r="L56" s="1"/>
      <c r="M56" s="1"/>
      <c r="N56" s="1"/>
      <c r="O56" s="1"/>
      <c r="P56" s="1"/>
      <c r="Q56" s="1"/>
      <c r="R56" s="1"/>
      <c r="S56" s="1"/>
    </row>
    <row r="57" spans="1:19" x14ac:dyDescent="0.25">
      <c r="A57" s="24"/>
      <c r="B57" s="24"/>
      <c r="C57" s="24"/>
      <c r="D57" s="24"/>
      <c r="E57" s="24"/>
      <c r="F57" s="24"/>
      <c r="G57" s="24"/>
      <c r="H57" s="24"/>
      <c r="I57" s="1"/>
      <c r="J57" s="1"/>
      <c r="K57" s="1"/>
      <c r="L57" s="1"/>
      <c r="M57" s="1"/>
      <c r="N57" s="1"/>
      <c r="O57" s="1"/>
      <c r="P57" s="1"/>
      <c r="Q57" s="1"/>
      <c r="R57" s="1"/>
      <c r="S57" s="1"/>
    </row>
    <row r="58" spans="1:19" x14ac:dyDescent="0.25">
      <c r="A58" s="20"/>
      <c r="B58" s="1"/>
      <c r="C58" s="1"/>
      <c r="D58" s="1"/>
      <c r="E58" s="1"/>
      <c r="F58" s="1"/>
      <c r="G58" s="1"/>
      <c r="H58" s="1"/>
      <c r="I58" s="1"/>
      <c r="J58" s="1"/>
      <c r="K58" s="1"/>
      <c r="L58" s="1"/>
      <c r="M58" s="1"/>
      <c r="N58" s="1"/>
      <c r="O58" s="1"/>
      <c r="P58" s="1"/>
      <c r="Q58" s="1"/>
      <c r="R58" s="1"/>
      <c r="S58" s="1"/>
    </row>
    <row r="59" spans="1:19" x14ac:dyDescent="0.25">
      <c r="A59" s="20"/>
      <c r="B59" s="1"/>
      <c r="C59" s="1"/>
      <c r="D59" s="1"/>
      <c r="E59" s="1"/>
      <c r="F59" s="1"/>
      <c r="G59" s="1"/>
      <c r="H59" s="1"/>
      <c r="I59" s="1"/>
      <c r="J59" s="1"/>
      <c r="K59" s="1"/>
      <c r="L59" s="1"/>
      <c r="M59" s="1"/>
      <c r="N59" s="1"/>
      <c r="O59" s="1"/>
      <c r="P59" s="1"/>
      <c r="Q59" s="1"/>
      <c r="R59" s="1"/>
      <c r="S59" s="1"/>
    </row>
    <row r="60" spans="1:19" x14ac:dyDescent="0.25">
      <c r="A60" s="20"/>
      <c r="B60" s="1"/>
      <c r="C60" s="1"/>
      <c r="D60" s="1"/>
      <c r="E60" s="1"/>
      <c r="F60" s="1"/>
      <c r="G60" s="1"/>
      <c r="H60" s="1"/>
      <c r="I60" s="1"/>
      <c r="J60" s="1"/>
      <c r="K60" s="1"/>
      <c r="L60" s="1"/>
      <c r="M60" s="1"/>
      <c r="N60" s="1"/>
      <c r="O60" s="1"/>
      <c r="P60" s="1"/>
      <c r="Q60" s="1"/>
      <c r="R60" s="1"/>
      <c r="S60" s="1"/>
    </row>
    <row r="61" spans="1:19" x14ac:dyDescent="0.25">
      <c r="A61" s="20"/>
      <c r="B61" s="1"/>
      <c r="C61" s="1"/>
      <c r="D61" s="1"/>
      <c r="E61" s="1"/>
      <c r="F61" s="1"/>
      <c r="G61" s="1"/>
      <c r="H61" s="1"/>
      <c r="I61" s="1"/>
      <c r="J61" s="1"/>
      <c r="K61" s="1"/>
      <c r="L61" s="1"/>
      <c r="M61" s="1"/>
      <c r="N61" s="1"/>
      <c r="O61" s="1"/>
      <c r="P61" s="1"/>
      <c r="Q61" s="1"/>
      <c r="R61" s="1"/>
      <c r="S61" s="1"/>
    </row>
    <row r="62" spans="1:19" x14ac:dyDescent="0.25">
      <c r="A62" s="20"/>
      <c r="B62" s="1"/>
      <c r="C62" s="1"/>
      <c r="D62" s="1"/>
      <c r="E62" s="1"/>
      <c r="F62" s="1"/>
      <c r="G62" s="1"/>
      <c r="H62" s="1"/>
      <c r="I62" s="1"/>
      <c r="J62" s="1"/>
      <c r="K62" s="1"/>
      <c r="L62" s="1"/>
      <c r="M62" s="1"/>
      <c r="N62" s="1"/>
      <c r="O62" s="1"/>
      <c r="P62" s="1"/>
      <c r="Q62" s="1"/>
      <c r="R62" s="1"/>
      <c r="S62" s="1"/>
    </row>
    <row r="63" spans="1:19" x14ac:dyDescent="0.25">
      <c r="A63" s="20"/>
      <c r="B63" s="1"/>
      <c r="C63" s="1"/>
      <c r="D63" s="1"/>
      <c r="E63" s="1"/>
      <c r="F63" s="1"/>
      <c r="G63" s="1"/>
      <c r="H63" s="1"/>
      <c r="I63" s="1"/>
      <c r="J63" s="1"/>
      <c r="K63" s="1"/>
      <c r="L63" s="1"/>
      <c r="M63" s="1"/>
      <c r="N63" s="1"/>
      <c r="O63" s="1"/>
      <c r="P63" s="1"/>
      <c r="Q63" s="1"/>
      <c r="R63" s="1"/>
      <c r="S63" s="1"/>
    </row>
    <row r="64" spans="1:19" x14ac:dyDescent="0.25">
      <c r="A64" s="20"/>
      <c r="B64" s="1"/>
      <c r="C64" s="1"/>
      <c r="D64" s="1"/>
      <c r="E64" s="1"/>
      <c r="F64" s="1"/>
      <c r="G64" s="1"/>
      <c r="H64" s="1"/>
      <c r="I64" s="1"/>
      <c r="J64" s="1"/>
      <c r="K64" s="1"/>
      <c r="L64" s="1"/>
      <c r="M64" s="1"/>
      <c r="N64" s="1"/>
      <c r="O64" s="1"/>
      <c r="P64" s="1"/>
      <c r="Q64" s="1"/>
      <c r="R64" s="1"/>
      <c r="S64" s="1"/>
    </row>
    <row r="65" spans="1:19" x14ac:dyDescent="0.25">
      <c r="A65" s="20"/>
      <c r="B65" s="1"/>
      <c r="C65" s="1"/>
      <c r="D65" s="1"/>
      <c r="E65" s="1"/>
      <c r="F65" s="1"/>
      <c r="G65" s="1"/>
      <c r="H65" s="1"/>
      <c r="I65" s="1"/>
      <c r="J65" s="1"/>
      <c r="K65" s="1"/>
      <c r="L65" s="1"/>
      <c r="M65" s="1"/>
      <c r="N65" s="1"/>
      <c r="O65" s="1"/>
      <c r="P65" s="1"/>
      <c r="Q65" s="1"/>
      <c r="R65" s="1"/>
      <c r="S65" s="1"/>
    </row>
    <row r="66" spans="1:19" x14ac:dyDescent="0.25">
      <c r="A66" s="20"/>
      <c r="B66" s="1"/>
      <c r="C66" s="1"/>
      <c r="D66" s="1"/>
      <c r="E66" s="1"/>
      <c r="F66" s="1"/>
      <c r="G66" s="1"/>
      <c r="H66" s="1"/>
      <c r="I66" s="1"/>
      <c r="J66" s="1"/>
      <c r="K66" s="1"/>
      <c r="L66" s="1"/>
      <c r="M66" s="1"/>
      <c r="N66" s="1"/>
      <c r="O66" s="1"/>
      <c r="P66" s="1"/>
      <c r="Q66" s="1"/>
      <c r="R66" s="1"/>
      <c r="S66" s="1"/>
    </row>
    <row r="67" spans="1:19" x14ac:dyDescent="0.25">
      <c r="A67" s="20"/>
      <c r="B67" s="1"/>
      <c r="C67" s="1"/>
      <c r="D67" s="1"/>
      <c r="E67" s="1"/>
      <c r="F67" s="1"/>
      <c r="G67" s="1"/>
      <c r="H67" s="1"/>
      <c r="I67" s="1"/>
      <c r="J67" s="1"/>
      <c r="K67" s="1"/>
      <c r="L67" s="1"/>
      <c r="M67" s="1"/>
      <c r="N67" s="1"/>
      <c r="O67" s="1"/>
      <c r="P67" s="1"/>
      <c r="Q67" s="1"/>
      <c r="R67" s="1"/>
      <c r="S67" s="1"/>
    </row>
    <row r="68" spans="1:19" x14ac:dyDescent="0.25">
      <c r="A68" s="20"/>
      <c r="B68" s="1"/>
      <c r="C68" s="1"/>
      <c r="D68" s="1"/>
      <c r="E68" s="1"/>
      <c r="F68" s="1"/>
      <c r="G68" s="1"/>
      <c r="H68" s="1"/>
      <c r="I68" s="1"/>
      <c r="J68" s="1"/>
      <c r="K68" s="1"/>
      <c r="L68" s="1"/>
      <c r="M68" s="1"/>
      <c r="N68" s="1"/>
      <c r="O68" s="1"/>
      <c r="P68" s="1"/>
      <c r="Q68" s="1"/>
      <c r="R68" s="1"/>
      <c r="S68" s="1"/>
    </row>
    <row r="69" spans="1:19" x14ac:dyDescent="0.25">
      <c r="A69" s="20"/>
      <c r="B69" s="1"/>
      <c r="C69" s="1"/>
      <c r="D69" s="1"/>
      <c r="E69" s="1"/>
      <c r="F69" s="1"/>
      <c r="G69" s="1"/>
      <c r="H69" s="1"/>
      <c r="I69" s="1"/>
      <c r="J69" s="1"/>
      <c r="K69" s="1"/>
      <c r="L69" s="1"/>
      <c r="M69" s="1"/>
      <c r="N69" s="1"/>
      <c r="O69" s="1"/>
      <c r="P69" s="1"/>
      <c r="Q69" s="1"/>
      <c r="R69" s="1"/>
      <c r="S69" s="1"/>
    </row>
    <row r="70" spans="1:19" x14ac:dyDescent="0.25">
      <c r="A70" s="20"/>
      <c r="B70" s="1"/>
      <c r="C70" s="1"/>
      <c r="D70" s="1"/>
      <c r="E70" s="1"/>
      <c r="F70" s="1"/>
      <c r="G70" s="1"/>
      <c r="H70" s="1"/>
      <c r="I70" s="1"/>
      <c r="J70" s="1"/>
      <c r="K70" s="1"/>
      <c r="L70" s="1"/>
      <c r="M70" s="1"/>
      <c r="N70" s="1"/>
      <c r="O70" s="1"/>
      <c r="P70" s="1"/>
      <c r="Q70" s="1"/>
      <c r="R70" s="1"/>
      <c r="S70" s="1"/>
    </row>
    <row r="71" spans="1:19" x14ac:dyDescent="0.25">
      <c r="A71" s="20"/>
      <c r="B71" s="1"/>
      <c r="C71" s="1"/>
      <c r="D71" s="1"/>
      <c r="E71" s="1"/>
      <c r="F71" s="1"/>
      <c r="G71" s="1"/>
      <c r="H71" s="1"/>
      <c r="I71" s="1"/>
      <c r="J71" s="1"/>
      <c r="K71" s="1"/>
      <c r="L71" s="1"/>
      <c r="M71" s="1"/>
      <c r="N71" s="1"/>
      <c r="O71" s="1"/>
      <c r="P71" s="1"/>
      <c r="Q71" s="1"/>
      <c r="R71" s="1"/>
      <c r="S71" s="1"/>
    </row>
    <row r="72" spans="1:19" x14ac:dyDescent="0.25">
      <c r="A72" s="20"/>
      <c r="B72" s="1"/>
      <c r="C72" s="1"/>
      <c r="D72" s="1"/>
      <c r="E72" s="1"/>
      <c r="F72" s="1"/>
      <c r="G72" s="1"/>
      <c r="H72" s="1"/>
      <c r="I72" s="1"/>
      <c r="J72" s="1"/>
      <c r="K72" s="1"/>
      <c r="L72" s="1"/>
      <c r="M72" s="1"/>
      <c r="N72" s="1"/>
      <c r="O72" s="1"/>
      <c r="P72" s="1"/>
      <c r="Q72" s="1"/>
      <c r="R72" s="1"/>
      <c r="S72" s="1"/>
    </row>
    <row r="73" spans="1:19" x14ac:dyDescent="0.25">
      <c r="A73" s="20"/>
      <c r="B73" s="1"/>
      <c r="C73" s="1"/>
      <c r="D73" s="1"/>
      <c r="E73" s="1"/>
      <c r="F73" s="1"/>
      <c r="G73" s="1"/>
      <c r="H73" s="1"/>
      <c r="I73" s="1"/>
      <c r="J73" s="1"/>
      <c r="K73" s="1"/>
      <c r="L73" s="1"/>
      <c r="M73" s="1"/>
      <c r="N73" s="1"/>
      <c r="O73" s="1"/>
      <c r="P73" s="1"/>
      <c r="Q73" s="1"/>
      <c r="R73" s="1"/>
      <c r="S73" s="1"/>
    </row>
    <row r="74" spans="1:19" x14ac:dyDescent="0.25">
      <c r="A74" s="20"/>
      <c r="B74" s="1"/>
      <c r="C74" s="1"/>
      <c r="D74" s="1"/>
      <c r="E74" s="1"/>
      <c r="F74" s="1"/>
      <c r="G74" s="1"/>
      <c r="H74" s="1"/>
      <c r="I74" s="1"/>
      <c r="J74" s="1"/>
      <c r="K74" s="1"/>
      <c r="L74" s="1"/>
      <c r="M74" s="1"/>
      <c r="N74" s="1"/>
      <c r="O74" s="1"/>
      <c r="P74" s="1"/>
      <c r="Q74" s="1"/>
      <c r="R74" s="1"/>
      <c r="S74" s="1"/>
    </row>
    <row r="75" spans="1:19" x14ac:dyDescent="0.25">
      <c r="A75" s="20"/>
      <c r="B75" s="1"/>
      <c r="C75" s="1"/>
      <c r="D75" s="1"/>
      <c r="E75" s="1"/>
      <c r="F75" s="1"/>
      <c r="G75" s="1"/>
      <c r="H75" s="1"/>
      <c r="I75" s="1"/>
      <c r="J75" s="1"/>
      <c r="K75" s="1"/>
      <c r="L75" s="1"/>
      <c r="M75" s="1"/>
      <c r="N75" s="1"/>
      <c r="O75" s="1"/>
      <c r="P75" s="1"/>
      <c r="Q75" s="1"/>
      <c r="R75" s="1"/>
      <c r="S75" s="1"/>
    </row>
    <row r="76" spans="1:19" x14ac:dyDescent="0.25">
      <c r="A76" s="20"/>
      <c r="B76" s="1"/>
      <c r="C76" s="1"/>
      <c r="D76" s="1"/>
      <c r="E76" s="1"/>
      <c r="F76" s="1"/>
      <c r="G76" s="1"/>
      <c r="H76" s="1"/>
      <c r="I76" s="1"/>
      <c r="J76" s="1"/>
      <c r="K76" s="1"/>
      <c r="L76" s="1"/>
      <c r="M76" s="1"/>
      <c r="N76" s="1"/>
      <c r="O76" s="1"/>
      <c r="P76" s="1"/>
      <c r="Q76" s="1"/>
      <c r="R76" s="1"/>
      <c r="S76" s="1"/>
    </row>
    <row r="77" spans="1:19" x14ac:dyDescent="0.25">
      <c r="A77" s="20"/>
      <c r="B77" s="1"/>
      <c r="C77" s="1"/>
      <c r="D77" s="1"/>
      <c r="E77" s="1"/>
      <c r="F77" s="1"/>
      <c r="G77" s="1"/>
      <c r="H77" s="1"/>
      <c r="I77" s="1"/>
      <c r="J77" s="1"/>
      <c r="K77" s="1"/>
      <c r="L77" s="1"/>
      <c r="M77" s="1"/>
      <c r="N77" s="1"/>
      <c r="O77" s="1"/>
      <c r="P77" s="1"/>
      <c r="Q77" s="1"/>
      <c r="R77" s="1"/>
      <c r="S77" s="1"/>
    </row>
    <row r="78" spans="1:19" x14ac:dyDescent="0.25">
      <c r="A78" s="20"/>
      <c r="B78" s="1"/>
      <c r="C78" s="1"/>
      <c r="D78" s="1"/>
      <c r="E78" s="1"/>
      <c r="F78" s="1"/>
      <c r="G78" s="1"/>
      <c r="H78" s="1"/>
      <c r="I78" s="1"/>
      <c r="J78" s="1"/>
      <c r="K78" s="1"/>
      <c r="L78" s="1"/>
      <c r="M78" s="1"/>
      <c r="N78" s="1"/>
      <c r="O78" s="1"/>
      <c r="P78" s="1"/>
      <c r="Q78" s="1"/>
      <c r="R78" s="1"/>
      <c r="S78" s="1"/>
    </row>
    <row r="79" spans="1:19" x14ac:dyDescent="0.25">
      <c r="A79" s="20"/>
      <c r="B79" s="1"/>
      <c r="C79" s="1"/>
      <c r="D79" s="1"/>
      <c r="E79" s="1"/>
      <c r="F79" s="1"/>
      <c r="G79" s="1"/>
      <c r="H79" s="1"/>
      <c r="I79" s="1"/>
      <c r="J79" s="1"/>
      <c r="K79" s="1"/>
      <c r="L79" s="1"/>
      <c r="M79" s="1"/>
      <c r="N79" s="1"/>
      <c r="O79" s="1"/>
      <c r="P79" s="1"/>
      <c r="Q79" s="1"/>
      <c r="R79" s="1"/>
      <c r="S79" s="1"/>
    </row>
    <row r="80" spans="1:19" x14ac:dyDescent="0.25">
      <c r="A80" s="20"/>
      <c r="B80" s="1"/>
      <c r="C80" s="1"/>
      <c r="D80" s="1"/>
      <c r="E80" s="1"/>
      <c r="F80" s="1"/>
      <c r="G80" s="1"/>
      <c r="H80" s="1"/>
      <c r="I80" s="1"/>
      <c r="J80" s="1"/>
      <c r="K80" s="1"/>
      <c r="L80" s="1"/>
      <c r="M80" s="1"/>
      <c r="N80" s="1"/>
      <c r="O80" s="1"/>
      <c r="P80" s="1"/>
      <c r="Q80" s="1"/>
      <c r="R80" s="1"/>
      <c r="S80" s="1"/>
    </row>
    <row r="81" spans="1:19" x14ac:dyDescent="0.25">
      <c r="A81" s="20"/>
      <c r="B81" s="1"/>
      <c r="C81" s="1"/>
      <c r="D81" s="1"/>
      <c r="E81" s="1"/>
      <c r="F81" s="1"/>
      <c r="G81" s="1"/>
      <c r="H81" s="1"/>
      <c r="I81" s="1"/>
      <c r="J81" s="1"/>
      <c r="K81" s="1"/>
      <c r="L81" s="1"/>
      <c r="M81" s="1"/>
      <c r="N81" s="1"/>
      <c r="O81" s="1"/>
      <c r="P81" s="1"/>
      <c r="Q81" s="1"/>
      <c r="R81" s="1"/>
      <c r="S81" s="1"/>
    </row>
    <row r="82" spans="1:19" x14ac:dyDescent="0.25">
      <c r="A82" s="20"/>
      <c r="B82" s="1"/>
      <c r="C82" s="1"/>
      <c r="D82" s="1"/>
      <c r="E82" s="1"/>
      <c r="F82" s="1"/>
      <c r="G82" s="1"/>
      <c r="H82" s="1"/>
      <c r="I82" s="1"/>
      <c r="J82" s="1"/>
      <c r="K82" s="1"/>
      <c r="L82" s="1"/>
      <c r="M82" s="1"/>
      <c r="N82" s="1"/>
      <c r="O82" s="1"/>
      <c r="P82" s="1"/>
      <c r="Q82" s="1"/>
      <c r="R82" s="1"/>
      <c r="S82" s="1"/>
    </row>
    <row r="83" spans="1:19" x14ac:dyDescent="0.25">
      <c r="A83" s="20"/>
      <c r="B83" s="1"/>
      <c r="C83" s="1"/>
      <c r="D83" s="1"/>
      <c r="E83" s="1"/>
      <c r="F83" s="1"/>
      <c r="G83" s="1"/>
      <c r="H83" s="1"/>
      <c r="I83" s="1"/>
      <c r="J83" s="1"/>
      <c r="K83" s="1"/>
      <c r="L83" s="1"/>
      <c r="M83" s="1"/>
      <c r="N83" s="1"/>
      <c r="O83" s="1"/>
      <c r="P83" s="1"/>
      <c r="Q83" s="1"/>
      <c r="R83" s="1"/>
      <c r="S83" s="1"/>
    </row>
    <row r="84" spans="1:19" x14ac:dyDescent="0.25">
      <c r="A84" s="20"/>
      <c r="B84" s="1"/>
      <c r="C84" s="1"/>
      <c r="D84" s="1"/>
      <c r="E84" s="1"/>
      <c r="F84" s="1"/>
      <c r="G84" s="1"/>
      <c r="H84" s="1"/>
      <c r="I84" s="1"/>
      <c r="J84" s="1"/>
      <c r="K84" s="1"/>
      <c r="L84" s="1"/>
      <c r="M84" s="1"/>
      <c r="N84" s="1"/>
      <c r="O84" s="1"/>
      <c r="P84" s="1"/>
      <c r="Q84" s="1"/>
      <c r="R84" s="1"/>
      <c r="S84" s="1"/>
    </row>
    <row r="85" spans="1:19" x14ac:dyDescent="0.25">
      <c r="A85" s="20"/>
      <c r="B85" s="1"/>
      <c r="C85" s="1"/>
      <c r="D85" s="1"/>
      <c r="E85" s="1"/>
      <c r="F85" s="1"/>
      <c r="G85" s="1"/>
      <c r="H85" s="1"/>
      <c r="I85" s="1"/>
      <c r="J85" s="1"/>
      <c r="K85" s="1"/>
      <c r="L85" s="1"/>
      <c r="M85" s="1"/>
      <c r="N85" s="1"/>
      <c r="O85" s="1"/>
      <c r="P85" s="1"/>
      <c r="Q85" s="1"/>
      <c r="R85" s="1"/>
      <c r="S85" s="1"/>
    </row>
    <row r="86" spans="1:19" x14ac:dyDescent="0.25">
      <c r="A86" s="20"/>
      <c r="B86" s="1"/>
      <c r="C86" s="1"/>
      <c r="D86" s="1"/>
      <c r="E86" s="1"/>
      <c r="F86" s="1"/>
      <c r="G86" s="1"/>
      <c r="H86" s="1"/>
      <c r="I86" s="1"/>
      <c r="J86" s="1"/>
      <c r="K86" s="1"/>
      <c r="L86" s="1"/>
      <c r="M86" s="1"/>
      <c r="N86" s="1"/>
      <c r="O86" s="1"/>
      <c r="P86" s="1"/>
      <c r="Q86" s="1"/>
      <c r="R86" s="1"/>
      <c r="S86" s="1"/>
    </row>
    <row r="87" spans="1:19" x14ac:dyDescent="0.25">
      <c r="A87" s="20"/>
      <c r="B87" s="1"/>
      <c r="C87" s="1"/>
      <c r="D87" s="1"/>
      <c r="E87" s="1"/>
      <c r="F87" s="1"/>
      <c r="G87" s="1"/>
      <c r="H87" s="1"/>
      <c r="I87" s="1"/>
      <c r="J87" s="1"/>
      <c r="K87" s="1"/>
      <c r="L87" s="1"/>
      <c r="M87" s="1"/>
      <c r="N87" s="1"/>
      <c r="O87" s="1"/>
      <c r="P87" s="1"/>
      <c r="Q87" s="1"/>
      <c r="R87" s="1"/>
      <c r="S87" s="1"/>
    </row>
    <row r="88" spans="1:19" x14ac:dyDescent="0.25">
      <c r="A88" s="20"/>
      <c r="B88" s="1"/>
      <c r="C88" s="1"/>
      <c r="D88" s="1"/>
      <c r="E88" s="1"/>
      <c r="F88" s="1"/>
      <c r="G88" s="1"/>
      <c r="H88" s="1"/>
      <c r="I88" s="1"/>
      <c r="J88" s="1"/>
      <c r="K88" s="1"/>
      <c r="L88" s="1"/>
      <c r="M88" s="1"/>
      <c r="N88" s="1"/>
      <c r="O88" s="1"/>
      <c r="P88" s="1"/>
      <c r="Q88" s="1"/>
      <c r="R88" s="1"/>
      <c r="S88" s="1"/>
    </row>
    <row r="89" spans="1:19" x14ac:dyDescent="0.25">
      <c r="A89" s="20"/>
      <c r="B89" s="1"/>
      <c r="C89" s="1"/>
      <c r="D89" s="1"/>
      <c r="E89" s="1"/>
      <c r="F89" s="1"/>
      <c r="G89" s="1"/>
      <c r="H89" s="1"/>
      <c r="I89" s="1"/>
      <c r="J89" s="1"/>
      <c r="K89" s="1"/>
      <c r="L89" s="1"/>
      <c r="M89" s="1"/>
      <c r="N89" s="1"/>
      <c r="O89" s="1"/>
      <c r="P89" s="1"/>
      <c r="Q89" s="1"/>
      <c r="R89" s="1"/>
      <c r="S89" s="1"/>
    </row>
    <row r="90" spans="1:19" x14ac:dyDescent="0.25">
      <c r="A90" s="20"/>
      <c r="B90" s="1"/>
      <c r="C90" s="1"/>
      <c r="D90" s="1"/>
      <c r="E90" s="1"/>
      <c r="F90" s="1"/>
      <c r="G90" s="1"/>
      <c r="H90" s="1"/>
      <c r="I90" s="1"/>
      <c r="J90" s="1"/>
      <c r="K90" s="1"/>
      <c r="L90" s="1"/>
      <c r="M90" s="1"/>
      <c r="N90" s="1"/>
      <c r="O90" s="1"/>
      <c r="P90" s="1"/>
      <c r="Q90" s="1"/>
      <c r="R90" s="1"/>
      <c r="S90" s="1"/>
    </row>
    <row r="91" spans="1:19" x14ac:dyDescent="0.25">
      <c r="A91" s="20"/>
      <c r="B91" s="1"/>
      <c r="C91" s="1"/>
      <c r="D91" s="1"/>
      <c r="E91" s="1"/>
      <c r="F91" s="1"/>
      <c r="G91" s="1"/>
      <c r="H91" s="1"/>
      <c r="I91" s="1"/>
      <c r="J91" s="1"/>
      <c r="K91" s="1"/>
      <c r="L91" s="1"/>
      <c r="M91" s="1"/>
      <c r="N91" s="1"/>
      <c r="O91" s="1"/>
      <c r="P91" s="1"/>
      <c r="Q91" s="1"/>
      <c r="R91" s="1"/>
      <c r="S91" s="1"/>
    </row>
    <row r="92" spans="1:19" x14ac:dyDescent="0.25">
      <c r="A92" s="20"/>
      <c r="B92" s="1"/>
      <c r="C92" s="1"/>
      <c r="D92" s="1"/>
      <c r="E92" s="1"/>
      <c r="F92" s="1"/>
      <c r="G92" s="1"/>
      <c r="H92" s="1"/>
      <c r="I92" s="1"/>
      <c r="J92" s="1"/>
      <c r="K92" s="1"/>
      <c r="L92" s="1"/>
      <c r="M92" s="1"/>
      <c r="N92" s="1"/>
      <c r="O92" s="1"/>
      <c r="P92" s="1"/>
      <c r="Q92" s="1"/>
      <c r="R92" s="1"/>
      <c r="S92" s="1"/>
    </row>
    <row r="93" spans="1:19" x14ac:dyDescent="0.25">
      <c r="A93" s="20"/>
      <c r="B93" s="1"/>
      <c r="C93" s="1"/>
      <c r="D93" s="1"/>
      <c r="E93" s="1"/>
      <c r="F93" s="1"/>
      <c r="G93" s="1"/>
      <c r="H93" s="1"/>
      <c r="I93" s="1"/>
      <c r="J93" s="1"/>
      <c r="K93" s="1"/>
      <c r="L93" s="1"/>
      <c r="M93" s="1"/>
      <c r="N93" s="1"/>
      <c r="O93" s="1"/>
      <c r="P93" s="1"/>
      <c r="Q93" s="1"/>
      <c r="R93" s="1"/>
      <c r="S93" s="1"/>
    </row>
    <row r="94" spans="1:19" x14ac:dyDescent="0.25">
      <c r="A94" s="20"/>
      <c r="B94" s="1"/>
      <c r="C94" s="1"/>
      <c r="D94" s="1"/>
      <c r="E94" s="1"/>
      <c r="F94" s="1"/>
      <c r="G94" s="1"/>
      <c r="H94" s="1"/>
      <c r="I94" s="1"/>
      <c r="J94" s="1"/>
      <c r="K94" s="1"/>
      <c r="L94" s="1"/>
      <c r="M94" s="1"/>
      <c r="N94" s="1"/>
      <c r="O94" s="1"/>
      <c r="P94" s="1"/>
      <c r="Q94" s="1"/>
      <c r="R94" s="1"/>
      <c r="S94" s="1"/>
    </row>
    <row r="95" spans="1:19" x14ac:dyDescent="0.25">
      <c r="A95" s="20"/>
      <c r="B95" s="1"/>
      <c r="C95" s="1"/>
      <c r="D95" s="1"/>
      <c r="E95" s="1"/>
      <c r="F95" s="1"/>
      <c r="G95" s="1"/>
      <c r="H95" s="1"/>
      <c r="I95" s="1"/>
      <c r="J95" s="1"/>
      <c r="K95" s="1"/>
      <c r="L95" s="1"/>
      <c r="M95" s="1"/>
      <c r="N95" s="1"/>
      <c r="O95" s="1"/>
      <c r="P95" s="1"/>
      <c r="Q95" s="1"/>
      <c r="R95" s="1"/>
      <c r="S95" s="1"/>
    </row>
    <row r="96" spans="1:19" x14ac:dyDescent="0.25">
      <c r="A96" s="20"/>
      <c r="B96" s="1"/>
      <c r="C96" s="1"/>
      <c r="D96" s="1"/>
      <c r="E96" s="1"/>
      <c r="F96" s="1"/>
      <c r="G96" s="1"/>
      <c r="H96" s="1"/>
      <c r="I96" s="1"/>
      <c r="J96" s="1"/>
      <c r="K96" s="1"/>
      <c r="L96" s="1"/>
      <c r="M96" s="1"/>
      <c r="N96" s="1"/>
      <c r="O96" s="1"/>
      <c r="P96" s="1"/>
      <c r="Q96" s="1"/>
      <c r="R96" s="1"/>
      <c r="S96" s="1"/>
    </row>
    <row r="97" spans="1:19" x14ac:dyDescent="0.25">
      <c r="A97" s="20"/>
      <c r="B97" s="1"/>
      <c r="C97" s="1"/>
      <c r="D97" s="1"/>
      <c r="E97" s="1"/>
      <c r="F97" s="1"/>
      <c r="G97" s="1"/>
      <c r="H97" s="1"/>
      <c r="I97" s="1"/>
      <c r="J97" s="1"/>
      <c r="K97" s="1"/>
      <c r="L97" s="1"/>
      <c r="M97" s="1"/>
      <c r="N97" s="1"/>
      <c r="O97" s="1"/>
      <c r="P97" s="1"/>
      <c r="Q97" s="1"/>
      <c r="R97" s="1"/>
      <c r="S97" s="1"/>
    </row>
    <row r="98" spans="1:19" x14ac:dyDescent="0.25">
      <c r="A98" s="20"/>
      <c r="B98" s="1"/>
      <c r="C98" s="1"/>
      <c r="D98" s="1"/>
      <c r="E98" s="1"/>
      <c r="F98" s="1"/>
      <c r="G98" s="1"/>
      <c r="H98" s="1"/>
      <c r="I98" s="1"/>
      <c r="J98" s="1"/>
      <c r="K98" s="1"/>
      <c r="L98" s="1"/>
      <c r="M98" s="1"/>
      <c r="N98" s="1"/>
      <c r="O98" s="1"/>
      <c r="P98" s="1"/>
      <c r="Q98" s="1"/>
      <c r="R98" s="1"/>
      <c r="S98" s="1"/>
    </row>
    <row r="99" spans="1:19" x14ac:dyDescent="0.25">
      <c r="A99" s="20"/>
      <c r="B99" s="1"/>
      <c r="C99" s="1"/>
      <c r="D99" s="1"/>
      <c r="E99" s="1"/>
      <c r="F99" s="1"/>
      <c r="G99" s="1"/>
      <c r="H99" s="1"/>
      <c r="I99" s="1"/>
      <c r="J99" s="1"/>
      <c r="K99" s="1"/>
      <c r="L99" s="1"/>
      <c r="M99" s="1"/>
      <c r="N99" s="1"/>
      <c r="O99" s="1"/>
      <c r="P99" s="1"/>
      <c r="Q99" s="1"/>
      <c r="R99" s="1"/>
      <c r="S99" s="1"/>
    </row>
    <row r="100" spans="1:19" x14ac:dyDescent="0.25">
      <c r="A100" s="20"/>
      <c r="B100" s="1"/>
      <c r="C100" s="1"/>
      <c r="D100" s="1"/>
      <c r="E100" s="1"/>
      <c r="F100" s="1"/>
      <c r="G100" s="1"/>
      <c r="H100" s="1"/>
      <c r="I100" s="1"/>
      <c r="J100" s="1"/>
      <c r="K100" s="1"/>
      <c r="L100" s="1"/>
      <c r="M100" s="1"/>
      <c r="N100" s="1"/>
      <c r="O100" s="1"/>
      <c r="P100" s="1"/>
      <c r="Q100" s="1"/>
      <c r="R100" s="1"/>
      <c r="S100" s="1"/>
    </row>
    <row r="101" spans="1:19" x14ac:dyDescent="0.25">
      <c r="A101" s="20"/>
      <c r="B101" s="1"/>
      <c r="C101" s="1"/>
      <c r="D101" s="1"/>
      <c r="E101" s="1"/>
      <c r="F101" s="1"/>
      <c r="G101" s="1"/>
      <c r="H101" s="1"/>
      <c r="I101" s="1"/>
      <c r="J101" s="1"/>
      <c r="K101" s="1"/>
      <c r="L101" s="1"/>
      <c r="M101" s="1"/>
      <c r="N101" s="1"/>
      <c r="O101" s="1"/>
      <c r="P101" s="1"/>
      <c r="Q101" s="1"/>
      <c r="R101" s="1"/>
      <c r="S101" s="1"/>
    </row>
    <row r="102" spans="1:19" x14ac:dyDescent="0.25">
      <c r="A102" s="20"/>
      <c r="B102" s="1"/>
      <c r="C102" s="1"/>
      <c r="D102" s="1"/>
      <c r="E102" s="1"/>
      <c r="F102" s="1"/>
      <c r="G102" s="1"/>
      <c r="H102" s="1"/>
      <c r="I102" s="1"/>
      <c r="J102" s="1"/>
      <c r="K102" s="1"/>
      <c r="L102" s="1"/>
      <c r="M102" s="1"/>
      <c r="N102" s="1"/>
      <c r="O102" s="1"/>
      <c r="P102" s="1"/>
      <c r="Q102" s="1"/>
      <c r="R102" s="1"/>
      <c r="S102" s="1"/>
    </row>
    <row r="103" spans="1:19" x14ac:dyDescent="0.25">
      <c r="A103" s="20"/>
      <c r="B103" s="1"/>
      <c r="C103" s="1"/>
      <c r="D103" s="1"/>
      <c r="E103" s="1"/>
      <c r="F103" s="1"/>
      <c r="G103" s="1"/>
      <c r="H103" s="1"/>
      <c r="I103" s="1"/>
      <c r="J103" s="1"/>
      <c r="K103" s="1"/>
      <c r="L103" s="1"/>
      <c r="M103" s="1"/>
      <c r="N103" s="1"/>
      <c r="O103" s="1"/>
      <c r="P103" s="1"/>
      <c r="Q103" s="1"/>
      <c r="R103" s="1"/>
      <c r="S103" s="1"/>
    </row>
    <row r="104" spans="1:19" x14ac:dyDescent="0.25">
      <c r="A104" s="20"/>
      <c r="B104" s="1"/>
      <c r="C104" s="1"/>
      <c r="D104" s="1"/>
      <c r="E104" s="1"/>
      <c r="F104" s="1"/>
      <c r="G104" s="1"/>
      <c r="H104" s="1"/>
      <c r="I104" s="1"/>
      <c r="J104" s="1"/>
      <c r="K104" s="1"/>
      <c r="L104" s="1"/>
      <c r="M104" s="1"/>
      <c r="N104" s="1"/>
      <c r="O104" s="1"/>
      <c r="P104" s="1"/>
      <c r="Q104" s="1"/>
      <c r="R104" s="1"/>
      <c r="S104" s="1"/>
    </row>
    <row r="105" spans="1:19" x14ac:dyDescent="0.25">
      <c r="A105" s="20"/>
      <c r="B105" s="1"/>
      <c r="C105" s="1"/>
      <c r="D105" s="1"/>
      <c r="E105" s="1"/>
      <c r="F105" s="1"/>
      <c r="G105" s="1"/>
      <c r="H105" s="1"/>
      <c r="I105" s="1"/>
      <c r="J105" s="1"/>
      <c r="K105" s="1"/>
      <c r="L105" s="1"/>
      <c r="M105" s="1"/>
      <c r="N105" s="1"/>
      <c r="O105" s="1"/>
      <c r="P105" s="1"/>
      <c r="Q105" s="1"/>
      <c r="R105" s="1"/>
      <c r="S105" s="1"/>
    </row>
    <row r="106" spans="1:19" x14ac:dyDescent="0.25">
      <c r="A106" s="20"/>
      <c r="B106" s="1"/>
      <c r="C106" s="1"/>
      <c r="D106" s="1"/>
      <c r="E106" s="1"/>
      <c r="F106" s="1"/>
      <c r="G106" s="1"/>
      <c r="H106" s="1"/>
      <c r="I106" s="1"/>
      <c r="J106" s="1"/>
      <c r="K106" s="1"/>
      <c r="L106" s="1"/>
      <c r="M106" s="1"/>
      <c r="N106" s="1"/>
      <c r="O106" s="1"/>
      <c r="P106" s="1"/>
      <c r="Q106" s="1"/>
      <c r="R106" s="1"/>
      <c r="S106" s="1"/>
    </row>
    <row r="107" spans="1:19" x14ac:dyDescent="0.25">
      <c r="A107" s="20"/>
      <c r="B107" s="1"/>
      <c r="C107" s="1"/>
      <c r="D107" s="1"/>
      <c r="E107" s="1"/>
      <c r="F107" s="1"/>
      <c r="G107" s="1"/>
      <c r="H107" s="1"/>
      <c r="I107" s="1"/>
      <c r="J107" s="1"/>
      <c r="K107" s="1"/>
      <c r="L107" s="1"/>
      <c r="M107" s="1"/>
      <c r="N107" s="1"/>
      <c r="O107" s="1"/>
      <c r="P107" s="1"/>
      <c r="Q107" s="1"/>
      <c r="R107" s="1"/>
      <c r="S107" s="1"/>
    </row>
    <row r="108" spans="1:19" x14ac:dyDescent="0.25">
      <c r="A108" s="20"/>
      <c r="B108" s="1"/>
      <c r="C108" s="1"/>
      <c r="D108" s="1"/>
      <c r="E108" s="1"/>
      <c r="F108" s="1"/>
      <c r="G108" s="1"/>
      <c r="H108" s="1"/>
      <c r="I108" s="1"/>
      <c r="J108" s="1"/>
      <c r="K108" s="1"/>
      <c r="L108" s="1"/>
      <c r="M108" s="1"/>
      <c r="N108" s="1"/>
      <c r="O108" s="1"/>
      <c r="P108" s="1"/>
      <c r="Q108" s="1"/>
      <c r="R108" s="1"/>
      <c r="S108" s="1"/>
    </row>
    <row r="109" spans="1:19" x14ac:dyDescent="0.25">
      <c r="A109" s="20"/>
      <c r="B109" s="1"/>
      <c r="C109" s="1"/>
      <c r="D109" s="1"/>
      <c r="E109" s="1"/>
      <c r="F109" s="1"/>
      <c r="G109" s="1"/>
      <c r="H109" s="1"/>
      <c r="I109" s="1"/>
      <c r="J109" s="1"/>
      <c r="K109" s="1"/>
      <c r="L109" s="1"/>
      <c r="M109" s="1"/>
      <c r="N109" s="1"/>
      <c r="O109" s="1"/>
      <c r="P109" s="1"/>
      <c r="Q109" s="1"/>
      <c r="R109" s="1"/>
      <c r="S109" s="1"/>
    </row>
    <row r="110" spans="1:19" x14ac:dyDescent="0.25">
      <c r="A110" s="20"/>
      <c r="B110" s="1"/>
      <c r="C110" s="1"/>
      <c r="D110" s="1"/>
      <c r="E110" s="1"/>
      <c r="F110" s="1"/>
      <c r="G110" s="1"/>
      <c r="H110" s="1"/>
      <c r="I110" s="1"/>
      <c r="J110" s="1"/>
      <c r="K110" s="1"/>
      <c r="L110" s="1"/>
      <c r="M110" s="1"/>
      <c r="N110" s="1"/>
      <c r="O110" s="1"/>
      <c r="P110" s="1"/>
      <c r="Q110" s="1"/>
      <c r="R110" s="1"/>
      <c r="S110" s="1"/>
    </row>
    <row r="111" spans="1:19" x14ac:dyDescent="0.25">
      <c r="A111" s="20"/>
      <c r="B111" s="1"/>
      <c r="C111" s="1"/>
      <c r="D111" s="1"/>
      <c r="E111" s="1"/>
      <c r="F111" s="1"/>
      <c r="G111" s="1"/>
      <c r="H111" s="1"/>
      <c r="I111" s="1"/>
      <c r="J111" s="1"/>
      <c r="K111" s="1"/>
      <c r="L111" s="1"/>
      <c r="M111" s="1"/>
      <c r="N111" s="1"/>
      <c r="O111" s="1"/>
      <c r="P111" s="1"/>
      <c r="Q111" s="1"/>
      <c r="R111" s="1"/>
      <c r="S111" s="1"/>
    </row>
    <row r="112" spans="1:19" x14ac:dyDescent="0.25">
      <c r="A112" s="20"/>
      <c r="B112" s="1"/>
      <c r="C112" s="1"/>
      <c r="D112" s="1"/>
      <c r="E112" s="1"/>
      <c r="F112" s="1"/>
      <c r="G112" s="1"/>
      <c r="H112" s="1"/>
      <c r="I112" s="1"/>
      <c r="J112" s="1"/>
      <c r="K112" s="1"/>
      <c r="L112" s="1"/>
      <c r="M112" s="1"/>
      <c r="N112" s="1"/>
      <c r="O112" s="1"/>
      <c r="P112" s="1"/>
      <c r="Q112" s="1"/>
      <c r="R112" s="1"/>
      <c r="S112" s="1"/>
    </row>
    <row r="113" spans="1:19" x14ac:dyDescent="0.25">
      <c r="A113" s="20"/>
      <c r="B113" s="1"/>
      <c r="C113" s="1"/>
      <c r="D113" s="1"/>
      <c r="E113" s="1"/>
      <c r="F113" s="1"/>
      <c r="G113" s="1"/>
      <c r="H113" s="1"/>
      <c r="I113" s="1"/>
      <c r="J113" s="1"/>
      <c r="K113" s="1"/>
      <c r="L113" s="1"/>
      <c r="M113" s="1"/>
      <c r="N113" s="1"/>
      <c r="O113" s="1"/>
      <c r="P113" s="1"/>
      <c r="Q113" s="1"/>
      <c r="R113" s="1"/>
      <c r="S113" s="1"/>
    </row>
    <row r="114" spans="1:19" x14ac:dyDescent="0.25">
      <c r="A114" s="20"/>
      <c r="B114" s="1"/>
      <c r="C114" s="1"/>
      <c r="D114" s="1"/>
      <c r="E114" s="1"/>
      <c r="F114" s="1"/>
      <c r="G114" s="1"/>
      <c r="H114" s="1"/>
      <c r="I114" s="1"/>
      <c r="J114" s="1"/>
      <c r="K114" s="1"/>
      <c r="L114" s="1"/>
      <c r="M114" s="1"/>
      <c r="N114" s="1"/>
      <c r="O114" s="1"/>
      <c r="P114" s="1"/>
      <c r="Q114" s="1"/>
      <c r="R114" s="1"/>
      <c r="S114" s="1"/>
    </row>
    <row r="115" spans="1:19" x14ac:dyDescent="0.25">
      <c r="A115" s="20"/>
      <c r="B115" s="1"/>
      <c r="C115" s="1"/>
      <c r="D115" s="1"/>
      <c r="E115" s="1"/>
      <c r="F115" s="1"/>
      <c r="G115" s="1"/>
      <c r="H115" s="1"/>
      <c r="I115" s="1"/>
      <c r="J115" s="1"/>
      <c r="K115" s="1"/>
      <c r="L115" s="1"/>
      <c r="M115" s="1"/>
      <c r="N115" s="1"/>
      <c r="O115" s="1"/>
      <c r="P115" s="1"/>
      <c r="Q115" s="1"/>
      <c r="R115" s="1"/>
      <c r="S115" s="1"/>
    </row>
    <row r="116" spans="1:19" x14ac:dyDescent="0.25">
      <c r="A116" s="20"/>
      <c r="B116" s="1"/>
      <c r="C116" s="1"/>
      <c r="D116" s="1"/>
      <c r="E116" s="1"/>
      <c r="F116" s="1"/>
      <c r="G116" s="1"/>
      <c r="H116" s="1"/>
      <c r="I116" s="1"/>
      <c r="J116" s="1"/>
      <c r="K116" s="1"/>
      <c r="L116" s="1"/>
      <c r="M116" s="1"/>
      <c r="N116" s="1"/>
      <c r="O116" s="1"/>
      <c r="P116" s="1"/>
      <c r="Q116" s="1"/>
      <c r="R116" s="1"/>
      <c r="S116" s="1"/>
    </row>
    <row r="117" spans="1:19" x14ac:dyDescent="0.25">
      <c r="A117" s="20"/>
      <c r="B117" s="1"/>
      <c r="C117" s="1"/>
      <c r="D117" s="1"/>
      <c r="E117" s="1"/>
      <c r="F117" s="1"/>
      <c r="G117" s="1"/>
      <c r="H117" s="1"/>
      <c r="I117" s="1"/>
      <c r="J117" s="1"/>
      <c r="K117" s="1"/>
      <c r="L117" s="1"/>
      <c r="M117" s="1"/>
      <c r="N117" s="1"/>
      <c r="O117" s="1"/>
      <c r="P117" s="1"/>
      <c r="Q117" s="1"/>
      <c r="R117" s="1"/>
      <c r="S117" s="1"/>
    </row>
    <row r="118" spans="1:19" x14ac:dyDescent="0.25">
      <c r="A118" s="20"/>
      <c r="B118" s="1"/>
      <c r="C118" s="1"/>
      <c r="D118" s="1"/>
      <c r="E118" s="1"/>
      <c r="F118" s="1"/>
      <c r="G118" s="1"/>
      <c r="H118" s="1"/>
      <c r="I118" s="1"/>
      <c r="J118" s="1"/>
      <c r="K118" s="1"/>
      <c r="L118" s="1"/>
      <c r="M118" s="1"/>
      <c r="N118" s="1"/>
      <c r="O118" s="1"/>
      <c r="P118" s="1"/>
      <c r="Q118" s="1"/>
      <c r="R118" s="1"/>
      <c r="S118" s="1"/>
    </row>
    <row r="119" spans="1:19" x14ac:dyDescent="0.25">
      <c r="A119" s="20"/>
      <c r="B119" s="1"/>
      <c r="C119" s="1"/>
      <c r="D119" s="1"/>
      <c r="E119" s="1"/>
      <c r="F119" s="1"/>
      <c r="G119" s="1"/>
      <c r="H119" s="1"/>
      <c r="I119" s="1"/>
      <c r="J119" s="1"/>
      <c r="K119" s="1"/>
      <c r="L119" s="1"/>
      <c r="M119" s="1"/>
      <c r="N119" s="1"/>
      <c r="O119" s="1"/>
      <c r="P119" s="1"/>
      <c r="Q119" s="1"/>
      <c r="R119" s="1"/>
      <c r="S119" s="1"/>
    </row>
    <row r="120" spans="1:19" x14ac:dyDescent="0.25">
      <c r="A120" s="20"/>
      <c r="B120" s="1"/>
      <c r="C120" s="1"/>
      <c r="D120" s="1"/>
      <c r="E120" s="1"/>
      <c r="F120" s="1"/>
      <c r="G120" s="1"/>
      <c r="H120" s="1"/>
      <c r="I120" s="1"/>
      <c r="J120" s="1"/>
      <c r="K120" s="1"/>
      <c r="L120" s="1"/>
      <c r="M120" s="1"/>
      <c r="N120" s="1"/>
      <c r="O120" s="1"/>
      <c r="P120" s="1"/>
      <c r="Q120" s="1"/>
      <c r="R120" s="1"/>
      <c r="S120" s="1"/>
    </row>
    <row r="121" spans="1:19" x14ac:dyDescent="0.25">
      <c r="A121" s="20"/>
      <c r="B121" s="1"/>
      <c r="C121" s="1"/>
      <c r="D121" s="1"/>
      <c r="E121" s="1"/>
      <c r="F121" s="1"/>
      <c r="G121" s="1"/>
      <c r="H121" s="1"/>
      <c r="I121" s="1"/>
      <c r="J121" s="1"/>
      <c r="K121" s="1"/>
      <c r="L121" s="1"/>
      <c r="M121" s="1"/>
      <c r="N121" s="1"/>
      <c r="O121" s="1"/>
      <c r="P121" s="1"/>
      <c r="Q121" s="1"/>
      <c r="R121" s="1"/>
      <c r="S121" s="1"/>
    </row>
    <row r="122" spans="1:19" x14ac:dyDescent="0.25">
      <c r="A122" s="20"/>
      <c r="B122" s="1"/>
      <c r="C122" s="1"/>
      <c r="D122" s="1"/>
      <c r="E122" s="1"/>
      <c r="F122" s="1"/>
      <c r="G122" s="1"/>
      <c r="H122" s="1"/>
      <c r="I122" s="1"/>
      <c r="J122" s="1"/>
      <c r="K122" s="1"/>
      <c r="L122" s="1"/>
      <c r="M122" s="1"/>
      <c r="N122" s="1"/>
      <c r="O122" s="1"/>
      <c r="P122" s="1"/>
      <c r="Q122" s="1"/>
      <c r="R122" s="1"/>
      <c r="S122" s="1"/>
    </row>
    <row r="123" spans="1:19" x14ac:dyDescent="0.25">
      <c r="A123" s="20"/>
      <c r="B123" s="1"/>
      <c r="C123" s="1"/>
      <c r="D123" s="1"/>
      <c r="E123" s="1"/>
      <c r="F123" s="1"/>
      <c r="G123" s="1"/>
      <c r="H123" s="1"/>
      <c r="I123" s="1"/>
      <c r="J123" s="1"/>
      <c r="K123" s="1"/>
      <c r="L123" s="1"/>
      <c r="M123" s="1"/>
      <c r="N123" s="1"/>
      <c r="O123" s="1"/>
      <c r="P123" s="1"/>
      <c r="Q123" s="1"/>
      <c r="R123" s="1"/>
      <c r="S123" s="1"/>
    </row>
    <row r="124" spans="1:19" x14ac:dyDescent="0.25">
      <c r="A124" s="20"/>
      <c r="B124" s="1"/>
      <c r="C124" s="1"/>
      <c r="D124" s="1"/>
      <c r="E124" s="1"/>
      <c r="F124" s="1"/>
      <c r="G124" s="1"/>
      <c r="H124" s="1"/>
      <c r="I124" s="1"/>
      <c r="J124" s="1"/>
      <c r="K124" s="1"/>
      <c r="L124" s="1"/>
      <c r="M124" s="1"/>
      <c r="N124" s="1"/>
      <c r="O124" s="1"/>
      <c r="P124" s="1"/>
      <c r="Q124" s="1"/>
      <c r="R124" s="1"/>
      <c r="S124" s="1"/>
    </row>
    <row r="125" spans="1:19" x14ac:dyDescent="0.25">
      <c r="A125" s="20"/>
      <c r="B125" s="1"/>
      <c r="C125" s="1"/>
      <c r="D125" s="1"/>
      <c r="E125" s="1"/>
      <c r="F125" s="1"/>
      <c r="G125" s="1"/>
      <c r="H125" s="1"/>
      <c r="I125" s="1"/>
      <c r="J125" s="1"/>
      <c r="K125" s="1"/>
      <c r="L125" s="1"/>
      <c r="M125" s="1"/>
      <c r="N125" s="1"/>
      <c r="O125" s="1"/>
      <c r="P125" s="1"/>
      <c r="Q125" s="1"/>
      <c r="R125" s="1"/>
      <c r="S125" s="1"/>
    </row>
    <row r="126" spans="1:19" x14ac:dyDescent="0.25">
      <c r="A126" s="20"/>
      <c r="B126" s="1"/>
      <c r="C126" s="1"/>
      <c r="D126" s="1"/>
      <c r="E126" s="1"/>
      <c r="F126" s="1"/>
      <c r="G126" s="1"/>
      <c r="H126" s="1"/>
      <c r="I126" s="1"/>
      <c r="J126" s="1"/>
      <c r="K126" s="1"/>
      <c r="L126" s="1"/>
      <c r="M126" s="1"/>
      <c r="N126" s="1"/>
      <c r="O126" s="1"/>
      <c r="P126" s="1"/>
      <c r="Q126" s="1"/>
      <c r="R126" s="1"/>
      <c r="S126" s="1"/>
    </row>
    <row r="127" spans="1:19" x14ac:dyDescent="0.25">
      <c r="A127" s="20"/>
      <c r="B127" s="1"/>
      <c r="C127" s="1"/>
      <c r="D127" s="1"/>
      <c r="E127" s="1"/>
      <c r="F127" s="1"/>
      <c r="G127" s="1"/>
      <c r="H127" s="1"/>
      <c r="I127" s="1"/>
      <c r="J127" s="1"/>
      <c r="K127" s="1"/>
      <c r="L127" s="1"/>
      <c r="M127" s="1"/>
      <c r="N127" s="1"/>
      <c r="O127" s="1"/>
      <c r="P127" s="1"/>
      <c r="Q127" s="1"/>
      <c r="R127" s="1"/>
      <c r="S127" s="1"/>
    </row>
    <row r="128" spans="1:19" x14ac:dyDescent="0.25">
      <c r="A128" s="20"/>
      <c r="B128" s="1"/>
      <c r="C128" s="1"/>
      <c r="D128" s="1"/>
      <c r="E128" s="1"/>
      <c r="F128" s="1"/>
      <c r="G128" s="1"/>
      <c r="H128" s="1"/>
      <c r="I128" s="1"/>
      <c r="J128" s="1"/>
      <c r="K128" s="1"/>
      <c r="L128" s="1"/>
      <c r="M128" s="1"/>
      <c r="N128" s="1"/>
      <c r="O128" s="1"/>
      <c r="P128" s="1"/>
      <c r="Q128" s="1"/>
      <c r="R128" s="1"/>
      <c r="S128" s="1"/>
    </row>
    <row r="129" spans="1:19" x14ac:dyDescent="0.25">
      <c r="A129" s="20"/>
      <c r="B129" s="1"/>
      <c r="C129" s="1"/>
      <c r="D129" s="1"/>
      <c r="E129" s="1"/>
      <c r="F129" s="1"/>
      <c r="G129" s="1"/>
      <c r="H129" s="1"/>
      <c r="I129" s="1"/>
      <c r="J129" s="1"/>
      <c r="K129" s="1"/>
      <c r="L129" s="1"/>
      <c r="M129" s="1"/>
      <c r="N129" s="1"/>
      <c r="O129" s="1"/>
      <c r="P129" s="1"/>
      <c r="Q129" s="1"/>
      <c r="R129" s="1"/>
      <c r="S129" s="1"/>
    </row>
    <row r="130" spans="1:19" x14ac:dyDescent="0.25">
      <c r="A130" s="20"/>
      <c r="B130" s="1"/>
      <c r="C130" s="1"/>
      <c r="D130" s="1"/>
      <c r="E130" s="1"/>
      <c r="F130" s="1"/>
      <c r="G130" s="1"/>
      <c r="H130" s="1"/>
      <c r="I130" s="1"/>
      <c r="J130" s="1"/>
      <c r="K130" s="1"/>
      <c r="L130" s="1"/>
      <c r="M130" s="1"/>
      <c r="N130" s="1"/>
      <c r="O130" s="1"/>
      <c r="P130" s="1"/>
      <c r="Q130" s="1"/>
      <c r="R130" s="1"/>
      <c r="S130" s="1"/>
    </row>
    <row r="131" spans="1:19" x14ac:dyDescent="0.25">
      <c r="A131" s="20"/>
      <c r="B131" s="1"/>
      <c r="C131" s="1"/>
      <c r="D131" s="1"/>
      <c r="E131" s="1"/>
      <c r="F131" s="1"/>
      <c r="G131" s="1"/>
      <c r="H131" s="1"/>
      <c r="I131" s="1"/>
      <c r="J131" s="1"/>
      <c r="K131" s="1"/>
      <c r="L131" s="1"/>
      <c r="M131" s="1"/>
      <c r="N131" s="1"/>
      <c r="O131" s="1"/>
      <c r="P131" s="1"/>
      <c r="Q131" s="1"/>
      <c r="R131" s="1"/>
      <c r="S131" s="1"/>
    </row>
    <row r="132" spans="1:19" x14ac:dyDescent="0.25">
      <c r="A132" s="20"/>
      <c r="B132" s="1"/>
      <c r="C132" s="1"/>
      <c r="D132" s="1"/>
      <c r="E132" s="1"/>
      <c r="F132" s="1"/>
      <c r="G132" s="1"/>
      <c r="H132" s="1"/>
      <c r="I132" s="1"/>
      <c r="J132" s="1"/>
      <c r="K132" s="1"/>
      <c r="L132" s="1"/>
      <c r="M132" s="1"/>
      <c r="N132" s="1"/>
      <c r="O132" s="1"/>
      <c r="P132" s="1"/>
      <c r="Q132" s="1"/>
      <c r="R132" s="1"/>
      <c r="S132" s="1"/>
    </row>
    <row r="133" spans="1:19" x14ac:dyDescent="0.25">
      <c r="A133" s="20"/>
      <c r="B133" s="1"/>
      <c r="C133" s="1"/>
      <c r="D133" s="1"/>
      <c r="E133" s="1"/>
      <c r="F133" s="1"/>
      <c r="G133" s="1"/>
      <c r="H133" s="1"/>
      <c r="I133" s="1"/>
      <c r="J133" s="1"/>
      <c r="K133" s="1"/>
      <c r="L133" s="1"/>
      <c r="M133" s="1"/>
      <c r="N133" s="1"/>
      <c r="O133" s="1"/>
      <c r="P133" s="1"/>
      <c r="Q133" s="1"/>
      <c r="R133" s="1"/>
      <c r="S133" s="1"/>
    </row>
    <row r="134" spans="1:19" x14ac:dyDescent="0.25">
      <c r="A134" s="20"/>
      <c r="B134" s="1"/>
      <c r="C134" s="1"/>
      <c r="D134" s="1"/>
      <c r="E134" s="1"/>
      <c r="F134" s="1"/>
      <c r="G134" s="1"/>
      <c r="H134" s="1"/>
      <c r="I134" s="1"/>
      <c r="J134" s="1"/>
      <c r="K134" s="1"/>
      <c r="L134" s="1"/>
      <c r="M134" s="1"/>
      <c r="N134" s="1"/>
      <c r="O134" s="1"/>
      <c r="P134" s="1"/>
      <c r="Q134" s="1"/>
      <c r="R134" s="1"/>
      <c r="S134" s="1"/>
    </row>
    <row r="135" spans="1:19" x14ac:dyDescent="0.25">
      <c r="A135" s="20"/>
      <c r="B135" s="1"/>
      <c r="C135" s="1"/>
      <c r="D135" s="1"/>
      <c r="E135" s="1"/>
      <c r="F135" s="1"/>
      <c r="G135" s="1"/>
      <c r="H135" s="1"/>
      <c r="I135" s="1"/>
      <c r="J135" s="1"/>
      <c r="K135" s="1"/>
      <c r="L135" s="1"/>
      <c r="M135" s="1"/>
      <c r="N135" s="1"/>
      <c r="O135" s="1"/>
      <c r="P135" s="1"/>
      <c r="Q135" s="1"/>
      <c r="R135" s="1"/>
      <c r="S135" s="1"/>
    </row>
    <row r="136" spans="1:19" x14ac:dyDescent="0.25">
      <c r="A136" s="20"/>
      <c r="B136" s="1"/>
      <c r="C136" s="1"/>
      <c r="D136" s="1"/>
      <c r="E136" s="1"/>
      <c r="F136" s="1"/>
      <c r="G136" s="1"/>
      <c r="H136" s="1"/>
      <c r="I136" s="1"/>
      <c r="J136" s="1"/>
      <c r="K136" s="1"/>
      <c r="L136" s="1"/>
      <c r="M136" s="1"/>
      <c r="N136" s="1"/>
      <c r="O136" s="1"/>
      <c r="P136" s="1"/>
      <c r="Q136" s="1"/>
      <c r="R136" s="1"/>
      <c r="S136" s="1"/>
    </row>
    <row r="137" spans="1:19" x14ac:dyDescent="0.25">
      <c r="A137" s="20"/>
      <c r="B137" s="1"/>
      <c r="C137" s="1"/>
      <c r="D137" s="1"/>
      <c r="E137" s="1"/>
      <c r="F137" s="1"/>
      <c r="G137" s="1"/>
      <c r="H137" s="1"/>
      <c r="I137" s="1"/>
      <c r="J137" s="1"/>
      <c r="K137" s="1"/>
      <c r="L137" s="1"/>
      <c r="M137" s="1"/>
      <c r="N137" s="1"/>
      <c r="O137" s="1"/>
      <c r="P137" s="1"/>
      <c r="Q137" s="1"/>
      <c r="R137" s="1"/>
      <c r="S137" s="1"/>
    </row>
    <row r="138" spans="1:19" x14ac:dyDescent="0.25">
      <c r="A138" s="20"/>
      <c r="B138" s="1"/>
      <c r="C138" s="1"/>
      <c r="D138" s="1"/>
      <c r="E138" s="1"/>
      <c r="F138" s="1"/>
      <c r="G138" s="1"/>
      <c r="H138" s="1"/>
      <c r="I138" s="1"/>
      <c r="J138" s="1"/>
      <c r="K138" s="1"/>
      <c r="L138" s="1"/>
      <c r="M138" s="1"/>
      <c r="N138" s="1"/>
      <c r="O138" s="1"/>
      <c r="P138" s="1"/>
      <c r="Q138" s="1"/>
      <c r="R138" s="1"/>
      <c r="S138" s="1"/>
    </row>
    <row r="139" spans="1:19" x14ac:dyDescent="0.25">
      <c r="A139" s="20"/>
      <c r="B139" s="1"/>
      <c r="C139" s="1"/>
      <c r="D139" s="1"/>
      <c r="E139" s="1"/>
      <c r="F139" s="1"/>
      <c r="G139" s="1"/>
      <c r="H139" s="1"/>
      <c r="I139" s="1"/>
      <c r="J139" s="1"/>
      <c r="K139" s="1"/>
      <c r="L139" s="1"/>
      <c r="M139" s="1"/>
      <c r="N139" s="1"/>
      <c r="O139" s="1"/>
      <c r="P139" s="1"/>
      <c r="Q139" s="1"/>
      <c r="R139" s="1"/>
      <c r="S139" s="1"/>
    </row>
    <row r="140" spans="1:19" x14ac:dyDescent="0.25">
      <c r="A140" s="20"/>
      <c r="B140" s="1"/>
      <c r="C140" s="1"/>
      <c r="D140" s="1"/>
      <c r="E140" s="1"/>
      <c r="F140" s="1"/>
      <c r="G140" s="1"/>
      <c r="H140" s="1"/>
      <c r="I140" s="1"/>
      <c r="J140" s="1"/>
      <c r="K140" s="1"/>
      <c r="L140" s="1"/>
      <c r="M140" s="1"/>
      <c r="N140" s="1"/>
      <c r="O140" s="1"/>
      <c r="P140" s="1"/>
      <c r="Q140" s="1"/>
      <c r="R140" s="1"/>
      <c r="S140" s="1"/>
    </row>
    <row r="141" spans="1:19" x14ac:dyDescent="0.25">
      <c r="A141" s="20"/>
      <c r="B141" s="1"/>
      <c r="C141" s="1"/>
      <c r="D141" s="1"/>
      <c r="E141" s="1"/>
      <c r="F141" s="1"/>
      <c r="G141" s="1"/>
      <c r="H141" s="1"/>
      <c r="I141" s="1"/>
      <c r="J141" s="1"/>
      <c r="K141" s="1"/>
      <c r="L141" s="1"/>
      <c r="M141" s="1"/>
      <c r="N141" s="1"/>
      <c r="O141" s="1"/>
      <c r="P141" s="1"/>
      <c r="Q141" s="1"/>
      <c r="R141" s="1"/>
      <c r="S141" s="1"/>
    </row>
    <row r="142" spans="1:19" x14ac:dyDescent="0.25">
      <c r="A142" s="20"/>
      <c r="B142" s="1"/>
      <c r="C142" s="1"/>
      <c r="D142" s="1"/>
      <c r="E142" s="1"/>
      <c r="F142" s="1"/>
      <c r="G142" s="1"/>
      <c r="H142" s="1"/>
      <c r="I142" s="1"/>
      <c r="J142" s="1"/>
      <c r="K142" s="1"/>
      <c r="L142" s="1"/>
      <c r="M142" s="1"/>
      <c r="N142" s="1"/>
      <c r="O142" s="1"/>
      <c r="P142" s="1"/>
      <c r="Q142" s="1"/>
      <c r="R142" s="1"/>
      <c r="S142" s="1"/>
    </row>
    <row r="143" spans="1:19" x14ac:dyDescent="0.25">
      <c r="A143" s="20"/>
      <c r="B143" s="1"/>
      <c r="C143" s="1"/>
      <c r="D143" s="1"/>
      <c r="E143" s="1"/>
      <c r="F143" s="1"/>
      <c r="G143" s="1"/>
      <c r="H143" s="1"/>
      <c r="I143" s="1"/>
      <c r="J143" s="1"/>
      <c r="K143" s="1"/>
      <c r="L143" s="1"/>
      <c r="M143" s="1"/>
      <c r="N143" s="1"/>
      <c r="O143" s="1"/>
      <c r="P143" s="1"/>
      <c r="Q143" s="1"/>
      <c r="R143" s="1"/>
      <c r="S143" s="1"/>
    </row>
    <row r="144" spans="1:19" x14ac:dyDescent="0.25">
      <c r="A144" s="20"/>
      <c r="B144" s="1"/>
      <c r="C144" s="1"/>
      <c r="D144" s="1"/>
      <c r="E144" s="1"/>
      <c r="F144" s="1"/>
      <c r="G144" s="1"/>
      <c r="H144" s="1"/>
      <c r="I144" s="1"/>
      <c r="J144" s="1"/>
      <c r="K144" s="1"/>
      <c r="L144" s="1"/>
      <c r="M144" s="1"/>
      <c r="N144" s="1"/>
      <c r="O144" s="1"/>
      <c r="P144" s="1"/>
      <c r="Q144" s="1"/>
      <c r="R144" s="1"/>
      <c r="S144" s="1"/>
    </row>
    <row r="145" spans="1:19" x14ac:dyDescent="0.25">
      <c r="A145" s="20"/>
      <c r="B145" s="1"/>
      <c r="C145" s="1"/>
      <c r="D145" s="1"/>
      <c r="E145" s="1"/>
      <c r="F145" s="1"/>
      <c r="G145" s="1"/>
      <c r="H145" s="1"/>
      <c r="I145" s="1"/>
      <c r="J145" s="1"/>
      <c r="K145" s="1"/>
      <c r="L145" s="1"/>
      <c r="M145" s="1"/>
      <c r="N145" s="1"/>
      <c r="O145" s="1"/>
      <c r="P145" s="1"/>
      <c r="Q145" s="1"/>
      <c r="R145" s="1"/>
      <c r="S145" s="1"/>
    </row>
    <row r="146" spans="1:19" x14ac:dyDescent="0.25">
      <c r="A146" s="20"/>
      <c r="B146" s="1"/>
      <c r="C146" s="1"/>
      <c r="D146" s="1"/>
      <c r="E146" s="1"/>
      <c r="F146" s="1"/>
      <c r="G146" s="1"/>
      <c r="H146" s="1"/>
      <c r="I146" s="1"/>
      <c r="J146" s="1"/>
      <c r="K146" s="1"/>
      <c r="L146" s="1"/>
      <c r="M146" s="1"/>
      <c r="N146" s="1"/>
      <c r="O146" s="1"/>
      <c r="P146" s="1"/>
      <c r="Q146" s="1"/>
      <c r="R146" s="1"/>
      <c r="S146" s="1"/>
    </row>
    <row r="147" spans="1:19" x14ac:dyDescent="0.25">
      <c r="A147" s="20"/>
      <c r="B147" s="1"/>
      <c r="C147" s="1"/>
      <c r="D147" s="1"/>
      <c r="E147" s="1"/>
      <c r="F147" s="1"/>
      <c r="G147" s="1"/>
      <c r="H147" s="1"/>
      <c r="I147" s="1"/>
      <c r="J147" s="1"/>
      <c r="K147" s="1"/>
      <c r="L147" s="1"/>
      <c r="M147" s="1"/>
      <c r="N147" s="1"/>
      <c r="O147" s="1"/>
      <c r="P147" s="1"/>
      <c r="Q147" s="1"/>
      <c r="R147" s="1"/>
      <c r="S147" s="1"/>
    </row>
    <row r="148" spans="1:19" x14ac:dyDescent="0.25">
      <c r="A148" s="20"/>
      <c r="B148" s="1"/>
      <c r="C148" s="1"/>
      <c r="D148" s="1"/>
      <c r="E148" s="1"/>
      <c r="F148" s="1"/>
      <c r="G148" s="1"/>
      <c r="H148" s="1"/>
      <c r="I148" s="1"/>
      <c r="J148" s="1"/>
      <c r="K148" s="1"/>
      <c r="L148" s="1"/>
      <c r="M148" s="1"/>
      <c r="N148" s="1"/>
      <c r="O148" s="1"/>
      <c r="P148" s="1"/>
      <c r="Q148" s="1"/>
      <c r="R148" s="1"/>
      <c r="S148" s="1"/>
    </row>
    <row r="149" spans="1:19" x14ac:dyDescent="0.25">
      <c r="A149" s="20"/>
      <c r="B149" s="1"/>
      <c r="C149" s="1"/>
      <c r="D149" s="1"/>
      <c r="E149" s="1"/>
      <c r="F149" s="1"/>
      <c r="G149" s="1"/>
      <c r="H149" s="1"/>
      <c r="I149" s="1"/>
      <c r="J149" s="1"/>
      <c r="K149" s="1"/>
      <c r="L149" s="1"/>
      <c r="M149" s="1"/>
      <c r="N149" s="1"/>
      <c r="O149" s="1"/>
      <c r="P149" s="1"/>
      <c r="Q149" s="1"/>
      <c r="R149" s="1"/>
      <c r="S149" s="1"/>
    </row>
    <row r="150" spans="1:19" x14ac:dyDescent="0.25">
      <c r="A150" s="20"/>
      <c r="B150" s="1"/>
      <c r="C150" s="1"/>
      <c r="D150" s="1"/>
      <c r="E150" s="1"/>
      <c r="F150" s="1"/>
      <c r="G150" s="1"/>
      <c r="H150" s="1"/>
      <c r="I150" s="1"/>
      <c r="J150" s="1"/>
      <c r="K150" s="1"/>
      <c r="L150" s="1"/>
      <c r="M150" s="1"/>
      <c r="N150" s="1"/>
      <c r="O150" s="1"/>
      <c r="P150" s="1"/>
      <c r="Q150" s="1"/>
      <c r="R150" s="1"/>
      <c r="S150" s="1"/>
    </row>
    <row r="151" spans="1:19" x14ac:dyDescent="0.25">
      <c r="A151" s="20"/>
      <c r="B151" s="1"/>
      <c r="C151" s="1"/>
      <c r="D151" s="1"/>
      <c r="E151" s="1"/>
      <c r="F151" s="1"/>
      <c r="G151" s="1"/>
      <c r="H151" s="1"/>
      <c r="I151" s="1"/>
      <c r="J151" s="1"/>
      <c r="K151" s="1"/>
      <c r="L151" s="1"/>
      <c r="M151" s="1"/>
      <c r="N151" s="1"/>
      <c r="O151" s="1"/>
      <c r="P151" s="1"/>
      <c r="Q151" s="1"/>
      <c r="R151" s="1"/>
      <c r="S151" s="1"/>
    </row>
    <row r="152" spans="1:19" x14ac:dyDescent="0.25">
      <c r="A152" s="20"/>
      <c r="B152" s="1"/>
      <c r="C152" s="1"/>
      <c r="D152" s="1"/>
      <c r="E152" s="1"/>
      <c r="F152" s="1"/>
      <c r="G152" s="1"/>
      <c r="H152" s="1"/>
      <c r="I152" s="1"/>
      <c r="J152" s="1"/>
      <c r="K152" s="1"/>
      <c r="L152" s="1"/>
      <c r="M152" s="1"/>
      <c r="N152" s="1"/>
      <c r="O152" s="1"/>
      <c r="P152" s="1"/>
      <c r="Q152" s="1"/>
      <c r="R152" s="1"/>
      <c r="S152" s="1"/>
    </row>
    <row r="153" spans="1:19" x14ac:dyDescent="0.25">
      <c r="A153" s="20"/>
      <c r="B153" s="1"/>
      <c r="C153" s="1"/>
      <c r="D153" s="1"/>
      <c r="E153" s="1"/>
      <c r="F153" s="1"/>
      <c r="G153" s="1"/>
      <c r="H153" s="1"/>
      <c r="I153" s="1"/>
      <c r="J153" s="1"/>
      <c r="K153" s="1"/>
      <c r="L153" s="1"/>
      <c r="M153" s="1"/>
      <c r="N153" s="1"/>
      <c r="O153" s="1"/>
      <c r="P153" s="1"/>
      <c r="Q153" s="1"/>
      <c r="R153" s="1"/>
      <c r="S153" s="1"/>
    </row>
    <row r="154" spans="1:19" x14ac:dyDescent="0.25">
      <c r="A154" s="20"/>
      <c r="B154" s="1"/>
      <c r="C154" s="1"/>
      <c r="D154" s="1"/>
      <c r="E154" s="1"/>
      <c r="F154" s="1"/>
      <c r="G154" s="1"/>
      <c r="H154" s="1"/>
      <c r="I154" s="1"/>
      <c r="J154" s="1"/>
      <c r="K154" s="1"/>
      <c r="L154" s="1"/>
      <c r="M154" s="1"/>
      <c r="N154" s="1"/>
      <c r="O154" s="1"/>
      <c r="P154" s="1"/>
      <c r="Q154" s="1"/>
      <c r="R154" s="1"/>
      <c r="S154" s="1"/>
    </row>
    <row r="155" spans="1:19" x14ac:dyDescent="0.25">
      <c r="A155" s="20"/>
      <c r="B155" s="1"/>
      <c r="C155" s="1"/>
      <c r="D155" s="1"/>
      <c r="E155" s="1"/>
      <c r="F155" s="1"/>
      <c r="G155" s="1"/>
      <c r="H155" s="1"/>
      <c r="I155" s="1"/>
      <c r="J155" s="1"/>
      <c r="K155" s="1"/>
      <c r="L155" s="1"/>
      <c r="M155" s="1"/>
      <c r="N155" s="1"/>
      <c r="O155" s="1"/>
      <c r="P155" s="1"/>
      <c r="Q155" s="1"/>
      <c r="R155" s="1"/>
      <c r="S155" s="1"/>
    </row>
    <row r="156" spans="1:19" x14ac:dyDescent="0.25">
      <c r="A156" s="20"/>
      <c r="B156" s="1"/>
      <c r="C156" s="1"/>
      <c r="D156" s="1"/>
      <c r="E156" s="1"/>
      <c r="F156" s="1"/>
      <c r="G156" s="1"/>
      <c r="H156" s="1"/>
      <c r="I156" s="1"/>
      <c r="J156" s="1"/>
      <c r="K156" s="1"/>
      <c r="L156" s="1"/>
      <c r="M156" s="1"/>
      <c r="N156" s="1"/>
      <c r="O156" s="1"/>
      <c r="P156" s="1"/>
      <c r="Q156" s="1"/>
      <c r="R156" s="1"/>
      <c r="S156" s="1"/>
    </row>
    <row r="157" spans="1:19" x14ac:dyDescent="0.25">
      <c r="A157" s="20"/>
      <c r="B157" s="1"/>
      <c r="C157" s="1"/>
      <c r="D157" s="1"/>
      <c r="E157" s="1"/>
      <c r="F157" s="1"/>
      <c r="G157" s="1"/>
      <c r="H157" s="1"/>
      <c r="I157" s="1"/>
      <c r="J157" s="1"/>
      <c r="K157" s="1"/>
      <c r="L157" s="1"/>
      <c r="M157" s="1"/>
      <c r="N157" s="1"/>
      <c r="O157" s="1"/>
      <c r="P157" s="1"/>
      <c r="Q157" s="1"/>
      <c r="R157" s="1"/>
      <c r="S157" s="1"/>
    </row>
    <row r="158" spans="1:19" x14ac:dyDescent="0.25">
      <c r="A158" s="20"/>
      <c r="B158" s="1"/>
      <c r="C158" s="1"/>
      <c r="D158" s="1"/>
      <c r="E158" s="1"/>
      <c r="F158" s="1"/>
      <c r="G158" s="1"/>
      <c r="H158" s="1"/>
      <c r="I158" s="1"/>
      <c r="J158" s="1"/>
      <c r="K158" s="1"/>
      <c r="L158" s="1"/>
      <c r="M158" s="1"/>
      <c r="N158" s="1"/>
      <c r="O158" s="1"/>
      <c r="P158" s="1"/>
      <c r="Q158" s="1"/>
      <c r="R158" s="1"/>
      <c r="S158" s="1"/>
    </row>
    <row r="159" spans="1:19" x14ac:dyDescent="0.25">
      <c r="A159" s="20"/>
      <c r="B159" s="1"/>
      <c r="C159" s="1"/>
      <c r="D159" s="1"/>
      <c r="E159" s="1"/>
      <c r="F159" s="1"/>
      <c r="G159" s="1"/>
      <c r="H159" s="1"/>
      <c r="I159" s="1"/>
      <c r="J159" s="1"/>
      <c r="K159" s="1"/>
      <c r="L159" s="1"/>
      <c r="M159" s="1"/>
      <c r="N159" s="1"/>
      <c r="O159" s="1"/>
      <c r="P159" s="1"/>
      <c r="Q159" s="1"/>
      <c r="R159" s="1"/>
      <c r="S159" s="1"/>
    </row>
    <row r="160" spans="1:19" x14ac:dyDescent="0.25">
      <c r="A160" s="20"/>
      <c r="B160" s="1"/>
      <c r="C160" s="1"/>
      <c r="D160" s="1"/>
      <c r="E160" s="1"/>
      <c r="F160" s="1"/>
      <c r="G160" s="1"/>
      <c r="H160" s="1"/>
      <c r="I160" s="1"/>
      <c r="J160" s="1"/>
      <c r="K160" s="1"/>
      <c r="L160" s="1"/>
      <c r="M160" s="1"/>
      <c r="N160" s="1"/>
      <c r="O160" s="1"/>
      <c r="P160" s="1"/>
      <c r="Q160" s="1"/>
      <c r="R160" s="1"/>
      <c r="S160" s="1"/>
    </row>
    <row r="161" spans="1:19" x14ac:dyDescent="0.25">
      <c r="A161" s="20"/>
      <c r="B161" s="1"/>
      <c r="C161" s="1"/>
      <c r="D161" s="1"/>
      <c r="E161" s="1"/>
      <c r="F161" s="1"/>
      <c r="G161" s="1"/>
      <c r="H161" s="1"/>
      <c r="I161" s="1"/>
      <c r="J161" s="1"/>
      <c r="K161" s="1"/>
      <c r="L161" s="1"/>
      <c r="M161" s="1"/>
      <c r="N161" s="1"/>
      <c r="O161" s="1"/>
      <c r="P161" s="1"/>
      <c r="Q161" s="1"/>
      <c r="R161" s="1"/>
      <c r="S161" s="1"/>
    </row>
    <row r="162" spans="1:19" x14ac:dyDescent="0.25">
      <c r="A162" s="20"/>
      <c r="B162" s="1"/>
      <c r="C162" s="1"/>
      <c r="D162" s="1"/>
      <c r="E162" s="1"/>
      <c r="F162" s="1"/>
      <c r="G162" s="1"/>
      <c r="H162" s="1"/>
      <c r="I162" s="1"/>
      <c r="J162" s="1"/>
      <c r="K162" s="1"/>
      <c r="L162" s="1"/>
      <c r="M162" s="1"/>
      <c r="N162" s="1"/>
      <c r="O162" s="1"/>
      <c r="P162" s="1"/>
      <c r="Q162" s="1"/>
      <c r="R162" s="1"/>
      <c r="S162" s="1"/>
    </row>
    <row r="163" spans="1:19" x14ac:dyDescent="0.25">
      <c r="A163" s="20"/>
      <c r="B163" s="1"/>
      <c r="C163" s="1"/>
      <c r="D163" s="1"/>
      <c r="E163" s="1"/>
      <c r="F163" s="1"/>
      <c r="G163" s="1"/>
      <c r="H163" s="1"/>
      <c r="I163" s="1"/>
      <c r="J163" s="1"/>
      <c r="K163" s="1"/>
      <c r="L163" s="1"/>
      <c r="M163" s="1"/>
      <c r="N163" s="1"/>
      <c r="O163" s="1"/>
      <c r="P163" s="1"/>
      <c r="Q163" s="1"/>
      <c r="R163" s="1"/>
      <c r="S163" s="1"/>
    </row>
    <row r="164" spans="1:19" x14ac:dyDescent="0.25">
      <c r="A164" s="20"/>
      <c r="B164" s="1"/>
      <c r="C164" s="1"/>
      <c r="D164" s="1"/>
      <c r="E164" s="1"/>
      <c r="F164" s="1"/>
      <c r="G164" s="1"/>
      <c r="H164" s="1"/>
      <c r="I164" s="1"/>
      <c r="J164" s="1"/>
      <c r="K164" s="1"/>
      <c r="L164" s="1"/>
      <c r="M164" s="1"/>
      <c r="N164" s="1"/>
      <c r="O164" s="1"/>
      <c r="P164" s="1"/>
      <c r="Q164" s="1"/>
      <c r="R164" s="1"/>
      <c r="S164" s="1"/>
    </row>
    <row r="165" spans="1:19" x14ac:dyDescent="0.25">
      <c r="A165" s="20"/>
      <c r="B165" s="1"/>
      <c r="C165" s="1"/>
      <c r="D165" s="1"/>
      <c r="E165" s="1"/>
      <c r="F165" s="1"/>
      <c r="G165" s="1"/>
      <c r="H165" s="1"/>
      <c r="I165" s="1"/>
      <c r="J165" s="1"/>
      <c r="K165" s="1"/>
      <c r="L165" s="1"/>
      <c r="M165" s="1"/>
      <c r="N165" s="1"/>
      <c r="O165" s="1"/>
      <c r="P165" s="1"/>
      <c r="Q165" s="1"/>
      <c r="R165" s="1"/>
      <c r="S165" s="1"/>
    </row>
    <row r="166" spans="1:19" x14ac:dyDescent="0.25">
      <c r="A166" s="20"/>
      <c r="B166" s="1"/>
      <c r="C166" s="1"/>
      <c r="D166" s="1"/>
      <c r="E166" s="1"/>
      <c r="F166" s="1"/>
      <c r="G166" s="1"/>
      <c r="H166" s="1"/>
      <c r="I166" s="1"/>
      <c r="J166" s="1"/>
      <c r="K166" s="1"/>
      <c r="L166" s="1"/>
      <c r="M166" s="1"/>
      <c r="N166" s="1"/>
      <c r="O166" s="1"/>
      <c r="P166" s="1"/>
      <c r="Q166" s="1"/>
      <c r="R166" s="1"/>
      <c r="S166" s="1"/>
    </row>
    <row r="167" spans="1:19" x14ac:dyDescent="0.25">
      <c r="A167" s="20"/>
      <c r="B167" s="1"/>
      <c r="C167" s="1"/>
      <c r="D167" s="1"/>
      <c r="E167" s="1"/>
      <c r="F167" s="1"/>
      <c r="G167" s="1"/>
      <c r="H167" s="1"/>
      <c r="I167" s="1"/>
      <c r="J167" s="1"/>
      <c r="K167" s="1"/>
      <c r="L167" s="1"/>
      <c r="M167" s="1"/>
      <c r="N167" s="1"/>
      <c r="O167" s="1"/>
      <c r="P167" s="1"/>
      <c r="Q167" s="1"/>
      <c r="R167" s="1"/>
      <c r="S167" s="1"/>
    </row>
    <row r="168" spans="1:19" x14ac:dyDescent="0.25">
      <c r="A168" s="20"/>
      <c r="B168" s="1"/>
      <c r="C168" s="1"/>
      <c r="D168" s="1"/>
      <c r="E168" s="1"/>
      <c r="F168" s="1"/>
      <c r="G168" s="1"/>
      <c r="H168" s="1"/>
      <c r="I168" s="1"/>
      <c r="J168" s="1"/>
      <c r="K168" s="1"/>
      <c r="L168" s="1"/>
      <c r="M168" s="1"/>
      <c r="N168" s="1"/>
      <c r="O168" s="1"/>
      <c r="P168" s="1"/>
      <c r="Q168" s="1"/>
      <c r="R168" s="1"/>
      <c r="S168" s="1"/>
    </row>
    <row r="169" spans="1:19" x14ac:dyDescent="0.25">
      <c r="A169" s="20"/>
      <c r="B169" s="1"/>
      <c r="C169" s="1"/>
      <c r="D169" s="1"/>
      <c r="E169" s="1"/>
      <c r="F169" s="1"/>
      <c r="G169" s="1"/>
      <c r="H169" s="1"/>
      <c r="I169" s="1"/>
      <c r="J169" s="1"/>
      <c r="K169" s="1"/>
      <c r="L169" s="1"/>
      <c r="M169" s="1"/>
      <c r="N169" s="1"/>
      <c r="O169" s="1"/>
      <c r="P169" s="1"/>
      <c r="Q169" s="1"/>
      <c r="R169" s="1"/>
      <c r="S169" s="1"/>
    </row>
    <row r="170" spans="1:19" x14ac:dyDescent="0.25">
      <c r="A170" s="20"/>
      <c r="B170" s="1"/>
      <c r="C170" s="1"/>
      <c r="D170" s="1"/>
      <c r="E170" s="1"/>
      <c r="F170" s="1"/>
      <c r="G170" s="1"/>
      <c r="H170" s="1"/>
      <c r="I170" s="1"/>
      <c r="J170" s="1"/>
      <c r="K170" s="1"/>
      <c r="L170" s="1"/>
      <c r="M170" s="1"/>
      <c r="N170" s="1"/>
      <c r="O170" s="1"/>
      <c r="P170" s="1"/>
      <c r="Q170" s="1"/>
      <c r="R170" s="1"/>
      <c r="S170" s="1"/>
    </row>
    <row r="171" spans="1:19" x14ac:dyDescent="0.25">
      <c r="A171" s="20"/>
      <c r="B171" s="1"/>
      <c r="C171" s="1"/>
      <c r="D171" s="1"/>
      <c r="E171" s="1"/>
      <c r="F171" s="1"/>
      <c r="G171" s="1"/>
      <c r="H171" s="1"/>
      <c r="I171" s="1"/>
      <c r="J171" s="1"/>
      <c r="K171" s="1"/>
      <c r="L171" s="1"/>
      <c r="M171" s="1"/>
      <c r="N171" s="1"/>
      <c r="O171" s="1"/>
      <c r="P171" s="1"/>
      <c r="Q171" s="1"/>
      <c r="R171" s="1"/>
      <c r="S171" s="1"/>
    </row>
    <row r="172" spans="1:19" x14ac:dyDescent="0.25">
      <c r="A172" s="20"/>
      <c r="B172" s="1"/>
      <c r="C172" s="1"/>
      <c r="D172" s="1"/>
      <c r="E172" s="1"/>
      <c r="F172" s="1"/>
      <c r="G172" s="1"/>
      <c r="H172" s="1"/>
      <c r="I172" s="1"/>
      <c r="J172" s="1"/>
      <c r="K172" s="1"/>
      <c r="L172" s="1"/>
      <c r="M172" s="1"/>
      <c r="N172" s="1"/>
      <c r="O172" s="1"/>
      <c r="P172" s="1"/>
      <c r="Q172" s="1"/>
      <c r="R172" s="1"/>
      <c r="S172" s="1"/>
    </row>
    <row r="173" spans="1:19" x14ac:dyDescent="0.25">
      <c r="A173" s="20"/>
      <c r="B173" s="1"/>
      <c r="C173" s="1"/>
      <c r="D173" s="1"/>
      <c r="E173" s="1"/>
      <c r="F173" s="1"/>
      <c r="G173" s="1"/>
      <c r="H173" s="1"/>
      <c r="I173" s="1"/>
      <c r="J173" s="1"/>
      <c r="K173" s="1"/>
      <c r="L173" s="1"/>
      <c r="M173" s="1"/>
      <c r="N173" s="1"/>
      <c r="O173" s="1"/>
      <c r="P173" s="1"/>
      <c r="Q173" s="1"/>
      <c r="R173" s="1"/>
      <c r="S173" s="1"/>
    </row>
    <row r="174" spans="1:19" x14ac:dyDescent="0.25">
      <c r="A174" s="20"/>
      <c r="B174" s="1"/>
      <c r="C174" s="1"/>
      <c r="D174" s="1"/>
      <c r="E174" s="1"/>
      <c r="F174" s="1"/>
      <c r="G174" s="1"/>
      <c r="H174" s="1"/>
      <c r="I174" s="1"/>
      <c r="J174" s="1"/>
      <c r="K174" s="1"/>
      <c r="L174" s="1"/>
      <c r="M174" s="1"/>
      <c r="N174" s="1"/>
      <c r="O174" s="1"/>
      <c r="P174" s="1"/>
      <c r="Q174" s="1"/>
      <c r="R174" s="1"/>
      <c r="S174" s="1"/>
    </row>
    <row r="175" spans="1:19" x14ac:dyDescent="0.25">
      <c r="A175" s="20"/>
      <c r="B175" s="1"/>
      <c r="C175" s="1"/>
      <c r="D175" s="1"/>
      <c r="E175" s="1"/>
      <c r="F175" s="1"/>
      <c r="G175" s="1"/>
      <c r="H175" s="1"/>
      <c r="I175" s="1"/>
      <c r="J175" s="1"/>
      <c r="K175" s="1"/>
      <c r="L175" s="1"/>
      <c r="M175" s="1"/>
      <c r="N175" s="1"/>
      <c r="O175" s="1"/>
      <c r="P175" s="1"/>
      <c r="Q175" s="1"/>
      <c r="R175" s="1"/>
      <c r="S175" s="1"/>
    </row>
    <row r="176" spans="1:19" x14ac:dyDescent="0.25">
      <c r="A176" s="20"/>
      <c r="B176" s="1"/>
      <c r="C176" s="1"/>
      <c r="D176" s="1"/>
      <c r="E176" s="1"/>
      <c r="F176" s="1"/>
      <c r="G176" s="1"/>
      <c r="H176" s="1"/>
      <c r="I176" s="1"/>
      <c r="J176" s="1"/>
      <c r="K176" s="1"/>
      <c r="L176" s="1"/>
      <c r="M176" s="1"/>
      <c r="N176" s="1"/>
      <c r="O176" s="1"/>
      <c r="P176" s="1"/>
      <c r="Q176" s="1"/>
      <c r="R176" s="1"/>
      <c r="S176" s="1"/>
    </row>
    <row r="177" spans="1:19" x14ac:dyDescent="0.25">
      <c r="A177" s="20"/>
      <c r="B177" s="1"/>
      <c r="C177" s="1"/>
      <c r="D177" s="1"/>
      <c r="E177" s="1"/>
      <c r="F177" s="1"/>
      <c r="G177" s="1"/>
      <c r="H177" s="1"/>
      <c r="I177" s="1"/>
      <c r="J177" s="1"/>
      <c r="K177" s="1"/>
      <c r="L177" s="1"/>
      <c r="M177" s="1"/>
      <c r="N177" s="1"/>
      <c r="O177" s="1"/>
      <c r="P177" s="1"/>
      <c r="Q177" s="1"/>
      <c r="R177" s="1"/>
      <c r="S177" s="1"/>
    </row>
    <row r="178" spans="1:19" x14ac:dyDescent="0.25">
      <c r="A178" s="20"/>
      <c r="B178" s="1"/>
      <c r="C178" s="1"/>
      <c r="D178" s="1"/>
      <c r="E178" s="1"/>
      <c r="F178" s="1"/>
      <c r="G178" s="1"/>
      <c r="H178" s="1"/>
      <c r="I178" s="1"/>
      <c r="J178" s="1"/>
      <c r="K178" s="1"/>
      <c r="L178" s="1"/>
      <c r="M178" s="1"/>
      <c r="N178" s="1"/>
      <c r="O178" s="1"/>
      <c r="P178" s="1"/>
      <c r="Q178" s="1"/>
      <c r="R178" s="1"/>
      <c r="S178" s="1"/>
    </row>
    <row r="179" spans="1:19" x14ac:dyDescent="0.25">
      <c r="A179" s="20"/>
      <c r="B179" s="1"/>
      <c r="C179" s="1"/>
      <c r="D179" s="1"/>
      <c r="E179" s="1"/>
      <c r="F179" s="1"/>
      <c r="G179" s="1"/>
      <c r="H179" s="1"/>
      <c r="I179" s="1"/>
      <c r="J179" s="1"/>
      <c r="K179" s="1"/>
      <c r="L179" s="1"/>
      <c r="M179" s="1"/>
      <c r="N179" s="1"/>
      <c r="O179" s="1"/>
      <c r="P179" s="1"/>
      <c r="Q179" s="1"/>
      <c r="R179" s="1"/>
      <c r="S179" s="1"/>
    </row>
    <row r="180" spans="1:19" x14ac:dyDescent="0.25">
      <c r="A180" s="20"/>
      <c r="B180" s="1"/>
      <c r="C180" s="1"/>
      <c r="D180" s="1"/>
      <c r="E180" s="1"/>
      <c r="F180" s="1"/>
      <c r="G180" s="1"/>
      <c r="H180" s="1"/>
      <c r="I180" s="1"/>
      <c r="J180" s="1"/>
      <c r="K180" s="1"/>
      <c r="L180" s="1"/>
      <c r="M180" s="1"/>
      <c r="N180" s="1"/>
      <c r="O180" s="1"/>
      <c r="P180" s="1"/>
      <c r="Q180" s="1"/>
      <c r="R180" s="1"/>
      <c r="S180" s="1"/>
    </row>
    <row r="181" spans="1:19" x14ac:dyDescent="0.25">
      <c r="A181" s="20"/>
      <c r="B181" s="1"/>
      <c r="C181" s="1"/>
      <c r="D181" s="1"/>
      <c r="E181" s="1"/>
      <c r="F181" s="1"/>
      <c r="G181" s="1"/>
      <c r="H181" s="1"/>
      <c r="I181" s="1"/>
      <c r="J181" s="1"/>
      <c r="K181" s="1"/>
      <c r="L181" s="1"/>
      <c r="M181" s="1"/>
      <c r="N181" s="1"/>
      <c r="O181" s="1"/>
      <c r="P181" s="1"/>
      <c r="Q181" s="1"/>
      <c r="R181" s="1"/>
      <c r="S181" s="1"/>
    </row>
    <row r="182" spans="1:19" x14ac:dyDescent="0.25">
      <c r="A182" s="20"/>
      <c r="B182" s="1"/>
      <c r="C182" s="1"/>
      <c r="D182" s="1"/>
      <c r="E182" s="1"/>
      <c r="F182" s="1"/>
      <c r="G182" s="1"/>
      <c r="H182" s="1"/>
      <c r="I182" s="1"/>
      <c r="J182" s="1"/>
      <c r="K182" s="1"/>
      <c r="L182" s="1"/>
      <c r="M182" s="1"/>
      <c r="N182" s="1"/>
      <c r="O182" s="1"/>
      <c r="P182" s="1"/>
      <c r="Q182" s="1"/>
      <c r="R182" s="1"/>
      <c r="S182" s="1"/>
    </row>
    <row r="183" spans="1:19" x14ac:dyDescent="0.25">
      <c r="A183" s="20"/>
      <c r="B183" s="1"/>
      <c r="C183" s="1"/>
      <c r="D183" s="1"/>
      <c r="E183" s="1"/>
      <c r="F183" s="1"/>
      <c r="G183" s="1"/>
      <c r="H183" s="1"/>
      <c r="I183" s="1"/>
      <c r="J183" s="1"/>
      <c r="K183" s="1"/>
      <c r="L183" s="1"/>
      <c r="M183" s="1"/>
      <c r="N183" s="1"/>
      <c r="O183" s="1"/>
      <c r="P183" s="1"/>
      <c r="Q183" s="1"/>
      <c r="R183" s="1"/>
      <c r="S183" s="1"/>
    </row>
    <row r="184" spans="1:19" x14ac:dyDescent="0.25">
      <c r="A184" s="20"/>
      <c r="B184" s="1"/>
      <c r="C184" s="1"/>
      <c r="D184" s="1"/>
      <c r="E184" s="1"/>
      <c r="F184" s="1"/>
      <c r="G184" s="1"/>
      <c r="H184" s="1"/>
      <c r="I184" s="1"/>
      <c r="J184" s="1"/>
      <c r="K184" s="1"/>
      <c r="L184" s="1"/>
      <c r="M184" s="1"/>
      <c r="N184" s="1"/>
      <c r="O184" s="1"/>
      <c r="P184" s="1"/>
      <c r="Q184" s="1"/>
      <c r="R184" s="1"/>
      <c r="S184" s="1"/>
    </row>
    <row r="185" spans="1:19" x14ac:dyDescent="0.25">
      <c r="A185" s="20"/>
      <c r="B185" s="1"/>
      <c r="C185" s="1"/>
      <c r="D185" s="1"/>
      <c r="E185" s="1"/>
      <c r="F185" s="1"/>
      <c r="G185" s="1"/>
      <c r="H185" s="1"/>
      <c r="I185" s="1"/>
      <c r="J185" s="1"/>
      <c r="K185" s="1"/>
      <c r="L185" s="1"/>
      <c r="M185" s="1"/>
      <c r="N185" s="1"/>
      <c r="O185" s="1"/>
      <c r="P185" s="1"/>
      <c r="Q185" s="1"/>
      <c r="R185" s="1"/>
      <c r="S185" s="1"/>
    </row>
    <row r="186" spans="1:19" x14ac:dyDescent="0.25">
      <c r="A186" s="20"/>
      <c r="B186" s="1"/>
      <c r="C186" s="1"/>
      <c r="D186" s="1"/>
      <c r="E186" s="1"/>
      <c r="F186" s="1"/>
      <c r="G186" s="1"/>
      <c r="H186" s="1"/>
      <c r="I186" s="1"/>
      <c r="J186" s="1"/>
      <c r="K186" s="1"/>
      <c r="L186" s="1"/>
      <c r="M186" s="1"/>
      <c r="N186" s="1"/>
      <c r="O186" s="1"/>
      <c r="P186" s="1"/>
      <c r="Q186" s="1"/>
      <c r="R186" s="1"/>
      <c r="S186" s="1"/>
    </row>
    <row r="187" spans="1:19" x14ac:dyDescent="0.25">
      <c r="A187" s="20"/>
      <c r="B187" s="1"/>
      <c r="C187" s="1"/>
      <c r="D187" s="1"/>
      <c r="E187" s="1"/>
      <c r="F187" s="1"/>
      <c r="G187" s="1"/>
      <c r="H187" s="1"/>
      <c r="I187" s="1"/>
      <c r="J187" s="1"/>
      <c r="K187" s="1"/>
      <c r="L187" s="1"/>
      <c r="M187" s="1"/>
      <c r="N187" s="1"/>
      <c r="O187" s="1"/>
      <c r="P187" s="1"/>
      <c r="Q187" s="1"/>
      <c r="R187" s="1"/>
      <c r="S187" s="1"/>
    </row>
    <row r="188" spans="1:19" x14ac:dyDescent="0.25">
      <c r="A188" s="20"/>
      <c r="B188" s="1"/>
      <c r="C188" s="1"/>
      <c r="D188" s="1"/>
      <c r="E188" s="1"/>
      <c r="F188" s="1"/>
      <c r="G188" s="1"/>
      <c r="H188" s="1"/>
      <c r="I188" s="1"/>
      <c r="J188" s="1"/>
      <c r="K188" s="1"/>
      <c r="L188" s="1"/>
      <c r="M188" s="1"/>
      <c r="N188" s="1"/>
      <c r="O188" s="1"/>
      <c r="P188" s="1"/>
      <c r="Q188" s="1"/>
      <c r="R188" s="1"/>
      <c r="S188" s="1"/>
    </row>
    <row r="189" spans="1:19" x14ac:dyDescent="0.25">
      <c r="A189" s="20"/>
      <c r="B189" s="1"/>
      <c r="C189" s="1"/>
      <c r="D189" s="1"/>
      <c r="E189" s="1"/>
      <c r="F189" s="1"/>
      <c r="G189" s="1"/>
      <c r="H189" s="1"/>
      <c r="I189" s="1"/>
      <c r="J189" s="1"/>
      <c r="K189" s="1"/>
      <c r="L189" s="1"/>
      <c r="M189" s="1"/>
      <c r="N189" s="1"/>
      <c r="O189" s="1"/>
      <c r="P189" s="1"/>
      <c r="Q189" s="1"/>
      <c r="R189" s="1"/>
      <c r="S189" s="1"/>
    </row>
    <row r="190" spans="1:19" x14ac:dyDescent="0.25">
      <c r="A190" s="20"/>
      <c r="B190" s="1"/>
      <c r="C190" s="1"/>
      <c r="D190" s="1"/>
      <c r="E190" s="1"/>
      <c r="F190" s="1"/>
      <c r="G190" s="1"/>
      <c r="H190" s="1"/>
      <c r="I190" s="1"/>
      <c r="J190" s="1"/>
      <c r="K190" s="1"/>
      <c r="L190" s="1"/>
      <c r="M190" s="1"/>
      <c r="N190" s="1"/>
      <c r="O190" s="1"/>
      <c r="P190" s="1"/>
      <c r="Q190" s="1"/>
      <c r="R190" s="1"/>
      <c r="S190" s="1"/>
    </row>
    <row r="191" spans="1:19" x14ac:dyDescent="0.25">
      <c r="A191" s="20"/>
      <c r="B191" s="1"/>
      <c r="C191" s="1"/>
      <c r="D191" s="1"/>
      <c r="E191" s="1"/>
      <c r="F191" s="1"/>
      <c r="G191" s="1"/>
      <c r="H191" s="1"/>
      <c r="I191" s="1"/>
      <c r="J191" s="1"/>
      <c r="K191" s="1"/>
      <c r="L191" s="1"/>
      <c r="M191" s="1"/>
      <c r="N191" s="1"/>
      <c r="O191" s="1"/>
      <c r="P191" s="1"/>
      <c r="Q191" s="1"/>
      <c r="R191" s="1"/>
      <c r="S191" s="1"/>
    </row>
    <row r="192" spans="1:19" x14ac:dyDescent="0.25">
      <c r="A192" s="20"/>
      <c r="B192" s="1"/>
      <c r="C192" s="1"/>
      <c r="D192" s="1"/>
      <c r="E192" s="1"/>
      <c r="F192" s="1"/>
      <c r="G192" s="1"/>
      <c r="H192" s="1"/>
      <c r="I192" s="1"/>
      <c r="J192" s="1"/>
      <c r="K192" s="1"/>
      <c r="L192" s="1"/>
      <c r="M192" s="1"/>
      <c r="N192" s="1"/>
      <c r="O192" s="1"/>
      <c r="P192" s="1"/>
      <c r="Q192" s="1"/>
      <c r="R192" s="1"/>
      <c r="S192" s="1"/>
    </row>
    <row r="193" spans="1:19" x14ac:dyDescent="0.25">
      <c r="A193" s="20"/>
      <c r="B193" s="1"/>
      <c r="C193" s="1"/>
      <c r="D193" s="1"/>
      <c r="E193" s="1"/>
      <c r="F193" s="1"/>
      <c r="G193" s="1"/>
      <c r="H193" s="1"/>
      <c r="I193" s="1"/>
      <c r="J193" s="1"/>
      <c r="K193" s="1"/>
      <c r="L193" s="1"/>
      <c r="M193" s="1"/>
      <c r="N193" s="1"/>
      <c r="O193" s="1"/>
      <c r="P193" s="1"/>
      <c r="Q193" s="1"/>
      <c r="R193" s="1"/>
      <c r="S193" s="1"/>
    </row>
  </sheetData>
  <mergeCells count="14">
    <mergeCell ref="O8:Q8"/>
    <mergeCell ref="A1:F1"/>
    <mergeCell ref="G1:H1"/>
    <mergeCell ref="A6:I6"/>
    <mergeCell ref="B7:D8"/>
    <mergeCell ref="A7:A9"/>
    <mergeCell ref="N6:Q7"/>
    <mergeCell ref="A54:I54"/>
    <mergeCell ref="N50:Q50"/>
    <mergeCell ref="B42:D42"/>
    <mergeCell ref="A50:J50"/>
    <mergeCell ref="A51:I51"/>
    <mergeCell ref="A52:I52"/>
    <mergeCell ref="A53:I53"/>
  </mergeCells>
  <conditionalFormatting sqref="C44 C48 C10:D41 P10:Q48">
    <cfRule type="cellIs" dxfId="52" priority="12" operator="lessThan">
      <formula>0</formula>
    </cfRule>
    <cfRule type="cellIs" dxfId="51" priority="13" operator="greaterThan">
      <formula>0</formula>
    </cfRule>
  </conditionalFormatting>
  <conditionalFormatting sqref="B48 B44 B10:B41">
    <cfRule type="colorScale" priority="9">
      <colorScale>
        <cfvo type="num" val="-40000"/>
        <cfvo type="num" val="0"/>
        <cfvo type="num" val="40000"/>
        <color rgb="FFF8696B"/>
        <color rgb="FFFCFCFF"/>
        <color rgb="FF5A8AC6"/>
      </colorScale>
    </cfRule>
  </conditionalFormatting>
  <conditionalFormatting sqref="O10:O48">
    <cfRule type="colorScale" priority="8">
      <colorScale>
        <cfvo type="num" val="-100"/>
        <cfvo type="num" val="0"/>
        <cfvo type="num" val="100"/>
        <color rgb="FFF8696B"/>
        <color rgb="FFFCFCFF"/>
        <color rgb="FF5A8AC6"/>
      </colorScale>
    </cfRule>
  </conditionalFormatting>
  <conditionalFormatting sqref="F3">
    <cfRule type="cellIs" dxfId="50" priority="6" operator="lessThan">
      <formula>0.55</formula>
    </cfRule>
    <cfRule type="cellIs" dxfId="49" priority="7" operator="greaterThan">
      <formula>0.6</formula>
    </cfRule>
  </conditionalFormatting>
  <conditionalFormatting sqref="D44 D48">
    <cfRule type="cellIs" dxfId="48" priority="4" operator="lessThan">
      <formula>0</formula>
    </cfRule>
    <cfRule type="cellIs" dxfId="47" priority="5" operator="greaterThan">
      <formula>0</formula>
    </cfRule>
  </conditionalFormatting>
  <conditionalFormatting sqref="C47:D47">
    <cfRule type="cellIs" dxfId="46" priority="2" operator="lessThan">
      <formula>0</formula>
    </cfRule>
    <cfRule type="cellIs" dxfId="45" priority="3" operator="greaterThan">
      <formula>0</formula>
    </cfRule>
  </conditionalFormatting>
  <conditionalFormatting sqref="B47">
    <cfRule type="colorScale" priority="1">
      <colorScale>
        <cfvo type="num" val="-40000"/>
        <cfvo type="num" val="0"/>
        <cfvo type="num" val="400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2" fitToHeight="0" orientation="portrait" r:id="rId1"/>
  <rowBreaks count="1" manualBreakCount="1">
    <brk id="47" max="1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40D3D-9971-447C-BCFF-E5BFDA7CE746}">
  <sheetPr codeName="Tabelle25"/>
  <dimension ref="A2:B17"/>
  <sheetViews>
    <sheetView view="pageBreakPreview" zoomScale="30" zoomScaleNormal="100" zoomScaleSheetLayoutView="30" workbookViewId="0">
      <selection activeCell="J11" sqref="J11"/>
    </sheetView>
  </sheetViews>
  <sheetFormatPr defaultColWidth="11.42578125" defaultRowHeight="15" x14ac:dyDescent="0.25"/>
  <cols>
    <col min="1" max="1" width="36.42578125" style="99" customWidth="1"/>
    <col min="2" max="2" width="112.5703125" customWidth="1"/>
  </cols>
  <sheetData>
    <row r="2" spans="1:2" ht="15.75" x14ac:dyDescent="0.25">
      <c r="A2" s="93"/>
    </row>
    <row r="4" spans="1:2" x14ac:dyDescent="0.25">
      <c r="A4" s="94" t="s">
        <v>256</v>
      </c>
    </row>
    <row r="5" spans="1:2" ht="24" x14ac:dyDescent="0.25">
      <c r="A5" s="95" t="s">
        <v>22</v>
      </c>
      <c r="B5" s="96" t="s">
        <v>257</v>
      </c>
    </row>
    <row r="6" spans="1:2" ht="24" x14ac:dyDescent="0.25">
      <c r="A6" s="95" t="s">
        <v>27</v>
      </c>
      <c r="B6" s="97" t="s">
        <v>258</v>
      </c>
    </row>
    <row r="7" spans="1:2" ht="24" x14ac:dyDescent="0.25">
      <c r="A7" s="95" t="s">
        <v>259</v>
      </c>
      <c r="B7" s="97" t="s">
        <v>260</v>
      </c>
    </row>
    <row r="8" spans="1:2" ht="24" x14ac:dyDescent="0.25">
      <c r="A8" s="95" t="s">
        <v>261</v>
      </c>
      <c r="B8" s="97" t="s">
        <v>262</v>
      </c>
    </row>
    <row r="9" spans="1:2" ht="72" x14ac:dyDescent="0.25">
      <c r="A9" s="95" t="s">
        <v>31</v>
      </c>
      <c r="B9" s="98" t="s">
        <v>263</v>
      </c>
    </row>
    <row r="10" spans="1:2" ht="24" x14ac:dyDescent="0.25">
      <c r="A10" s="95" t="s">
        <v>264</v>
      </c>
      <c r="B10" s="97" t="s">
        <v>265</v>
      </c>
    </row>
    <row r="11" spans="1:2" ht="24" x14ac:dyDescent="0.25">
      <c r="A11" s="95" t="s">
        <v>266</v>
      </c>
      <c r="B11" s="97" t="s">
        <v>267</v>
      </c>
    </row>
    <row r="12" spans="1:2" ht="48" x14ac:dyDescent="0.25">
      <c r="A12" s="95" t="s">
        <v>268</v>
      </c>
      <c r="B12" s="98" t="s">
        <v>269</v>
      </c>
    </row>
    <row r="13" spans="1:2" ht="72" x14ac:dyDescent="0.25">
      <c r="A13" s="95" t="s">
        <v>270</v>
      </c>
      <c r="B13" s="98" t="s">
        <v>271</v>
      </c>
    </row>
    <row r="14" spans="1:2" ht="24" x14ac:dyDescent="0.25">
      <c r="A14" s="95"/>
    </row>
    <row r="15" spans="1:2" ht="24" x14ac:dyDescent="0.25">
      <c r="A15" s="95"/>
    </row>
    <row r="16" spans="1:2" ht="96" x14ac:dyDescent="0.25">
      <c r="A16" s="95" t="s">
        <v>272</v>
      </c>
      <c r="B16" s="98" t="s">
        <v>273</v>
      </c>
    </row>
    <row r="17" spans="1:1" ht="24" x14ac:dyDescent="0.25">
      <c r="A17" s="95"/>
    </row>
  </sheetData>
  <pageMargins left="0.7" right="0.7" top="0.78740157499999996" bottom="0.78740157499999996" header="0.3" footer="0.3"/>
  <pageSetup paperSize="9" scale="58"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K27"/>
  <sheetViews>
    <sheetView view="pageBreakPreview" zoomScale="30" zoomScaleNormal="100" zoomScaleSheetLayoutView="30" workbookViewId="0">
      <selection activeCell="A2" sqref="A2:K27"/>
    </sheetView>
  </sheetViews>
  <sheetFormatPr defaultColWidth="11.42578125" defaultRowHeight="15" x14ac:dyDescent="0.25"/>
  <cols>
    <col min="1" max="1" width="68.85546875" style="25" customWidth="1"/>
  </cols>
  <sheetData>
    <row r="2" spans="1:11" ht="123.75" customHeight="1" x14ac:dyDescent="0.25">
      <c r="A2" s="137" t="s">
        <v>140</v>
      </c>
      <c r="B2" s="137"/>
      <c r="C2" s="137"/>
      <c r="D2" s="137"/>
      <c r="E2" s="137"/>
      <c r="F2" s="137"/>
      <c r="G2" s="137"/>
      <c r="H2" s="137"/>
      <c r="I2" s="137"/>
      <c r="J2" s="137"/>
      <c r="K2" s="137"/>
    </row>
    <row r="3" spans="1:11" x14ac:dyDescent="0.25">
      <c r="A3" s="137"/>
      <c r="B3" s="137"/>
      <c r="C3" s="137"/>
      <c r="D3" s="137"/>
      <c r="E3" s="137"/>
      <c r="F3" s="137"/>
      <c r="G3" s="137"/>
      <c r="H3" s="137"/>
      <c r="I3" s="137"/>
      <c r="J3" s="137"/>
      <c r="K3" s="137"/>
    </row>
    <row r="4" spans="1:11" x14ac:dyDescent="0.25">
      <c r="A4" s="137"/>
      <c r="B4" s="137"/>
      <c r="C4" s="137"/>
      <c r="D4" s="137"/>
      <c r="E4" s="137"/>
      <c r="F4" s="137"/>
      <c r="G4" s="137"/>
      <c r="H4" s="137"/>
      <c r="I4" s="137"/>
      <c r="J4" s="137"/>
      <c r="K4" s="137"/>
    </row>
    <row r="5" spans="1:11" x14ac:dyDescent="0.25">
      <c r="A5" s="137"/>
      <c r="B5" s="137"/>
      <c r="C5" s="137"/>
      <c r="D5" s="137"/>
      <c r="E5" s="137"/>
      <c r="F5" s="137"/>
      <c r="G5" s="137"/>
      <c r="H5" s="137"/>
      <c r="I5" s="137"/>
      <c r="J5" s="137"/>
      <c r="K5" s="137"/>
    </row>
    <row r="6" spans="1:11" x14ac:dyDescent="0.25">
      <c r="A6" s="137"/>
      <c r="B6" s="137"/>
      <c r="C6" s="137"/>
      <c r="D6" s="137"/>
      <c r="E6" s="137"/>
      <c r="F6" s="137"/>
      <c r="G6" s="137"/>
      <c r="H6" s="137"/>
      <c r="I6" s="137"/>
      <c r="J6" s="137"/>
      <c r="K6" s="137"/>
    </row>
    <row r="7" spans="1:11" x14ac:dyDescent="0.25">
      <c r="A7" s="137"/>
      <c r="B7" s="137"/>
      <c r="C7" s="137"/>
      <c r="D7" s="137"/>
      <c r="E7" s="137"/>
      <c r="F7" s="137"/>
      <c r="G7" s="137"/>
      <c r="H7" s="137"/>
      <c r="I7" s="137"/>
      <c r="J7" s="137"/>
      <c r="K7" s="137"/>
    </row>
    <row r="8" spans="1:11" x14ac:dyDescent="0.25">
      <c r="A8" s="137"/>
      <c r="B8" s="137"/>
      <c r="C8" s="137"/>
      <c r="D8" s="137"/>
      <c r="E8" s="137"/>
      <c r="F8" s="137"/>
      <c r="G8" s="137"/>
      <c r="H8" s="137"/>
      <c r="I8" s="137"/>
      <c r="J8" s="137"/>
      <c r="K8" s="137"/>
    </row>
    <row r="9" spans="1:11" x14ac:dyDescent="0.25">
      <c r="A9" s="137"/>
      <c r="B9" s="137"/>
      <c r="C9" s="137"/>
      <c r="D9" s="137"/>
      <c r="E9" s="137"/>
      <c r="F9" s="137"/>
      <c r="G9" s="137"/>
      <c r="H9" s="137"/>
      <c r="I9" s="137"/>
      <c r="J9" s="137"/>
      <c r="K9" s="137"/>
    </row>
    <row r="10" spans="1:11" x14ac:dyDescent="0.25">
      <c r="A10" s="137"/>
      <c r="B10" s="137"/>
      <c r="C10" s="137"/>
      <c r="D10" s="137"/>
      <c r="E10" s="137"/>
      <c r="F10" s="137"/>
      <c r="G10" s="137"/>
      <c r="H10" s="137"/>
      <c r="I10" s="137"/>
      <c r="J10" s="137"/>
      <c r="K10" s="137"/>
    </row>
    <row r="11" spans="1:11" x14ac:dyDescent="0.25">
      <c r="A11" s="137"/>
      <c r="B11" s="137"/>
      <c r="C11" s="137"/>
      <c r="D11" s="137"/>
      <c r="E11" s="137"/>
      <c r="F11" s="137"/>
      <c r="G11" s="137"/>
      <c r="H11" s="137"/>
      <c r="I11" s="137"/>
      <c r="J11" s="137"/>
      <c r="K11" s="137"/>
    </row>
    <row r="12" spans="1:11" x14ac:dyDescent="0.25">
      <c r="A12" s="137"/>
      <c r="B12" s="137"/>
      <c r="C12" s="137"/>
      <c r="D12" s="137"/>
      <c r="E12" s="137"/>
      <c r="F12" s="137"/>
      <c r="G12" s="137"/>
      <c r="H12" s="137"/>
      <c r="I12" s="137"/>
      <c r="J12" s="137"/>
      <c r="K12" s="137"/>
    </row>
    <row r="13" spans="1:11" x14ac:dyDescent="0.25">
      <c r="A13" s="137"/>
      <c r="B13" s="137"/>
      <c r="C13" s="137"/>
      <c r="D13" s="137"/>
      <c r="E13" s="137"/>
      <c r="F13" s="137"/>
      <c r="G13" s="137"/>
      <c r="H13" s="137"/>
      <c r="I13" s="137"/>
      <c r="J13" s="137"/>
      <c r="K13" s="137"/>
    </row>
    <row r="14" spans="1:11" x14ac:dyDescent="0.25">
      <c r="A14" s="137"/>
      <c r="B14" s="137"/>
      <c r="C14" s="137"/>
      <c r="D14" s="137"/>
      <c r="E14" s="137"/>
      <c r="F14" s="137"/>
      <c r="G14" s="137"/>
      <c r="H14" s="137"/>
      <c r="I14" s="137"/>
      <c r="J14" s="137"/>
      <c r="K14" s="137"/>
    </row>
    <row r="15" spans="1:11" x14ac:dyDescent="0.25">
      <c r="A15" s="137"/>
      <c r="B15" s="137"/>
      <c r="C15" s="137"/>
      <c r="D15" s="137"/>
      <c r="E15" s="137"/>
      <c r="F15" s="137"/>
      <c r="G15" s="137"/>
      <c r="H15" s="137"/>
      <c r="I15" s="137"/>
      <c r="J15" s="137"/>
      <c r="K15" s="137"/>
    </row>
    <row r="16" spans="1:11" x14ac:dyDescent="0.25">
      <c r="A16" s="137"/>
      <c r="B16" s="137"/>
      <c r="C16" s="137"/>
      <c r="D16" s="137"/>
      <c r="E16" s="137"/>
      <c r="F16" s="137"/>
      <c r="G16" s="137"/>
      <c r="H16" s="137"/>
      <c r="I16" s="137"/>
      <c r="J16" s="137"/>
      <c r="K16" s="137"/>
    </row>
    <row r="17" spans="1:11" x14ac:dyDescent="0.25">
      <c r="A17" s="137"/>
      <c r="B17" s="137"/>
      <c r="C17" s="137"/>
      <c r="D17" s="137"/>
      <c r="E17" s="137"/>
      <c r="F17" s="137"/>
      <c r="G17" s="137"/>
      <c r="H17" s="137"/>
      <c r="I17" s="137"/>
      <c r="J17" s="137"/>
      <c r="K17" s="137"/>
    </row>
    <row r="18" spans="1:11" x14ac:dyDescent="0.25">
      <c r="A18" s="137"/>
      <c r="B18" s="137"/>
      <c r="C18" s="137"/>
      <c r="D18" s="137"/>
      <c r="E18" s="137"/>
      <c r="F18" s="137"/>
      <c r="G18" s="137"/>
      <c r="H18" s="137"/>
      <c r="I18" s="137"/>
      <c r="J18" s="137"/>
      <c r="K18" s="137"/>
    </row>
    <row r="19" spans="1:11" x14ac:dyDescent="0.25">
      <c r="A19" s="137"/>
      <c r="B19" s="137"/>
      <c r="C19" s="137"/>
      <c r="D19" s="137"/>
      <c r="E19" s="137"/>
      <c r="F19" s="137"/>
      <c r="G19" s="137"/>
      <c r="H19" s="137"/>
      <c r="I19" s="137"/>
      <c r="J19" s="137"/>
      <c r="K19" s="137"/>
    </row>
    <row r="20" spans="1:11" x14ac:dyDescent="0.25">
      <c r="A20" s="137"/>
      <c r="B20" s="137"/>
      <c r="C20" s="137"/>
      <c r="D20" s="137"/>
      <c r="E20" s="137"/>
      <c r="F20" s="137"/>
      <c r="G20" s="137"/>
      <c r="H20" s="137"/>
      <c r="I20" s="137"/>
      <c r="J20" s="137"/>
      <c r="K20" s="137"/>
    </row>
    <row r="21" spans="1:11" x14ac:dyDescent="0.25">
      <c r="A21" s="137"/>
      <c r="B21" s="137"/>
      <c r="C21" s="137"/>
      <c r="D21" s="137"/>
      <c r="E21" s="137"/>
      <c r="F21" s="137"/>
      <c r="G21" s="137"/>
      <c r="H21" s="137"/>
      <c r="I21" s="137"/>
      <c r="J21" s="137"/>
      <c r="K21" s="137"/>
    </row>
    <row r="22" spans="1:11" x14ac:dyDescent="0.25">
      <c r="A22" s="137"/>
      <c r="B22" s="137"/>
      <c r="C22" s="137"/>
      <c r="D22" s="137"/>
      <c r="E22" s="137"/>
      <c r="F22" s="137"/>
      <c r="G22" s="137"/>
      <c r="H22" s="137"/>
      <c r="I22" s="137"/>
      <c r="J22" s="137"/>
      <c r="K22" s="137"/>
    </row>
    <row r="23" spans="1:11" x14ac:dyDescent="0.25">
      <c r="A23" s="137"/>
      <c r="B23" s="137"/>
      <c r="C23" s="137"/>
      <c r="D23" s="137"/>
      <c r="E23" s="137"/>
      <c r="F23" s="137"/>
      <c r="G23" s="137"/>
      <c r="H23" s="137"/>
      <c r="I23" s="137"/>
      <c r="J23" s="137"/>
      <c r="K23" s="137"/>
    </row>
    <row r="24" spans="1:11" x14ac:dyDescent="0.25">
      <c r="A24" s="137"/>
      <c r="B24" s="137"/>
      <c r="C24" s="137"/>
      <c r="D24" s="137"/>
      <c r="E24" s="137"/>
      <c r="F24" s="137"/>
      <c r="G24" s="137"/>
      <c r="H24" s="137"/>
      <c r="I24" s="137"/>
      <c r="J24" s="137"/>
      <c r="K24" s="137"/>
    </row>
    <row r="25" spans="1:11" x14ac:dyDescent="0.25">
      <c r="A25" s="137"/>
      <c r="B25" s="137"/>
      <c r="C25" s="137"/>
      <c r="D25" s="137"/>
      <c r="E25" s="137"/>
      <c r="F25" s="137"/>
      <c r="G25" s="137"/>
      <c r="H25" s="137"/>
      <c r="I25" s="137"/>
      <c r="J25" s="137"/>
      <c r="K25" s="137"/>
    </row>
    <row r="26" spans="1:11" x14ac:dyDescent="0.25">
      <c r="A26" s="137"/>
      <c r="B26" s="137"/>
      <c r="C26" s="137"/>
      <c r="D26" s="137"/>
      <c r="E26" s="137"/>
      <c r="F26" s="137"/>
      <c r="G26" s="137"/>
      <c r="H26" s="137"/>
      <c r="I26" s="137"/>
      <c r="J26" s="137"/>
      <c r="K26" s="137"/>
    </row>
    <row r="27" spans="1:11" x14ac:dyDescent="0.25">
      <c r="A27" s="137"/>
      <c r="B27" s="137"/>
      <c r="C27" s="137"/>
      <c r="D27" s="137"/>
      <c r="E27" s="137"/>
      <c r="F27" s="137"/>
      <c r="G27" s="137"/>
      <c r="H27" s="137"/>
      <c r="I27" s="137"/>
      <c r="J27" s="137"/>
      <c r="K27" s="137"/>
    </row>
  </sheetData>
  <mergeCells count="1">
    <mergeCell ref="A2:K27"/>
  </mergeCells>
  <pageMargins left="0.7" right="0.7" top="0.78740157499999996" bottom="0.78740157499999996" header="0.3" footer="0.3"/>
  <pageSetup paperSize="9" scale="47"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zoomScaleNormal="100" workbookViewId="0">
      <pane xSplit="1" topLeftCell="B1" activePane="topRight" state="frozen"/>
      <selection pane="topRight" activeCell="B110" sqref="B110"/>
    </sheetView>
  </sheetViews>
  <sheetFormatPr defaultColWidth="11.42578125" defaultRowHeight="15" x14ac:dyDescent="0.25"/>
  <cols>
    <col min="1" max="16384" width="11.42578125" style="5"/>
  </cols>
  <sheetData>
    <row r="4" spans="1:54" x14ac:dyDescent="0.25">
      <c r="A4" s="4"/>
      <c r="B4" s="4"/>
      <c r="C4" s="4"/>
      <c r="D4" s="4">
        <v>4650</v>
      </c>
      <c r="E4" s="4">
        <v>4625</v>
      </c>
      <c r="F4" s="4">
        <v>4600</v>
      </c>
      <c r="G4" s="4">
        <v>4575</v>
      </c>
      <c r="H4" s="4">
        <v>4550</v>
      </c>
      <c r="I4" s="4">
        <v>4525</v>
      </c>
      <c r="J4" s="4">
        <v>4500</v>
      </c>
      <c r="K4" s="4">
        <v>4475</v>
      </c>
      <c r="L4" s="4">
        <v>4450</v>
      </c>
      <c r="M4" s="4">
        <v>4425</v>
      </c>
      <c r="N4" s="4">
        <v>4400</v>
      </c>
      <c r="O4" s="4">
        <v>4375</v>
      </c>
      <c r="P4" s="4">
        <v>4350</v>
      </c>
      <c r="Q4" s="4">
        <v>4325</v>
      </c>
      <c r="R4" s="4">
        <v>4300</v>
      </c>
      <c r="S4" s="4">
        <v>4275</v>
      </c>
      <c r="T4" s="4">
        <v>4250</v>
      </c>
      <c r="U4" s="4">
        <v>4225</v>
      </c>
      <c r="V4" s="4">
        <v>4200</v>
      </c>
      <c r="W4" s="4">
        <v>4175</v>
      </c>
      <c r="X4" s="4">
        <v>4150</v>
      </c>
      <c r="Y4" s="4">
        <v>4125</v>
      </c>
      <c r="Z4" s="4">
        <v>4100</v>
      </c>
      <c r="AA4" s="4">
        <v>4075</v>
      </c>
      <c r="AB4" s="4">
        <v>4050</v>
      </c>
      <c r="AC4" s="4">
        <v>4025</v>
      </c>
      <c r="AD4" s="4">
        <v>4000</v>
      </c>
      <c r="AE4" s="4">
        <v>3975</v>
      </c>
      <c r="AF4" s="4">
        <v>3950</v>
      </c>
      <c r="AG4" s="4"/>
      <c r="AH4" s="4"/>
      <c r="AI4" s="4"/>
      <c r="AJ4" s="4"/>
      <c r="AK4" s="4"/>
      <c r="AL4" s="4"/>
      <c r="AM4" s="4"/>
      <c r="AN4" s="4"/>
      <c r="AO4" s="4"/>
      <c r="AP4" s="4"/>
      <c r="AQ4" s="4"/>
      <c r="AR4" s="4"/>
      <c r="AS4" s="4"/>
      <c r="AT4" s="4"/>
      <c r="AU4" s="4"/>
      <c r="AV4" s="4"/>
      <c r="AW4" s="4"/>
      <c r="AX4" s="4"/>
      <c r="AY4" s="4"/>
      <c r="AZ4" s="4"/>
      <c r="BA4" s="4"/>
      <c r="BB4" s="4"/>
    </row>
    <row r="5" spans="1:54" x14ac:dyDescent="0.25">
      <c r="A5" s="4">
        <v>4650</v>
      </c>
      <c r="B5" s="4"/>
      <c r="C5" s="4">
        <v>-249.53975901326413</v>
      </c>
      <c r="D5" s="4">
        <v>-102.6434850122028</v>
      </c>
      <c r="E5" s="4">
        <v>-8.7309904341418783</v>
      </c>
      <c r="F5" s="4">
        <v>-171.2427639248879</v>
      </c>
      <c r="G5" s="4">
        <v>-32.902575462606393</v>
      </c>
      <c r="H5" s="4">
        <v>-73.489283961801377</v>
      </c>
      <c r="I5" s="4">
        <v>-35.76481228215691</v>
      </c>
      <c r="J5" s="4">
        <v>-51.284023503701555</v>
      </c>
      <c r="K5" s="4">
        <v>-4.4118592212796237</v>
      </c>
      <c r="L5" s="4">
        <v>-16.430414904840298</v>
      </c>
      <c r="M5" s="4">
        <v>-0.80255975814632041</v>
      </c>
      <c r="N5" s="4">
        <v>-1.5695978990405599</v>
      </c>
      <c r="O5" s="4">
        <v>0.21410366764723188</v>
      </c>
      <c r="P5" s="4">
        <v>-3.267436202090282E-2</v>
      </c>
      <c r="Q5" s="4">
        <v>4.5749270542993275E-3</v>
      </c>
      <c r="R5" s="4">
        <v>3.6418188314473994E-3</v>
      </c>
      <c r="S5" s="4">
        <v>9.5479569931273926E-4</v>
      </c>
      <c r="T5" s="4">
        <v>2.0706148354211885E-3</v>
      </c>
      <c r="U5" s="4">
        <v>6.5881053719051236E-5</v>
      </c>
      <c r="V5" s="4">
        <v>1.0134400565714874E-4</v>
      </c>
      <c r="W5" s="4">
        <v>6.8420063533543371E-6</v>
      </c>
      <c r="X5" s="4">
        <v>2.5297179630927638E-6</v>
      </c>
      <c r="Y5" s="4">
        <v>1.3365566935548825E-7</v>
      </c>
      <c r="Z5" s="4">
        <v>1.4423763268141518E-7</v>
      </c>
      <c r="AA5" s="4">
        <v>5.9132380615741228E-10</v>
      </c>
      <c r="AB5" s="4">
        <v>9.3771556367121204E-10</v>
      </c>
      <c r="AC5" s="4">
        <v>1.113709100184267E-11</v>
      </c>
      <c r="AD5" s="4">
        <v>1.3192008473023115E-11</v>
      </c>
      <c r="AE5" s="4">
        <v>1.476993215734232E-13</v>
      </c>
      <c r="AF5" s="4">
        <v>2.7074117184077419E-14</v>
      </c>
      <c r="AG5" s="4"/>
      <c r="AH5" s="4"/>
      <c r="AI5" s="4"/>
      <c r="AJ5" s="4"/>
      <c r="AK5" s="4"/>
      <c r="AL5" s="4"/>
      <c r="AM5" s="4"/>
      <c r="AN5" s="4"/>
      <c r="AO5" s="4"/>
      <c r="AP5" s="4"/>
      <c r="AQ5" s="4"/>
      <c r="AR5" s="4"/>
      <c r="AS5" s="4"/>
      <c r="AT5" s="4"/>
      <c r="AU5" s="4"/>
      <c r="AV5" s="4"/>
      <c r="AW5" s="4"/>
      <c r="AX5" s="4"/>
      <c r="AY5" s="4"/>
      <c r="AZ5" s="4"/>
      <c r="BA5" s="4"/>
      <c r="BB5" s="4"/>
    </row>
    <row r="6" spans="1:54" x14ac:dyDescent="0.25">
      <c r="A6" s="4">
        <v>4640</v>
      </c>
      <c r="B6" s="4"/>
      <c r="C6" s="4">
        <v>-278.63469438863928</v>
      </c>
      <c r="D6" s="4">
        <v>-104.9935193924205</v>
      </c>
      <c r="E6" s="4">
        <v>-9.201728593972831</v>
      </c>
      <c r="F6" s="4">
        <v>-185.97872377725653</v>
      </c>
      <c r="G6" s="4">
        <v>-36.829612222295658</v>
      </c>
      <c r="H6" s="4">
        <v>-84.796779083714171</v>
      </c>
      <c r="I6" s="4">
        <v>-42.547303431619227</v>
      </c>
      <c r="J6" s="4">
        <v>-62.911841611670077</v>
      </c>
      <c r="K6" s="4">
        <v>-5.5818795005823238</v>
      </c>
      <c r="L6" s="4">
        <v>-21.443267452284868</v>
      </c>
      <c r="M6" s="4">
        <v>-1.0806359143955795</v>
      </c>
      <c r="N6" s="4">
        <v>-2.1808552288598477</v>
      </c>
      <c r="O6" s="4">
        <v>0.30702705481355469</v>
      </c>
      <c r="P6" s="4">
        <v>-4.8367357310519533E-2</v>
      </c>
      <c r="Q6" s="4">
        <v>6.9920031687749195E-3</v>
      </c>
      <c r="R6" s="4">
        <v>5.7476246552345643E-3</v>
      </c>
      <c r="S6" s="4">
        <v>1.5563758808796798E-3</v>
      </c>
      <c r="T6" s="4">
        <v>3.4867406601121866E-3</v>
      </c>
      <c r="U6" s="4">
        <v>1.1462528573716174E-4</v>
      </c>
      <c r="V6" s="4">
        <v>1.8222241621274442E-4</v>
      </c>
      <c r="W6" s="4">
        <v>1.2716170015557346E-5</v>
      </c>
      <c r="X6" s="4">
        <v>4.8607174489824088E-6</v>
      </c>
      <c r="Y6" s="4">
        <v>2.655574078320291E-7</v>
      </c>
      <c r="Z6" s="4">
        <v>2.9640176909297218E-7</v>
      </c>
      <c r="AA6" s="4">
        <v>1.25703748069669E-9</v>
      </c>
      <c r="AB6" s="4">
        <v>2.0625535588765454E-9</v>
      </c>
      <c r="AC6" s="4">
        <v>2.5351802162461919E-11</v>
      </c>
      <c r="AD6" s="4">
        <v>3.108449401845789E-11</v>
      </c>
      <c r="AE6" s="4">
        <v>3.6033065550800931E-13</v>
      </c>
      <c r="AF6" s="4">
        <v>6.8400936933586222E-14</v>
      </c>
      <c r="AG6" s="4"/>
      <c r="AH6" s="4"/>
      <c r="AI6" s="4"/>
      <c r="AJ6" s="4"/>
      <c r="AK6" s="4"/>
      <c r="AL6" s="4"/>
      <c r="AM6" s="4"/>
      <c r="AN6" s="4"/>
      <c r="AO6" s="4"/>
      <c r="AP6" s="4"/>
      <c r="AQ6" s="4"/>
      <c r="AR6" s="4"/>
      <c r="AS6" s="4"/>
      <c r="AT6" s="4"/>
      <c r="AU6" s="4"/>
      <c r="AV6" s="4"/>
      <c r="AW6" s="4"/>
      <c r="AX6" s="4"/>
      <c r="AY6" s="4"/>
      <c r="AZ6" s="4"/>
      <c r="BA6" s="4"/>
      <c r="BB6" s="4"/>
    </row>
    <row r="7" spans="1:54" x14ac:dyDescent="0.25">
      <c r="A7" s="4">
        <v>4630</v>
      </c>
      <c r="B7" s="4"/>
      <c r="C7" s="4">
        <v>-308.8969609494182</v>
      </c>
      <c r="D7" s="4">
        <v>-106.12470529526544</v>
      </c>
      <c r="E7" s="4">
        <v>-9.5835457182359463</v>
      </c>
      <c r="F7" s="4">
        <v>-199.61507422493284</v>
      </c>
      <c r="G7" s="4">
        <v>-40.744757176471431</v>
      </c>
      <c r="H7" s="4">
        <v>-96.709800071083478</v>
      </c>
      <c r="I7" s="4">
        <v>-50.032537531731919</v>
      </c>
      <c r="J7" s="4">
        <v>-76.29145076604344</v>
      </c>
      <c r="K7" s="4">
        <v>-6.9817028993607257</v>
      </c>
      <c r="L7" s="4">
        <v>-27.668434126015299</v>
      </c>
      <c r="M7" s="4">
        <v>-1.4386722150249018</v>
      </c>
      <c r="N7" s="4">
        <v>-2.9962298568615</v>
      </c>
      <c r="O7" s="4">
        <v>0.43538016218032616</v>
      </c>
      <c r="P7" s="4">
        <v>-7.080546999339167E-2</v>
      </c>
      <c r="Q7" s="4">
        <v>1.0568617900384386E-2</v>
      </c>
      <c r="R7" s="4">
        <v>8.9719676947834712E-3</v>
      </c>
      <c r="S7" s="4">
        <v>2.5094471187022856E-3</v>
      </c>
      <c r="T7" s="4">
        <v>5.8080446395575129E-3</v>
      </c>
      <c r="U7" s="4">
        <v>1.9729720631694728E-4</v>
      </c>
      <c r="V7" s="4">
        <v>3.2415816358181997E-4</v>
      </c>
      <c r="W7" s="4">
        <v>2.3383612590761283E-5</v>
      </c>
      <c r="X7" s="4">
        <v>9.2414956758169913E-6</v>
      </c>
      <c r="Y7" s="4">
        <v>5.2212495222572362E-7</v>
      </c>
      <c r="Z7" s="4">
        <v>6.0278100187534119E-7</v>
      </c>
      <c r="AA7" s="4">
        <v>2.6447182332897069E-9</v>
      </c>
      <c r="AB7" s="4">
        <v>4.4903440657715546E-9</v>
      </c>
      <c r="AC7" s="4">
        <v>5.7123963507879021E-11</v>
      </c>
      <c r="AD7" s="4">
        <v>7.2507255035335659E-11</v>
      </c>
      <c r="AE7" s="4">
        <v>8.7028452255594371E-13</v>
      </c>
      <c r="AF7" s="4">
        <v>1.7109601537700856E-13</v>
      </c>
      <c r="AG7" s="4"/>
      <c r="AH7" s="4"/>
      <c r="AI7" s="4"/>
      <c r="AJ7" s="4"/>
      <c r="AK7" s="4"/>
      <c r="AL7" s="4"/>
      <c r="AM7" s="4"/>
      <c r="AN7" s="4"/>
      <c r="AO7" s="4"/>
      <c r="AP7" s="4"/>
      <c r="AQ7" s="4"/>
      <c r="AR7" s="4"/>
      <c r="AS7" s="4"/>
      <c r="AT7" s="4"/>
      <c r="AU7" s="4"/>
      <c r="AV7" s="4"/>
      <c r="AW7" s="4"/>
      <c r="AX7" s="4"/>
      <c r="AY7" s="4"/>
      <c r="AZ7" s="4"/>
      <c r="BA7" s="4"/>
      <c r="BB7" s="4"/>
    </row>
    <row r="8" spans="1:54" x14ac:dyDescent="0.25">
      <c r="A8" s="4">
        <v>4620</v>
      </c>
      <c r="B8" s="4"/>
      <c r="C8" s="4">
        <v>-340.03519688375445</v>
      </c>
      <c r="D8" s="4">
        <v>-105.98874770110646</v>
      </c>
      <c r="E8" s="4">
        <v>-9.86280377041642</v>
      </c>
      <c r="F8" s="4">
        <v>-211.72349118799724</v>
      </c>
      <c r="G8" s="4">
        <v>-44.547197033159144</v>
      </c>
      <c r="H8" s="4">
        <v>-109.00947603294901</v>
      </c>
      <c r="I8" s="4">
        <v>-58.151964467299216</v>
      </c>
      <c r="J8" s="4">
        <v>-91.449137334149086</v>
      </c>
      <c r="K8" s="4">
        <v>-8.6324006548954326</v>
      </c>
      <c r="L8" s="4">
        <v>-35.293663045833391</v>
      </c>
      <c r="M8" s="4">
        <v>-1.8936173827278411</v>
      </c>
      <c r="N8" s="4">
        <v>-4.070060658815418</v>
      </c>
      <c r="O8" s="4">
        <v>0.61047489259260179</v>
      </c>
      <c r="P8" s="4">
        <v>-0.10249869292134503</v>
      </c>
      <c r="Q8" s="4">
        <v>1.5797992454000567E-2</v>
      </c>
      <c r="R8" s="4">
        <v>1.3851103083330695E-2</v>
      </c>
      <c r="S8" s="4">
        <v>4.0019289323506282E-3</v>
      </c>
      <c r="T8" s="4">
        <v>9.5697060958612121E-3</v>
      </c>
      <c r="U8" s="4">
        <v>3.3593137170023584E-4</v>
      </c>
      <c r="V8" s="4">
        <v>5.7046919710638253E-4</v>
      </c>
      <c r="W8" s="4">
        <v>4.2542019044431519E-5</v>
      </c>
      <c r="X8" s="4">
        <v>1.7384679328855601E-5</v>
      </c>
      <c r="Y8" s="4">
        <v>1.015791371564765E-6</v>
      </c>
      <c r="Z8" s="4">
        <v>1.2130649847892838E-6</v>
      </c>
      <c r="AA8" s="4">
        <v>5.5066596534889965E-9</v>
      </c>
      <c r="AB8" s="4">
        <v>9.6752844286870094E-9</v>
      </c>
      <c r="AC8" s="4">
        <v>1.2740012617722254E-10</v>
      </c>
      <c r="AD8" s="4">
        <v>1.6741472277052623E-10</v>
      </c>
      <c r="AE8" s="4">
        <v>2.0807913208154981E-12</v>
      </c>
      <c r="AF8" s="4">
        <v>4.2369941391898115E-13</v>
      </c>
      <c r="AG8" s="4"/>
      <c r="AH8" s="4"/>
      <c r="AI8" s="4"/>
      <c r="AJ8" s="4"/>
      <c r="AK8" s="4"/>
      <c r="AL8" s="4"/>
      <c r="AM8" s="4"/>
      <c r="AN8" s="4"/>
      <c r="AO8" s="4"/>
      <c r="AP8" s="4"/>
      <c r="AQ8" s="4"/>
      <c r="AR8" s="4"/>
      <c r="AS8" s="4"/>
      <c r="AT8" s="4"/>
      <c r="AU8" s="4"/>
      <c r="AV8" s="4"/>
      <c r="AW8" s="4"/>
      <c r="AX8" s="4"/>
      <c r="AY8" s="4"/>
      <c r="AZ8" s="4"/>
      <c r="BA8" s="4"/>
      <c r="BB8" s="4"/>
    </row>
    <row r="9" spans="1:54" x14ac:dyDescent="0.25">
      <c r="A9" s="4">
        <v>4610</v>
      </c>
      <c r="B9" s="4"/>
      <c r="C9" s="4">
        <v>-371.71588254780085</v>
      </c>
      <c r="D9" s="4">
        <v>-104.58234548550386</v>
      </c>
      <c r="E9" s="4">
        <v>-10.029012098945419</v>
      </c>
      <c r="F9" s="4">
        <v>-221.89971115788569</v>
      </c>
      <c r="G9" s="4">
        <v>-48.129300947928854</v>
      </c>
      <c r="H9" s="4">
        <v>-121.43034839024979</v>
      </c>
      <c r="I9" s="4">
        <v>-66.799672247316835</v>
      </c>
      <c r="J9" s="4">
        <v>-108.34539346941833</v>
      </c>
      <c r="K9" s="4">
        <v>-10.550136841006497</v>
      </c>
      <c r="L9" s="4">
        <v>-44.503535158975566</v>
      </c>
      <c r="M9" s="4">
        <v>-2.4639831721105412</v>
      </c>
      <c r="N9" s="4">
        <v>-5.4660228465635932</v>
      </c>
      <c r="O9" s="4">
        <v>0.84633368892515948</v>
      </c>
      <c r="P9" s="4">
        <v>-0.14671499788309064</v>
      </c>
      <c r="Q9" s="4">
        <v>2.3351805436636494E-2</v>
      </c>
      <c r="R9" s="4">
        <v>2.1146877118878523E-2</v>
      </c>
      <c r="S9" s="4">
        <v>6.3118469099708221E-3</v>
      </c>
      <c r="T9" s="4">
        <v>1.5595300070295951E-2</v>
      </c>
      <c r="U9" s="4">
        <v>5.6576694913948607E-4</v>
      </c>
      <c r="V9" s="4">
        <v>9.931066789429135E-4</v>
      </c>
      <c r="W9" s="4">
        <v>7.65674750662679E-5</v>
      </c>
      <c r="X9" s="4">
        <v>3.2355066717541103E-5</v>
      </c>
      <c r="Y9" s="4">
        <v>1.9553181630336828E-6</v>
      </c>
      <c r="Z9" s="4">
        <v>2.4155902199886124E-6</v>
      </c>
      <c r="AA9" s="4">
        <v>1.1346026171583386E-8</v>
      </c>
      <c r="AB9" s="4">
        <v>2.0631310499131794E-8</v>
      </c>
      <c r="AC9" s="4">
        <v>2.8121129986626811E-10</v>
      </c>
      <c r="AD9" s="4">
        <v>3.8260430372924471E-10</v>
      </c>
      <c r="AE9" s="4">
        <v>4.924619189992437E-12</v>
      </c>
      <c r="AF9" s="4">
        <v>1.0386894838653963E-12</v>
      </c>
      <c r="AG9" s="4"/>
      <c r="AH9" s="4"/>
      <c r="AI9" s="4"/>
      <c r="AJ9" s="4"/>
      <c r="AK9" s="4"/>
      <c r="AL9" s="4"/>
      <c r="AM9" s="4"/>
      <c r="AN9" s="4"/>
      <c r="AO9" s="4"/>
      <c r="AP9" s="4"/>
      <c r="AQ9" s="4"/>
      <c r="AR9" s="4"/>
      <c r="AS9" s="4"/>
      <c r="AT9" s="4"/>
      <c r="AU9" s="4"/>
      <c r="AV9" s="4"/>
      <c r="AW9" s="4"/>
      <c r="AX9" s="4"/>
      <c r="AY9" s="4"/>
      <c r="AZ9" s="4"/>
      <c r="BA9" s="4"/>
      <c r="BB9" s="4"/>
    </row>
    <row r="10" spans="1:54" x14ac:dyDescent="0.25">
      <c r="A10" s="4">
        <v>4600</v>
      </c>
      <c r="B10" s="4"/>
      <c r="C10" s="4">
        <v>-403.56714087677796</v>
      </c>
      <c r="D10" s="4">
        <v>-101.94787333474758</v>
      </c>
      <c r="E10" s="4">
        <v>-10.075473217711432</v>
      </c>
      <c r="F10" s="4">
        <v>-229.78542291454139</v>
      </c>
      <c r="G10" s="4">
        <v>-51.38134160647774</v>
      </c>
      <c r="H10" s="4">
        <v>-133.66748285861149</v>
      </c>
      <c r="I10" s="4">
        <v>-75.831351499910269</v>
      </c>
      <c r="J10" s="4">
        <v>-126.86299407999938</v>
      </c>
      <c r="K10" s="4">
        <v>-12.744053050729232</v>
      </c>
      <c r="L10" s="4">
        <v>-55.468284116366604</v>
      </c>
      <c r="M10" s="4">
        <v>-3.1693144091802368</v>
      </c>
      <c r="N10" s="4">
        <v>-7.256945973648361</v>
      </c>
      <c r="O10" s="4">
        <v>1.1599981889217286</v>
      </c>
      <c r="P10" s="4">
        <v>-0.20763602375281939</v>
      </c>
      <c r="Q10" s="4">
        <v>3.4130397979466785E-2</v>
      </c>
      <c r="R10" s="4">
        <v>3.1925737995019146E-2</v>
      </c>
      <c r="S10" s="4">
        <v>9.8448031894012491E-3</v>
      </c>
      <c r="T10" s="4">
        <v>2.5135250709686117E-2</v>
      </c>
      <c r="U10" s="4">
        <v>9.4243188146299686E-4</v>
      </c>
      <c r="V10" s="4">
        <v>1.7100791494750469E-3</v>
      </c>
      <c r="W10" s="4">
        <v>1.3631968248124977E-4</v>
      </c>
      <c r="X10" s="4">
        <v>5.957136093584623E-5</v>
      </c>
      <c r="Y10" s="4">
        <v>3.7237605093338005E-6</v>
      </c>
      <c r="Z10" s="4">
        <v>4.7593301192623701E-6</v>
      </c>
      <c r="AA10" s="4">
        <v>2.3132089967181249E-8</v>
      </c>
      <c r="AB10" s="4">
        <v>4.3534925715340981E-8</v>
      </c>
      <c r="AC10" s="4">
        <v>6.142938522212024E-10</v>
      </c>
      <c r="AD10" s="4">
        <v>8.6540484243145572E-10</v>
      </c>
      <c r="AE10" s="4">
        <v>1.1536206652306316E-11</v>
      </c>
      <c r="AF10" s="4">
        <v>2.5205368095140741E-12</v>
      </c>
      <c r="AG10" s="4"/>
      <c r="AH10" s="4"/>
      <c r="AI10" s="4"/>
      <c r="AJ10" s="4"/>
      <c r="AK10" s="4"/>
      <c r="AL10" s="4"/>
      <c r="AM10" s="4"/>
      <c r="AN10" s="4"/>
      <c r="AO10" s="4"/>
      <c r="AP10" s="4"/>
      <c r="AQ10" s="4"/>
      <c r="AR10" s="4"/>
      <c r="AS10" s="4"/>
      <c r="AT10" s="4"/>
      <c r="AU10" s="4"/>
      <c r="AV10" s="4"/>
      <c r="AW10" s="4"/>
      <c r="AX10" s="4"/>
      <c r="AY10" s="4"/>
      <c r="AZ10" s="4"/>
      <c r="BA10" s="4"/>
      <c r="BB10" s="4"/>
    </row>
    <row r="11" spans="1:54" x14ac:dyDescent="0.25">
      <c r="A11" s="4">
        <v>4590</v>
      </c>
      <c r="B11" s="4"/>
      <c r="C11" s="4">
        <v>-435.18338077250365</v>
      </c>
      <c r="D11" s="4">
        <v>-98.171333544914006</v>
      </c>
      <c r="E11" s="4">
        <v>-9.9997227574602956</v>
      </c>
      <c r="F11" s="4">
        <v>-235.08886397228804</v>
      </c>
      <c r="G11" s="4">
        <v>-54.196839779938038</v>
      </c>
      <c r="H11" s="4">
        <v>-145.38710422012116</v>
      </c>
      <c r="I11" s="4">
        <v>-85.065597852143938</v>
      </c>
      <c r="J11" s="4">
        <v>-146.79776096409404</v>
      </c>
      <c r="K11" s="4">
        <v>-15.214106484424249</v>
      </c>
      <c r="L11" s="4">
        <v>-68.330398583486016</v>
      </c>
      <c r="M11" s="4">
        <v>-4.0294120474287061</v>
      </c>
      <c r="N11" s="4">
        <v>-9.5239046625933721</v>
      </c>
      <c r="O11" s="4">
        <v>1.571743962957177</v>
      </c>
      <c r="P11" s="4">
        <v>-0.29051594924768226</v>
      </c>
      <c r="Q11" s="4">
        <v>4.9320989163257306E-2</v>
      </c>
      <c r="R11" s="4">
        <v>4.7658000119093227E-2</v>
      </c>
      <c r="S11" s="4">
        <v>1.518408382202025E-2</v>
      </c>
      <c r="T11" s="4">
        <v>4.0062188281446642E-2</v>
      </c>
      <c r="U11" s="4">
        <v>1.5525853949007074E-3</v>
      </c>
      <c r="V11" s="4">
        <v>2.9124669617521209E-3</v>
      </c>
      <c r="W11" s="4">
        <v>2.4006499348121395E-4</v>
      </c>
      <c r="X11" s="4">
        <v>1.0849769350492502E-4</v>
      </c>
      <c r="Y11" s="4">
        <v>7.0156147930992723E-6</v>
      </c>
      <c r="Z11" s="4">
        <v>9.2772700926728919E-6</v>
      </c>
      <c r="AA11" s="4">
        <v>4.6662723485637625E-8</v>
      </c>
      <c r="AB11" s="4">
        <v>9.0900324210086826E-8</v>
      </c>
      <c r="AC11" s="4">
        <v>1.3279108417021959E-9</v>
      </c>
      <c r="AD11" s="4">
        <v>1.9371848159771366E-9</v>
      </c>
      <c r="AE11" s="4">
        <v>2.6746612841074662E-11</v>
      </c>
      <c r="AF11" s="4">
        <v>6.0540928567598857E-12</v>
      </c>
      <c r="AG11" s="4"/>
      <c r="AH11" s="4"/>
      <c r="AI11" s="4"/>
      <c r="AJ11" s="4"/>
      <c r="AK11" s="4"/>
      <c r="AL11" s="4"/>
      <c r="AM11" s="4"/>
      <c r="AN11" s="4"/>
      <c r="AO11" s="4"/>
      <c r="AP11" s="4"/>
      <c r="AQ11" s="4"/>
      <c r="AR11" s="4"/>
      <c r="AS11" s="4"/>
      <c r="AT11" s="4"/>
      <c r="AU11" s="4"/>
      <c r="AV11" s="4"/>
      <c r="AW11" s="4"/>
      <c r="AX11" s="4"/>
      <c r="AY11" s="4"/>
      <c r="AZ11" s="4"/>
      <c r="BA11" s="4"/>
      <c r="BB11" s="4"/>
    </row>
    <row r="12" spans="1:54" x14ac:dyDescent="0.25">
      <c r="A12" s="4">
        <v>4580</v>
      </c>
      <c r="B12" s="4"/>
      <c r="C12" s="4">
        <v>-466.13070138156201</v>
      </c>
      <c r="D12" s="4">
        <v>-93.377708403926619</v>
      </c>
      <c r="E12" s="4">
        <v>-9.8037239390834579</v>
      </c>
      <c r="F12" s="4">
        <v>-237.6025018586046</v>
      </c>
      <c r="G12" s="4">
        <v>-56.47819057465199</v>
      </c>
      <c r="H12" s="4">
        <v>-156.24040894757593</v>
      </c>
      <c r="I12" s="4">
        <v>-94.287847560676042</v>
      </c>
      <c r="J12" s="4">
        <v>-167.85330834597542</v>
      </c>
      <c r="K12" s="4">
        <v>-17.949026317892095</v>
      </c>
      <c r="L12" s="4">
        <v>-83.18949093102276</v>
      </c>
      <c r="M12" s="4">
        <v>-5.0632948887618721</v>
      </c>
      <c r="N12" s="4">
        <v>-12.354393769235909</v>
      </c>
      <c r="O12" s="4">
        <v>2.1051438496004318</v>
      </c>
      <c r="P12" s="4">
        <v>-0.4018307362354761</v>
      </c>
      <c r="Q12" s="4">
        <v>7.0462603393400144E-2</v>
      </c>
      <c r="R12" s="4">
        <v>7.0339281277011279E-2</v>
      </c>
      <c r="S12" s="4">
        <v>2.3156255445733069E-2</v>
      </c>
      <c r="T12" s="4">
        <v>6.3141576653061693E-2</v>
      </c>
      <c r="U12" s="4">
        <v>2.5294240192113983E-3</v>
      </c>
      <c r="V12" s="4">
        <v>4.9056652584450518E-3</v>
      </c>
      <c r="W12" s="4">
        <v>4.1814113390714407E-4</v>
      </c>
      <c r="X12" s="4">
        <v>1.9546056426576039E-4</v>
      </c>
      <c r="Y12" s="4">
        <v>1.3074872125807523E-5</v>
      </c>
      <c r="Z12" s="4">
        <v>1.7890173457681578E-5</v>
      </c>
      <c r="AA12" s="4">
        <v>9.3127453686825678E-8</v>
      </c>
      <c r="AB12" s="4">
        <v>1.8779245836631561E-7</v>
      </c>
      <c r="AC12" s="4">
        <v>2.8404007097066564E-9</v>
      </c>
      <c r="AD12" s="4">
        <v>4.29115104712916E-9</v>
      </c>
      <c r="AE12" s="4">
        <v>6.1370383214114085E-11</v>
      </c>
      <c r="AF12" s="4">
        <v>1.4392057002509222E-11</v>
      </c>
      <c r="AG12" s="4"/>
      <c r="AH12" s="4"/>
      <c r="AI12" s="4"/>
      <c r="AJ12" s="4"/>
      <c r="AK12" s="4"/>
      <c r="AL12" s="4"/>
      <c r="AM12" s="4"/>
      <c r="AN12" s="4"/>
      <c r="AO12" s="4"/>
      <c r="AP12" s="4"/>
      <c r="AQ12" s="4"/>
      <c r="AR12" s="4"/>
      <c r="AS12" s="4"/>
      <c r="AT12" s="4"/>
      <c r="AU12" s="4"/>
      <c r="AV12" s="4"/>
      <c r="AW12" s="4"/>
      <c r="AX12" s="4"/>
      <c r="AY12" s="4"/>
      <c r="AZ12" s="4"/>
      <c r="BA12" s="4"/>
      <c r="BB12" s="4"/>
    </row>
    <row r="13" spans="1:54" x14ac:dyDescent="0.25">
      <c r="A13" s="4">
        <v>4570</v>
      </c>
      <c r="B13" s="4"/>
      <c r="C13" s="4">
        <v>-495.95301103151428</v>
      </c>
      <c r="D13" s="4">
        <v>-87.7240615434186</v>
      </c>
      <c r="E13" s="4">
        <v>-9.4937964742531094</v>
      </c>
      <c r="F13" s="4">
        <v>-237.21632735252052</v>
      </c>
      <c r="G13" s="4">
        <v>-58.142171328758216</v>
      </c>
      <c r="H13" s="4">
        <v>-165.8798799063359</v>
      </c>
      <c r="I13" s="4">
        <v>-103.25705013339609</v>
      </c>
      <c r="J13" s="4">
        <v>-189.64095601736054</v>
      </c>
      <c r="K13" s="4">
        <v>-20.924581728578698</v>
      </c>
      <c r="L13" s="4">
        <v>-100.0862196253163</v>
      </c>
      <c r="M13" s="4">
        <v>-6.2879067929743986</v>
      </c>
      <c r="N13" s="4">
        <v>-15.839423424449626</v>
      </c>
      <c r="O13" s="4">
        <v>2.7869145434351652</v>
      </c>
      <c r="P13" s="4">
        <v>-0.54940014073985588</v>
      </c>
      <c r="Q13" s="4">
        <v>9.9515046641379834E-2</v>
      </c>
      <c r="R13" s="4">
        <v>0.10263467092996185</v>
      </c>
      <c r="S13" s="4">
        <v>3.4915093006016362E-2</v>
      </c>
      <c r="T13" s="4">
        <v>9.8399426616831889E-2</v>
      </c>
      <c r="U13" s="4">
        <v>4.0748874219276362E-3</v>
      </c>
      <c r="V13" s="4">
        <v>8.1713587580646511E-3</v>
      </c>
      <c r="W13" s="4">
        <v>7.2029140688343652E-4</v>
      </c>
      <c r="X13" s="4">
        <v>3.4827402444896193E-4</v>
      </c>
      <c r="Y13" s="4">
        <v>2.4102642676447871E-5</v>
      </c>
      <c r="Z13" s="4">
        <v>3.412689676941842E-5</v>
      </c>
      <c r="AA13" s="4">
        <v>1.8386787975126468E-7</v>
      </c>
      <c r="AB13" s="4">
        <v>3.8383462963259864E-7</v>
      </c>
      <c r="AC13" s="4">
        <v>6.0114134863038696E-9</v>
      </c>
      <c r="AD13" s="4">
        <v>9.4058066527456974E-9</v>
      </c>
      <c r="AE13" s="4">
        <v>1.3934833810666561E-10</v>
      </c>
      <c r="AF13" s="4">
        <v>3.3859707601505313E-11</v>
      </c>
      <c r="AG13" s="4"/>
      <c r="AH13" s="4"/>
      <c r="AI13" s="4"/>
      <c r="AJ13" s="4"/>
      <c r="AK13" s="4"/>
      <c r="AL13" s="4"/>
      <c r="AM13" s="4"/>
      <c r="AN13" s="4"/>
      <c r="AO13" s="4"/>
      <c r="AP13" s="4"/>
      <c r="AQ13" s="4"/>
      <c r="AR13" s="4"/>
      <c r="AS13" s="4"/>
      <c r="AT13" s="4"/>
      <c r="AU13" s="4"/>
      <c r="AV13" s="4"/>
      <c r="AW13" s="4"/>
      <c r="AX13" s="4"/>
      <c r="AY13" s="4"/>
      <c r="AZ13" s="4"/>
      <c r="BA13" s="4"/>
      <c r="BB13" s="4"/>
    </row>
    <row r="14" spans="1:54" x14ac:dyDescent="0.25">
      <c r="A14" s="4">
        <v>4560</v>
      </c>
      <c r="B14" s="4"/>
      <c r="C14" s="4">
        <v>-524.17885469886107</v>
      </c>
      <c r="D14" s="4">
        <v>-81.390921169285875</v>
      </c>
      <c r="E14" s="4">
        <v>-9.0802819030398485</v>
      </c>
      <c r="F14" s="4">
        <v>-233.92558851498427</v>
      </c>
      <c r="G14" s="4">
        <v>-59.124907574607718</v>
      </c>
      <c r="H14" s="4">
        <v>-173.97712326193457</v>
      </c>
      <c r="I14" s="4">
        <v>-111.71494789506809</v>
      </c>
      <c r="J14" s="4">
        <v>-211.68574053947069</v>
      </c>
      <c r="K14" s="4">
        <v>-24.102369279684808</v>
      </c>
      <c r="L14" s="4">
        <v>-118.98635299109901</v>
      </c>
      <c r="M14" s="4">
        <v>-7.7166033226274822</v>
      </c>
      <c r="N14" s="4">
        <v>-20.069420523852159</v>
      </c>
      <c r="O14" s="4">
        <v>3.6464777079958663</v>
      </c>
      <c r="P14" s="4">
        <v>-0.74246005397745585</v>
      </c>
      <c r="Q14" s="4">
        <v>0.13892755188364928</v>
      </c>
      <c r="R14" s="4">
        <v>0.14804401683865748</v>
      </c>
      <c r="S14" s="4">
        <v>5.2046303008955026E-2</v>
      </c>
      <c r="T14" s="4">
        <v>0.1516117709180802</v>
      </c>
      <c r="U14" s="4">
        <v>6.4908919517779962E-3</v>
      </c>
      <c r="V14" s="4">
        <v>1.3459136672766258E-2</v>
      </c>
      <c r="W14" s="4">
        <v>1.2270212671127861E-3</v>
      </c>
      <c r="X14" s="4">
        <v>6.1372481878442997E-4</v>
      </c>
      <c r="Y14" s="4">
        <v>4.394554804251816E-5</v>
      </c>
      <c r="Z14" s="4">
        <v>6.4392397836744155E-5</v>
      </c>
      <c r="AA14" s="4">
        <v>3.5910570055377559E-7</v>
      </c>
      <c r="AB14" s="4">
        <v>7.7612450285207472E-7</v>
      </c>
      <c r="AC14" s="4">
        <v>1.2587166272554149E-8</v>
      </c>
      <c r="AD14" s="4">
        <v>2.0398865925473263E-8</v>
      </c>
      <c r="AE14" s="4">
        <v>3.130877276226024E-10</v>
      </c>
      <c r="AF14" s="4">
        <v>7.8831284264350489E-11</v>
      </c>
      <c r="AG14" s="4"/>
      <c r="AH14" s="4"/>
      <c r="AI14" s="4"/>
      <c r="AJ14" s="4"/>
      <c r="AK14" s="4"/>
      <c r="AL14" s="4"/>
      <c r="AM14" s="4"/>
      <c r="AN14" s="4"/>
      <c r="AO14" s="4"/>
      <c r="AP14" s="4"/>
      <c r="AQ14" s="4"/>
      <c r="AR14" s="4"/>
      <c r="AS14" s="4"/>
      <c r="AT14" s="4"/>
      <c r="AU14" s="4"/>
      <c r="AV14" s="4"/>
      <c r="AW14" s="4"/>
      <c r="AX14" s="4"/>
      <c r="AY14" s="4"/>
      <c r="AZ14" s="4"/>
      <c r="BA14" s="4"/>
      <c r="BB14" s="4"/>
    </row>
    <row r="15" spans="1:54" x14ac:dyDescent="0.25">
      <c r="A15" s="4">
        <v>4550</v>
      </c>
      <c r="B15" s="4"/>
      <c r="C15" s="4">
        <v>-550.32897711656585</v>
      </c>
      <c r="D15" s="4">
        <v>-74.57260975790858</v>
      </c>
      <c r="E15" s="4">
        <v>-8.5769696928041306</v>
      </c>
      <c r="F15" s="4">
        <v>-227.832226383229</v>
      </c>
      <c r="G15" s="4">
        <v>-59.385890529347208</v>
      </c>
      <c r="H15" s="4">
        <v>-180.24100871362165</v>
      </c>
      <c r="I15" s="4">
        <v>-119.39757715213067</v>
      </c>
      <c r="J15" s="4">
        <v>-233.43905301522909</v>
      </c>
      <c r="K15" s="4">
        <v>-27.429322440589353</v>
      </c>
      <c r="L15" s="4">
        <v>-139.7663212778296</v>
      </c>
      <c r="M15" s="4">
        <v>-9.3574832767599325</v>
      </c>
      <c r="N15" s="4">
        <v>-25.128904922540297</v>
      </c>
      <c r="O15" s="4">
        <v>4.7151702152217299</v>
      </c>
      <c r="P15" s="4">
        <v>-0.99165848247132127</v>
      </c>
      <c r="Q15" s="4">
        <v>0.19170070748715126</v>
      </c>
      <c r="R15" s="4">
        <v>0.21108360140767948</v>
      </c>
      <c r="S15" s="4">
        <v>7.6694600144124742E-2</v>
      </c>
      <c r="T15" s="4">
        <v>0.23094205525018918</v>
      </c>
      <c r="U15" s="4">
        <v>1.022244112169521E-2</v>
      </c>
      <c r="V15" s="4">
        <v>2.1919644649544743E-2</v>
      </c>
      <c r="W15" s="4">
        <v>2.0669093333875528E-3</v>
      </c>
      <c r="X15" s="4">
        <v>1.0695080542695136E-3</v>
      </c>
      <c r="Y15" s="4">
        <v>7.9241988510967752E-5</v>
      </c>
      <c r="Z15" s="4">
        <v>1.2016979998261857E-4</v>
      </c>
      <c r="AA15" s="4">
        <v>6.937365182670906E-7</v>
      </c>
      <c r="AB15" s="4">
        <v>1.5524139876471926E-6</v>
      </c>
      <c r="AC15" s="4">
        <v>2.6073632519147709E-8</v>
      </c>
      <c r="AD15" s="4">
        <v>4.3769511732688886E-8</v>
      </c>
      <c r="AE15" s="4">
        <v>6.9601677371797143E-10</v>
      </c>
      <c r="AF15" s="4">
        <v>1.8160898543054328E-10</v>
      </c>
      <c r="AG15" s="4"/>
      <c r="AH15" s="4"/>
      <c r="AI15" s="4"/>
      <c r="AJ15" s="4"/>
      <c r="AK15" s="4"/>
      <c r="AL15" s="4"/>
      <c r="AM15" s="4"/>
      <c r="AN15" s="4"/>
      <c r="AO15" s="4"/>
      <c r="AP15" s="4"/>
      <c r="AQ15" s="4"/>
      <c r="AR15" s="4"/>
      <c r="AS15" s="4"/>
      <c r="AT15" s="4"/>
      <c r="AU15" s="4"/>
      <c r="AV15" s="4"/>
      <c r="AW15" s="4"/>
      <c r="AX15" s="4"/>
      <c r="AY15" s="4"/>
      <c r="AZ15" s="4"/>
      <c r="BA15" s="4"/>
      <c r="BB15" s="4"/>
    </row>
    <row r="16" spans="1:54" x14ac:dyDescent="0.25">
      <c r="A16" s="4">
        <v>4540</v>
      </c>
      <c r="B16" s="4"/>
      <c r="C16" s="4">
        <v>-573.92466354516989</v>
      </c>
      <c r="D16" s="4">
        <v>-67.467250345779277</v>
      </c>
      <c r="E16" s="4">
        <v>-8.0003285251876619</v>
      </c>
      <c r="F16" s="4">
        <v>-219.13979381592375</v>
      </c>
      <c r="G16" s="4">
        <v>-58.910698466803694</v>
      </c>
      <c r="H16" s="4">
        <v>-184.43475497440747</v>
      </c>
      <c r="I16" s="4">
        <v>-126.04835549090649</v>
      </c>
      <c r="J16" s="4">
        <v>-254.29790498290589</v>
      </c>
      <c r="K16" s="4">
        <v>-30.838118226616924</v>
      </c>
      <c r="L16" s="4">
        <v>-162.2017794514922</v>
      </c>
      <c r="M16" s="4">
        <v>-11.211663793522835</v>
      </c>
      <c r="N16" s="4">
        <v>-31.090020725288422</v>
      </c>
      <c r="O16" s="4">
        <v>6.0250502861901634</v>
      </c>
      <c r="P16" s="4">
        <v>-1.3089456218223905</v>
      </c>
      <c r="Q16" s="4">
        <v>0.2614331216788956</v>
      </c>
      <c r="R16" s="4">
        <v>0.29747535810311942</v>
      </c>
      <c r="S16" s="4">
        <v>0.11171308439292747</v>
      </c>
      <c r="T16" s="4">
        <v>0.34775161735682869</v>
      </c>
      <c r="U16" s="4">
        <v>1.5915956425742485E-2</v>
      </c>
      <c r="V16" s="4">
        <v>3.529472070931252E-2</v>
      </c>
      <c r="W16" s="4">
        <v>3.4425712446516303E-3</v>
      </c>
      <c r="X16" s="4">
        <v>1.842973287261811E-3</v>
      </c>
      <c r="Y16" s="4">
        <v>1.4130355326098101E-4</v>
      </c>
      <c r="Z16" s="4">
        <v>2.2179213635772205E-4</v>
      </c>
      <c r="AA16" s="4">
        <v>1.3255310556809111E-6</v>
      </c>
      <c r="AB16" s="4">
        <v>3.0714257818129646E-6</v>
      </c>
      <c r="AC16" s="4">
        <v>5.3427502696879106E-8</v>
      </c>
      <c r="AD16" s="4">
        <v>9.2909642664712945E-8</v>
      </c>
      <c r="AE16" s="4">
        <v>1.5308429342857169E-9</v>
      </c>
      <c r="AF16" s="4">
        <v>4.1396859902886756E-10</v>
      </c>
      <c r="AG16" s="4"/>
      <c r="AH16" s="4"/>
      <c r="AI16" s="4"/>
      <c r="AJ16" s="4"/>
      <c r="AK16" s="4"/>
      <c r="AL16" s="4"/>
      <c r="AM16" s="4"/>
      <c r="AN16" s="4"/>
      <c r="AO16" s="4"/>
      <c r="AP16" s="4"/>
      <c r="AQ16" s="4"/>
      <c r="AR16" s="4"/>
      <c r="AS16" s="4"/>
      <c r="AT16" s="4"/>
      <c r="AU16" s="4"/>
      <c r="AV16" s="4"/>
      <c r="AW16" s="4"/>
      <c r="AX16" s="4"/>
      <c r="AY16" s="4"/>
      <c r="AZ16" s="4"/>
      <c r="BA16" s="4"/>
      <c r="BB16" s="4"/>
    </row>
    <row r="17" spans="1:54" x14ac:dyDescent="0.25">
      <c r="A17" s="4">
        <v>4530</v>
      </c>
      <c r="B17" s="4"/>
      <c r="C17" s="4">
        <v>-594.49688703894299</v>
      </c>
      <c r="D17" s="4">
        <v>-60.267173717094359</v>
      </c>
      <c r="E17" s="4">
        <v>-7.368602902381447</v>
      </c>
      <c r="F17" s="4">
        <v>-208.14219371933041</v>
      </c>
      <c r="G17" s="4">
        <v>-57.712171198281304</v>
      </c>
      <c r="H17" s="4">
        <v>-186.39058881985846</v>
      </c>
      <c r="I17" s="4">
        <v>-131.43190464092359</v>
      </c>
      <c r="J17" s="4">
        <v>-273.63021350204536</v>
      </c>
      <c r="K17" s="4">
        <v>-34.248603934596403</v>
      </c>
      <c r="L17" s="4">
        <v>-185.96075280105765</v>
      </c>
      <c r="M17" s="4">
        <v>-13.271628959901467</v>
      </c>
      <c r="N17" s="4">
        <v>-38.0051411572638</v>
      </c>
      <c r="O17" s="4">
        <v>7.6072689846387096</v>
      </c>
      <c r="P17" s="4">
        <v>-1.7073279794760055</v>
      </c>
      <c r="Q17" s="4">
        <v>0.35234218479990409</v>
      </c>
      <c r="R17" s="4">
        <v>0.41432971521540196</v>
      </c>
      <c r="S17" s="4">
        <v>0.16083238778204381</v>
      </c>
      <c r="T17" s="4">
        <v>0.51760363129818021</v>
      </c>
      <c r="U17" s="4">
        <v>2.4496548011625457E-2</v>
      </c>
      <c r="V17" s="4">
        <v>5.6183941576027505E-2</v>
      </c>
      <c r="W17" s="4">
        <v>5.6689554390254556E-3</v>
      </c>
      <c r="X17" s="4">
        <v>3.1401124001292071E-3</v>
      </c>
      <c r="Y17" s="4">
        <v>2.4915794856443312E-4</v>
      </c>
      <c r="Z17" s="4">
        <v>4.0481245735423435E-4</v>
      </c>
      <c r="AA17" s="4">
        <v>2.5048132446023047E-6</v>
      </c>
      <c r="AB17" s="4">
        <v>6.0102975792641096E-6</v>
      </c>
      <c r="AC17" s="4">
        <v>1.0828923011221458E-7</v>
      </c>
      <c r="AD17" s="4">
        <v>1.9509256945045388E-7</v>
      </c>
      <c r="AE17" s="4">
        <v>3.3309370043390052E-9</v>
      </c>
      <c r="AF17" s="4">
        <v>9.3359076084477966E-10</v>
      </c>
      <c r="AG17" s="4"/>
      <c r="AH17" s="4"/>
      <c r="AI17" s="4"/>
      <c r="AJ17" s="4"/>
      <c r="AK17" s="4"/>
      <c r="AL17" s="4"/>
      <c r="AM17" s="4"/>
      <c r="AN17" s="4"/>
      <c r="AO17" s="4"/>
      <c r="AP17" s="4"/>
      <c r="AQ17" s="4"/>
      <c r="AR17" s="4"/>
      <c r="AS17" s="4"/>
      <c r="AT17" s="4"/>
      <c r="AU17" s="4"/>
      <c r="AV17" s="4"/>
      <c r="AW17" s="4"/>
      <c r="AX17" s="4"/>
      <c r="AY17" s="4"/>
      <c r="AZ17" s="4"/>
      <c r="BA17" s="4"/>
      <c r="BB17" s="4"/>
    </row>
    <row r="18" spans="1:54" x14ac:dyDescent="0.25">
      <c r="A18" s="4">
        <v>4520</v>
      </c>
      <c r="B18" s="4"/>
      <c r="C18" s="4">
        <v>-611.59624356864958</v>
      </c>
      <c r="D18" s="4">
        <v>-53.15037696331742</v>
      </c>
      <c r="E18" s="4">
        <v>-6.7008448522066439</v>
      </c>
      <c r="F18" s="4">
        <v>-195.20710144963479</v>
      </c>
      <c r="G18" s="4">
        <v>-55.829912908066653</v>
      </c>
      <c r="H18" s="4">
        <v>-186.02073034928517</v>
      </c>
      <c r="I18" s="4">
        <v>-135.34760743906887</v>
      </c>
      <c r="J18" s="4">
        <v>-290.8048618462114</v>
      </c>
      <c r="K18" s="4">
        <v>-37.570292374456585</v>
      </c>
      <c r="L18" s="4">
        <v>-210.60282634772159</v>
      </c>
      <c r="M18" s="4">
        <v>-15.519806710237782</v>
      </c>
      <c r="N18" s="4">
        <v>-45.898919941556876</v>
      </c>
      <c r="O18" s="4">
        <v>9.490010433991154</v>
      </c>
      <c r="P18" s="4">
        <v>-2.2004593559821983</v>
      </c>
      <c r="Q18" s="4">
        <v>0.46924658282920528</v>
      </c>
      <c r="R18" s="4">
        <v>0.57030238894185326</v>
      </c>
      <c r="S18" s="4">
        <v>0.22884359783650596</v>
      </c>
      <c r="T18" s="4">
        <v>0.76147072936106719</v>
      </c>
      <c r="U18" s="4">
        <v>3.7268071623997936E-2</v>
      </c>
      <c r="V18" s="4">
        <v>8.8411116482067995E-2</v>
      </c>
      <c r="W18" s="4">
        <v>9.228856472503157E-3</v>
      </c>
      <c r="X18" s="4">
        <v>5.2896728146553263E-3</v>
      </c>
      <c r="Y18" s="4">
        <v>4.3439697385505653E-4</v>
      </c>
      <c r="Z18" s="4">
        <v>7.3060912595123936E-4</v>
      </c>
      <c r="AA18" s="4">
        <v>4.6807733805092605E-6</v>
      </c>
      <c r="AB18" s="4">
        <v>1.1631675326798754E-5</v>
      </c>
      <c r="AC18" s="4">
        <v>2.170849607334651E-7</v>
      </c>
      <c r="AD18" s="4">
        <v>4.0520863471138373E-7</v>
      </c>
      <c r="AE18" s="4">
        <v>7.1695910586143079E-9</v>
      </c>
      <c r="AF18" s="4">
        <v>2.0829183363350859E-9</v>
      </c>
      <c r="AG18" s="4"/>
      <c r="AH18" s="4"/>
      <c r="AI18" s="4"/>
      <c r="AJ18" s="4"/>
      <c r="AK18" s="4"/>
      <c r="AL18" s="4"/>
      <c r="AM18" s="4"/>
      <c r="AN18" s="4"/>
      <c r="AO18" s="4"/>
      <c r="AP18" s="4"/>
      <c r="AQ18" s="4"/>
      <c r="AR18" s="4"/>
      <c r="AS18" s="4"/>
      <c r="AT18" s="4"/>
      <c r="AU18" s="4"/>
      <c r="AV18" s="4"/>
      <c r="AW18" s="4"/>
      <c r="AX18" s="4"/>
      <c r="AY18" s="4"/>
      <c r="AZ18" s="4"/>
      <c r="BA18" s="4"/>
      <c r="BB18" s="4"/>
    </row>
    <row r="19" spans="1:54" x14ac:dyDescent="0.25">
      <c r="A19" s="4">
        <v>4510</v>
      </c>
      <c r="B19" s="4"/>
      <c r="C19" s="4">
        <v>-624.80357369675232</v>
      </c>
      <c r="D19" s="4">
        <v>-46.273553279076268</v>
      </c>
      <c r="E19" s="4">
        <v>-6.0159531918351421</v>
      </c>
      <c r="F19" s="4">
        <v>-180.75538034728933</v>
      </c>
      <c r="G19" s="4">
        <v>-53.328140848362814</v>
      </c>
      <c r="H19" s="4">
        <v>-183.32371522532674</v>
      </c>
      <c r="I19" s="4">
        <v>-137.64183504948366</v>
      </c>
      <c r="J19" s="4">
        <v>-305.22470489558469</v>
      </c>
      <c r="K19" s="4">
        <v>-40.705881821446752</v>
      </c>
      <c r="L19" s="4">
        <v>-235.58554626857688</v>
      </c>
      <c r="M19" s="4">
        <v>-17.927542492525124</v>
      </c>
      <c r="N19" s="4">
        <v>-54.760318029112831</v>
      </c>
      <c r="O19" s="4">
        <v>11.696048661702598</v>
      </c>
      <c r="P19" s="4">
        <v>-2.8020485966617752</v>
      </c>
      <c r="Q19" s="4">
        <v>0.61749728439633678</v>
      </c>
      <c r="R19" s="4">
        <v>0.77569944400997792</v>
      </c>
      <c r="S19" s="4">
        <v>0.32178449329848396</v>
      </c>
      <c r="T19" s="4">
        <v>1.107139371229569</v>
      </c>
      <c r="U19" s="4">
        <v>5.6039521652325182E-2</v>
      </c>
      <c r="V19" s="4">
        <v>0.13751798091723347</v>
      </c>
      <c r="W19" s="4">
        <v>1.4851945637047533E-2</v>
      </c>
      <c r="X19" s="4">
        <v>8.8091884835400508E-3</v>
      </c>
      <c r="Y19" s="4">
        <v>7.4878196552097774E-4</v>
      </c>
      <c r="Z19" s="4">
        <v>1.3037854247950457E-3</v>
      </c>
      <c r="AA19" s="4">
        <v>8.6493436625423117E-6</v>
      </c>
      <c r="AB19" s="4">
        <v>2.2261043361234829E-5</v>
      </c>
      <c r="AC19" s="4">
        <v>4.3039284193155716E-7</v>
      </c>
      <c r="AD19" s="4">
        <v>8.3241822346923095E-7</v>
      </c>
      <c r="AE19" s="4">
        <v>1.5264464873976998E-8</v>
      </c>
      <c r="AF19" s="4">
        <v>4.597076159994442E-9</v>
      </c>
      <c r="AG19" s="4"/>
      <c r="AH19" s="4"/>
      <c r="AI19" s="4"/>
      <c r="AJ19" s="4"/>
      <c r="AK19" s="4"/>
      <c r="AL19" s="4"/>
      <c r="AM19" s="4"/>
      <c r="AN19" s="4"/>
      <c r="AO19" s="4"/>
      <c r="AP19" s="4"/>
      <c r="AQ19" s="4"/>
      <c r="AR19" s="4"/>
      <c r="AS19" s="4"/>
      <c r="AT19" s="4"/>
      <c r="AU19" s="4"/>
      <c r="AV19" s="4"/>
      <c r="AW19" s="4"/>
      <c r="AX19" s="4"/>
      <c r="AY19" s="4"/>
      <c r="AZ19" s="4"/>
      <c r="BA19" s="4"/>
      <c r="BB19" s="4"/>
    </row>
    <row r="20" spans="1:54" x14ac:dyDescent="0.25">
      <c r="A20" s="4">
        <v>4500</v>
      </c>
      <c r="B20" s="4"/>
      <c r="C20" s="4">
        <v>-633.74105694876516</v>
      </c>
      <c r="D20" s="4">
        <v>-39.767042771221263</v>
      </c>
      <c r="E20" s="4">
        <v>-5.3317884648718525</v>
      </c>
      <c r="F20" s="4">
        <v>-165.23811080659988</v>
      </c>
      <c r="G20" s="4">
        <v>-50.292040502385802</v>
      </c>
      <c r="H20" s="4">
        <v>-178.38543529299588</v>
      </c>
      <c r="I20" s="4">
        <v>-138.21782216518932</v>
      </c>
      <c r="J20" s="4">
        <v>-316.36022349931062</v>
      </c>
      <c r="K20" s="4">
        <v>-43.555655320345139</v>
      </c>
      <c r="L20" s="4">
        <v>-260.2787264755238</v>
      </c>
      <c r="M20" s="4">
        <v>-20.454636362566724</v>
      </c>
      <c r="N20" s="4">
        <v>-64.535272530041041</v>
      </c>
      <c r="O20" s="4">
        <v>14.24002175496506</v>
      </c>
      <c r="P20" s="4">
        <v>-3.5250759828687683</v>
      </c>
      <c r="Q20" s="4">
        <v>0.80284401208762357</v>
      </c>
      <c r="R20" s="4">
        <v>1.0424994149703228</v>
      </c>
      <c r="S20" s="4">
        <v>0.44711326612140628</v>
      </c>
      <c r="T20" s="4">
        <v>1.5907784998201531</v>
      </c>
      <c r="U20" s="4">
        <v>8.3280376730964265E-2</v>
      </c>
      <c r="V20" s="4">
        <v>0.21141484673765915</v>
      </c>
      <c r="W20" s="4">
        <v>2.3625173541207765E-2</v>
      </c>
      <c r="X20" s="4">
        <v>1.4502143673054267E-2</v>
      </c>
      <c r="Y20" s="4">
        <v>1.2759873834674417E-3</v>
      </c>
      <c r="Z20" s="4">
        <v>2.3002920753900525E-3</v>
      </c>
      <c r="AA20" s="4">
        <v>1.5802949080214493E-5</v>
      </c>
      <c r="AB20" s="4">
        <v>4.2128115608415297E-5</v>
      </c>
      <c r="AC20" s="4">
        <v>8.4383522252692103E-7</v>
      </c>
      <c r="AD20" s="4">
        <v>1.6912040887627176E-6</v>
      </c>
      <c r="AE20" s="4">
        <v>3.2143620766207241E-8</v>
      </c>
      <c r="AF20" s="4">
        <v>1.0035796465346095E-8</v>
      </c>
      <c r="AG20" s="4"/>
      <c r="AH20" s="4"/>
      <c r="AI20" s="4"/>
      <c r="AJ20" s="4"/>
      <c r="AK20" s="4"/>
      <c r="AL20" s="4"/>
      <c r="AM20" s="4"/>
      <c r="AN20" s="4"/>
      <c r="AO20" s="4"/>
      <c r="AP20" s="4"/>
      <c r="AQ20" s="4"/>
      <c r="AR20" s="4"/>
      <c r="AS20" s="4"/>
      <c r="AT20" s="4"/>
      <c r="AU20" s="4"/>
      <c r="AV20" s="4"/>
      <c r="AW20" s="4"/>
      <c r="AX20" s="4"/>
      <c r="AY20" s="4"/>
      <c r="AZ20" s="4"/>
      <c r="BA20" s="4"/>
      <c r="BB20" s="4"/>
    </row>
    <row r="21" spans="1:54" x14ac:dyDescent="0.25">
      <c r="A21" s="4">
        <v>4490</v>
      </c>
      <c r="B21" s="4"/>
      <c r="C21" s="4">
        <v>-638.08343420829931</v>
      </c>
      <c r="D21" s="4">
        <v>-33.731865297206241</v>
      </c>
      <c r="E21" s="4">
        <v>-4.6644210780256961</v>
      </c>
      <c r="F21" s="4">
        <v>-149.11300011131706</v>
      </c>
      <c r="G21" s="4">
        <v>-46.822915894607597</v>
      </c>
      <c r="H21" s="4">
        <v>-171.37472547921647</v>
      </c>
      <c r="I21" s="4">
        <v>-137.04231694118633</v>
      </c>
      <c r="J21" s="4">
        <v>-323.781258255198</v>
      </c>
      <c r="K21" s="4">
        <v>-46.022513704667809</v>
      </c>
      <c r="L21" s="4">
        <v>-283.98672009682161</v>
      </c>
      <c r="M21" s="4">
        <v>-23.049589577151608</v>
      </c>
      <c r="N21" s="4">
        <v>-75.120772575790582</v>
      </c>
      <c r="O21" s="4">
        <v>17.125580738168168</v>
      </c>
      <c r="P21" s="4">
        <v>-4.3808270575766883</v>
      </c>
      <c r="Q21" s="4">
        <v>1.0312261569516232</v>
      </c>
      <c r="R21" s="4">
        <v>1.3842572022795925</v>
      </c>
      <c r="S21" s="4">
        <v>0.61384796954290644</v>
      </c>
      <c r="T21" s="4">
        <v>2.2586052551924256</v>
      </c>
      <c r="U21" s="4">
        <v>0.12230570579849363</v>
      </c>
      <c r="V21" s="4">
        <v>0.32121810690042918</v>
      </c>
      <c r="W21" s="4">
        <v>3.7143956700548084E-2</v>
      </c>
      <c r="X21" s="4">
        <v>2.3598432874948359E-2</v>
      </c>
      <c r="Y21" s="4">
        <v>2.1494403741384211E-3</v>
      </c>
      <c r="Z21" s="4">
        <v>4.0121893782018485E-3</v>
      </c>
      <c r="AA21" s="4">
        <v>2.8546211160074185E-5</v>
      </c>
      <c r="AB21" s="4">
        <v>7.8829336608111542E-5</v>
      </c>
      <c r="AC21" s="4">
        <v>1.6359640803773778E-6</v>
      </c>
      <c r="AD21" s="4">
        <v>3.3978825533752041E-6</v>
      </c>
      <c r="AE21" s="4">
        <v>6.6942283673964898E-8</v>
      </c>
      <c r="AF21" s="4">
        <v>2.1669522393389634E-8</v>
      </c>
      <c r="AG21" s="4"/>
      <c r="AH21" s="4"/>
      <c r="AI21" s="4"/>
      <c r="AJ21" s="4"/>
      <c r="AK21" s="4"/>
      <c r="AL21" s="4"/>
      <c r="AM21" s="4"/>
      <c r="AN21" s="4"/>
      <c r="AO21" s="4"/>
      <c r="AP21" s="4"/>
      <c r="AQ21" s="4"/>
      <c r="AR21" s="4"/>
      <c r="AS21" s="4"/>
      <c r="AT21" s="4"/>
      <c r="AU21" s="4"/>
      <c r="AV21" s="4"/>
      <c r="AW21" s="4"/>
      <c r="AX21" s="4"/>
      <c r="AY21" s="4"/>
      <c r="AZ21" s="4"/>
      <c r="BA21" s="4"/>
      <c r="BB21" s="4"/>
    </row>
    <row r="22" spans="1:54" x14ac:dyDescent="0.25">
      <c r="A22" s="4">
        <v>4480</v>
      </c>
      <c r="B22" s="4"/>
      <c r="C22" s="4">
        <v>-637.5688813852978</v>
      </c>
      <c r="D22" s="4">
        <v>-28.238810312063297</v>
      </c>
      <c r="E22" s="4">
        <v>-4.0275548180948144</v>
      </c>
      <c r="F22" s="4">
        <v>-132.8219110705069</v>
      </c>
      <c r="G22" s="4">
        <v>-43.032522545013542</v>
      </c>
      <c r="H22" s="4">
        <v>-162.53379947338109</v>
      </c>
      <c r="I22" s="4">
        <v>-134.14837892537724</v>
      </c>
      <c r="J22" s="4">
        <v>-327.18422154825754</v>
      </c>
      <c r="K22" s="4">
        <v>-48.017309884385263</v>
      </c>
      <c r="L22" s="4">
        <v>-305.97797364230524</v>
      </c>
      <c r="M22" s="4">
        <v>-25.650666012845711</v>
      </c>
      <c r="N22" s="4">
        <v>-86.361142251308195</v>
      </c>
      <c r="O22" s="4">
        <v>20.3426250932492</v>
      </c>
      <c r="P22" s="4">
        <v>-5.3777740003223347</v>
      </c>
      <c r="Q22" s="4">
        <v>1.3084810656803458</v>
      </c>
      <c r="R22" s="4">
        <v>1.8158529918626136</v>
      </c>
      <c r="S22" s="4">
        <v>0.83264398446794019</v>
      </c>
      <c r="T22" s="4">
        <v>3.1685366731116633</v>
      </c>
      <c r="U22" s="4">
        <v>0.17748892298116825</v>
      </c>
      <c r="V22" s="4">
        <v>0.4823007791372344</v>
      </c>
      <c r="W22" s="4">
        <v>5.771488549903421E-2</v>
      </c>
      <c r="X22" s="4">
        <v>3.7953684783906309E-2</v>
      </c>
      <c r="Y22" s="4">
        <v>3.578967500509803E-3</v>
      </c>
      <c r="Z22" s="4">
        <v>6.9177825428933856E-3</v>
      </c>
      <c r="AA22" s="4">
        <v>5.0977644716679427E-5</v>
      </c>
      <c r="AB22" s="4">
        <v>1.4583400232266042E-4</v>
      </c>
      <c r="AC22" s="4">
        <v>3.13602344550834E-6</v>
      </c>
      <c r="AD22" s="4">
        <v>6.750635838492559E-6</v>
      </c>
      <c r="AE22" s="4">
        <v>1.378684818978392E-7</v>
      </c>
      <c r="AF22" s="4">
        <v>4.6274375088345972E-8</v>
      </c>
      <c r="AG22" s="4"/>
      <c r="AH22" s="4"/>
      <c r="AI22" s="4"/>
      <c r="AJ22" s="4"/>
      <c r="AK22" s="4"/>
      <c r="AL22" s="4"/>
      <c r="AM22" s="4"/>
      <c r="AN22" s="4"/>
      <c r="AO22" s="4"/>
      <c r="AP22" s="4"/>
      <c r="AQ22" s="4"/>
      <c r="AR22" s="4"/>
      <c r="AS22" s="4"/>
      <c r="AT22" s="4"/>
      <c r="AU22" s="4"/>
      <c r="AV22" s="4"/>
      <c r="AW22" s="4"/>
      <c r="AX22" s="4"/>
      <c r="AY22" s="4"/>
      <c r="AZ22" s="4"/>
      <c r="BA22" s="4"/>
      <c r="BB22" s="4"/>
    </row>
    <row r="23" spans="1:54" x14ac:dyDescent="0.25">
      <c r="A23" s="4">
        <v>4470</v>
      </c>
      <c r="B23" s="4"/>
      <c r="C23" s="4">
        <v>-632.00894472247035</v>
      </c>
      <c r="D23" s="4">
        <v>-23.329394589858619</v>
      </c>
      <c r="E23" s="4">
        <v>-3.4321497885689398</v>
      </c>
      <c r="F23" s="4">
        <v>-116.77105244239833</v>
      </c>
      <c r="G23" s="4">
        <v>-39.03702950940044</v>
      </c>
      <c r="H23" s="4">
        <v>-152.16428663307821</v>
      </c>
      <c r="I23" s="4">
        <v>-129.63401925304802</v>
      </c>
      <c r="J23" s="4">
        <v>-326.41242205575384</v>
      </c>
      <c r="K23" s="4">
        <v>-49.464090562054039</v>
      </c>
      <c r="L23" s="4">
        <v>-325.52040385186365</v>
      </c>
      <c r="M23" s="4">
        <v>-28.187813934439934</v>
      </c>
      <c r="N23" s="4">
        <v>-98.047284596918885</v>
      </c>
      <c r="O23" s="4">
        <v>23.86488153265158</v>
      </c>
      <c r="P23" s="4">
        <v>-6.5203589798064607</v>
      </c>
      <c r="Q23" s="4">
        <v>1.6399688203777152</v>
      </c>
      <c r="R23" s="4">
        <v>2.3530518536109932</v>
      </c>
      <c r="S23" s="4">
        <v>1.1157766568040861</v>
      </c>
      <c r="T23" s="4">
        <v>4.3916650506392392</v>
      </c>
      <c r="U23" s="4">
        <v>0.25449585911349026</v>
      </c>
      <c r="V23" s="4">
        <v>0.71557292036371689</v>
      </c>
      <c r="W23" s="4">
        <v>8.8621430499545031E-2</v>
      </c>
      <c r="X23" s="4">
        <v>6.0326680396072432E-2</v>
      </c>
      <c r="Y23" s="4">
        <v>5.8899073465219975E-3</v>
      </c>
      <c r="Z23" s="4">
        <v>1.1789750265853431E-2</v>
      </c>
      <c r="AA23" s="4">
        <v>8.9990640906087923E-5</v>
      </c>
      <c r="AB23" s="4">
        <v>2.6671674537106111E-4</v>
      </c>
      <c r="AC23" s="4">
        <v>5.9434675181850852E-6</v>
      </c>
      <c r="AD23" s="4">
        <v>1.3260831579408717E-5</v>
      </c>
      <c r="AE23" s="4">
        <v>2.8077222776051718E-7</v>
      </c>
      <c r="AF23" s="4">
        <v>9.7721835128083402E-8</v>
      </c>
      <c r="AG23" s="4"/>
      <c r="AH23" s="4"/>
      <c r="AI23" s="4"/>
      <c r="AJ23" s="4"/>
      <c r="AK23" s="4"/>
      <c r="AL23" s="4"/>
      <c r="AM23" s="4"/>
      <c r="AN23" s="4"/>
      <c r="AO23" s="4"/>
      <c r="AP23" s="4"/>
      <c r="AQ23" s="4"/>
      <c r="AR23" s="4"/>
      <c r="AS23" s="4"/>
      <c r="AT23" s="4"/>
      <c r="AU23" s="4"/>
      <c r="AV23" s="4"/>
      <c r="AW23" s="4"/>
      <c r="AX23" s="4"/>
      <c r="AY23" s="4"/>
      <c r="AZ23" s="4"/>
      <c r="BA23" s="4"/>
      <c r="BB23" s="4"/>
    </row>
    <row r="24" spans="1:54" x14ac:dyDescent="0.25">
      <c r="A24" s="4">
        <v>4460</v>
      </c>
      <c r="B24" s="4"/>
      <c r="C24" s="4">
        <v>-621.29687558864964</v>
      </c>
      <c r="D24" s="4">
        <v>-19.0183712436903</v>
      </c>
      <c r="E24" s="4">
        <v>-2.8862500187835942</v>
      </c>
      <c r="F24" s="4">
        <v>-101.31504291781118</v>
      </c>
      <c r="G24" s="4">
        <v>-34.951070417548365</v>
      </c>
      <c r="H24" s="4">
        <v>-140.60999720687823</v>
      </c>
      <c r="I24" s="4">
        <v>-123.65673922548969</v>
      </c>
      <c r="J24" s="4">
        <v>-321.46763055119249</v>
      </c>
      <c r="K24" s="4">
        <v>-50.304825580586339</v>
      </c>
      <c r="L24" s="4">
        <v>-341.92041242381907</v>
      </c>
      <c r="M24" s="4">
        <v>-30.585418694715997</v>
      </c>
      <c r="N24" s="4">
        <v>-109.91950090614891</v>
      </c>
      <c r="O24" s="4">
        <v>27.648109235139788</v>
      </c>
      <c r="P24" s="4">
        <v>-7.807758944320585</v>
      </c>
      <c r="Q24" s="4">
        <v>2.0301209798637307</v>
      </c>
      <c r="R24" s="4">
        <v>3.0118471311162707</v>
      </c>
      <c r="S24" s="4">
        <v>1.4769929913356199</v>
      </c>
      <c r="T24" s="4">
        <v>6.0133396935578434</v>
      </c>
      <c r="U24" s="4">
        <v>0.36052821132820217</v>
      </c>
      <c r="V24" s="4">
        <v>1.0489918256576287</v>
      </c>
      <c r="W24" s="4">
        <v>0.13446379093513575</v>
      </c>
      <c r="X24" s="4">
        <v>9.4757630460016964E-2</v>
      </c>
      <c r="Y24" s="4">
        <v>9.579487203891705E-3</v>
      </c>
      <c r="Z24" s="4">
        <v>1.9859092990280876E-2</v>
      </c>
      <c r="AA24" s="4">
        <v>1.5702407681288214E-4</v>
      </c>
      <c r="AB24" s="4">
        <v>4.8220035799886326E-4</v>
      </c>
      <c r="AC24" s="4">
        <v>1.1135786320979686E-5</v>
      </c>
      <c r="AD24" s="4">
        <v>2.5754439439652646E-5</v>
      </c>
      <c r="AE24" s="4">
        <v>5.6537115310174082E-7</v>
      </c>
      <c r="AF24" s="4">
        <v>2.0406489968855022E-7</v>
      </c>
      <c r="AG24" s="4"/>
      <c r="AH24" s="4"/>
      <c r="AI24" s="4"/>
      <c r="AJ24" s="4"/>
      <c r="AK24" s="4"/>
      <c r="AL24" s="4"/>
      <c r="AM24" s="4"/>
      <c r="AN24" s="4"/>
      <c r="AO24" s="4"/>
      <c r="AP24" s="4"/>
      <c r="AQ24" s="4"/>
      <c r="AR24" s="4"/>
      <c r="AS24" s="4"/>
      <c r="AT24" s="4"/>
      <c r="AU24" s="4"/>
      <c r="AV24" s="4"/>
      <c r="AW24" s="4"/>
      <c r="AX24" s="4"/>
      <c r="AY24" s="4"/>
      <c r="AZ24" s="4"/>
      <c r="BA24" s="4"/>
      <c r="BB24" s="4"/>
    </row>
    <row r="25" spans="1:54" x14ac:dyDescent="0.25">
      <c r="A25" s="4">
        <v>4450</v>
      </c>
      <c r="B25" s="4"/>
      <c r="C25" s="4">
        <v>-605.41368915056682</v>
      </c>
      <c r="D25" s="4">
        <v>-15.297391569838984</v>
      </c>
      <c r="E25" s="4">
        <v>-2.3950036150381546</v>
      </c>
      <c r="F25" s="4">
        <v>-86.745637427724262</v>
      </c>
      <c r="G25" s="4">
        <v>-30.882311504460368</v>
      </c>
      <c r="H25" s="4">
        <v>-128.2378007576811</v>
      </c>
      <c r="I25" s="4">
        <v>-116.42438604754628</v>
      </c>
      <c r="J25" s="4">
        <v>-312.51172802548717</v>
      </c>
      <c r="K25" s="4">
        <v>-50.50322099830985</v>
      </c>
      <c r="L25" s="4">
        <v>-354.5627761440922</v>
      </c>
      <c r="M25" s="4">
        <v>-32.765773544436172</v>
      </c>
      <c r="N25" s="4">
        <v>-121.67426448349805</v>
      </c>
      <c r="O25" s="4">
        <v>31.62921545827</v>
      </c>
      <c r="P25" s="4">
        <v>-9.2327340073287534</v>
      </c>
      <c r="Q25" s="4">
        <v>2.4819308581604718</v>
      </c>
      <c r="R25" s="4">
        <v>3.8075741114267294</v>
      </c>
      <c r="S25" s="4">
        <v>1.9311961284828818</v>
      </c>
      <c r="T25" s="4">
        <v>8.1335850920092803</v>
      </c>
      <c r="U25" s="4">
        <v>0.50455753238247514</v>
      </c>
      <c r="V25" s="4">
        <v>1.5192756328265913</v>
      </c>
      <c r="W25" s="4">
        <v>0.20158200572911827</v>
      </c>
      <c r="X25" s="4">
        <v>0.14707285655906463</v>
      </c>
      <c r="Y25" s="4">
        <v>1.5396556197601384E-2</v>
      </c>
      <c r="Z25" s="4">
        <v>3.3059471792268175E-2</v>
      </c>
      <c r="AA25" s="4">
        <v>2.7080159947370444E-4</v>
      </c>
      <c r="AB25" s="4">
        <v>8.6169869075370048E-4</v>
      </c>
      <c r="AC25" s="4">
        <v>2.0624685942934294E-5</v>
      </c>
      <c r="AD25" s="4">
        <v>4.9448591044968466E-5</v>
      </c>
      <c r="AE25" s="4">
        <v>1.1255605380214872E-6</v>
      </c>
      <c r="AF25" s="4">
        <v>4.2134338536659267E-7</v>
      </c>
      <c r="AG25" s="4"/>
      <c r="AH25" s="4"/>
      <c r="AI25" s="4"/>
      <c r="AJ25" s="4"/>
      <c r="AK25" s="4"/>
      <c r="AL25" s="4"/>
      <c r="AM25" s="4"/>
      <c r="AN25" s="4"/>
      <c r="AO25" s="4"/>
      <c r="AP25" s="4"/>
      <c r="AQ25" s="4"/>
      <c r="AR25" s="4"/>
      <c r="AS25" s="4"/>
      <c r="AT25" s="4"/>
      <c r="AU25" s="4"/>
      <c r="AV25" s="4"/>
      <c r="AW25" s="4"/>
      <c r="AX25" s="4"/>
      <c r="AY25" s="4"/>
      <c r="AZ25" s="4"/>
      <c r="BA25" s="4"/>
      <c r="BB25" s="4"/>
    </row>
    <row r="26" spans="1:54" x14ac:dyDescent="0.25">
      <c r="A26" s="4">
        <v>4440</v>
      </c>
      <c r="B26" s="4"/>
      <c r="C26" s="4">
        <v>-584.4313298990478</v>
      </c>
      <c r="D26" s="4">
        <v>-12.139387422581969</v>
      </c>
      <c r="E26" s="4">
        <v>-1.9608490311686915</v>
      </c>
      <c r="F26" s="4">
        <v>-73.285442129907935</v>
      </c>
      <c r="G26" s="4">
        <v>-26.926892935000222</v>
      </c>
      <c r="H26" s="4">
        <v>-115.41811681948754</v>
      </c>
      <c r="I26" s="4">
        <v>-108.18306681632717</v>
      </c>
      <c r="J26" s="4">
        <v>-299.85813483350915</v>
      </c>
      <c r="K26" s="4">
        <v>-50.047271240822973</v>
      </c>
      <c r="L26" s="4">
        <v>-362.94830577611282</v>
      </c>
      <c r="M26" s="4">
        <v>-34.653072787210426</v>
      </c>
      <c r="N26" s="4">
        <v>-132.97500891364362</v>
      </c>
      <c r="O26" s="4">
        <v>35.726534228187013</v>
      </c>
      <c r="P26" s="4">
        <v>-10.780678372998576</v>
      </c>
      <c r="Q26" s="4">
        <v>2.9964139905603902</v>
      </c>
      <c r="R26" s="4">
        <v>4.7538000598973928</v>
      </c>
      <c r="S26" s="4">
        <v>2.4939305490953241</v>
      </c>
      <c r="T26" s="4">
        <v>10.866543646340814</v>
      </c>
      <c r="U26" s="4">
        <v>0.69752307472311614</v>
      </c>
      <c r="V26" s="4">
        <v>2.1737569870610693</v>
      </c>
      <c r="W26" s="4">
        <v>0.29856701648855322</v>
      </c>
      <c r="X26" s="4">
        <v>0.22554251881414777</v>
      </c>
      <c r="Y26" s="4">
        <v>2.4452124412289649E-2</v>
      </c>
      <c r="Z26" s="4">
        <v>5.438490905283784E-2</v>
      </c>
      <c r="AA26" s="4">
        <v>4.6154784403623433E-4</v>
      </c>
      <c r="AB26" s="4">
        <v>1.5219437624775444E-3</v>
      </c>
      <c r="AC26" s="4">
        <v>3.7757568955280626E-5</v>
      </c>
      <c r="AD26" s="4">
        <v>9.3851483432256391E-5</v>
      </c>
      <c r="AE26" s="4">
        <v>2.2152608215215879E-6</v>
      </c>
      <c r="AF26" s="4">
        <v>8.6012281070560786E-7</v>
      </c>
      <c r="AG26" s="4"/>
      <c r="AH26" s="4"/>
      <c r="AI26" s="4"/>
      <c r="AJ26" s="4"/>
      <c r="AK26" s="4"/>
      <c r="AL26" s="4"/>
      <c r="AM26" s="4"/>
      <c r="AN26" s="4"/>
      <c r="AO26" s="4"/>
      <c r="AP26" s="4"/>
      <c r="AQ26" s="4"/>
      <c r="AR26" s="4"/>
      <c r="AS26" s="4"/>
      <c r="AT26" s="4"/>
      <c r="AU26" s="4"/>
      <c r="AV26" s="4"/>
      <c r="AW26" s="4"/>
      <c r="AX26" s="4"/>
      <c r="AY26" s="4"/>
      <c r="AZ26" s="4"/>
      <c r="BA26" s="4"/>
      <c r="BB26" s="4"/>
    </row>
    <row r="27" spans="1:54" x14ac:dyDescent="0.25">
      <c r="A27" s="4">
        <v>4430</v>
      </c>
      <c r="B27" s="4"/>
      <c r="C27" s="4">
        <v>-558.51246217098424</v>
      </c>
      <c r="D27" s="4">
        <v>-9.5032527562632314</v>
      </c>
      <c r="E27" s="4">
        <v>-1.5838309828747958</v>
      </c>
      <c r="F27" s="4">
        <v>-61.086495584428938</v>
      </c>
      <c r="G27" s="4">
        <v>-23.165998404596863</v>
      </c>
      <c r="H27" s="4">
        <v>-102.50647881046464</v>
      </c>
      <c r="I27" s="4">
        <v>-99.20310729581378</v>
      </c>
      <c r="J27" s="4">
        <v>-283.95362889041849</v>
      </c>
      <c r="K27" s="4">
        <v>-48.950304259805534</v>
      </c>
      <c r="L27" s="4">
        <v>-366.72612143451073</v>
      </c>
      <c r="M27" s="4">
        <v>-36.177659209829301</v>
      </c>
      <c r="N27" s="4">
        <v>-143.46661269050909</v>
      </c>
      <c r="O27" s="4">
        <v>39.841454805424519</v>
      </c>
      <c r="P27" s="4">
        <v>-12.428999949550624</v>
      </c>
      <c r="Q27" s="4">
        <v>3.57207830557756</v>
      </c>
      <c r="R27" s="4">
        <v>5.8610219952413498</v>
      </c>
      <c r="S27" s="4">
        <v>3.1806456548928184</v>
      </c>
      <c r="T27" s="4">
        <v>14.33861040901297</v>
      </c>
      <c r="U27" s="4">
        <v>0.95245867930895156</v>
      </c>
      <c r="V27" s="4">
        <v>3.0722655096999052</v>
      </c>
      <c r="W27" s="4">
        <v>0.43685678731029343</v>
      </c>
      <c r="X27" s="4">
        <v>0.34171620794829971</v>
      </c>
      <c r="Y27" s="4">
        <v>3.8369410071216532E-2</v>
      </c>
      <c r="Z27" s="4">
        <v>8.8403792669973572E-2</v>
      </c>
      <c r="AA27" s="4">
        <v>7.7736844573992746E-4</v>
      </c>
      <c r="AB27" s="4">
        <v>2.6565705630268656E-3</v>
      </c>
      <c r="AC27" s="4">
        <v>6.8318040001207376E-5</v>
      </c>
      <c r="AD27" s="4">
        <v>1.7606717227240852E-4</v>
      </c>
      <c r="AE27" s="4">
        <v>4.3098927029562655E-6</v>
      </c>
      <c r="AF27" s="4">
        <v>1.7358256971894583E-6</v>
      </c>
      <c r="AG27" s="4"/>
      <c r="AH27" s="4"/>
      <c r="AI27" s="4"/>
      <c r="AJ27" s="4"/>
      <c r="AK27" s="4"/>
      <c r="AL27" s="4"/>
      <c r="AM27" s="4"/>
      <c r="AN27" s="4"/>
      <c r="AO27" s="4"/>
      <c r="AP27" s="4"/>
      <c r="AQ27" s="4"/>
      <c r="AR27" s="4"/>
      <c r="AS27" s="4"/>
      <c r="AT27" s="4"/>
      <c r="AU27" s="4"/>
      <c r="AV27" s="4"/>
      <c r="AW27" s="4"/>
      <c r="AX27" s="4"/>
      <c r="AY27" s="4"/>
      <c r="AZ27" s="4"/>
      <c r="BA27" s="4"/>
      <c r="BB27" s="4"/>
    </row>
    <row r="28" spans="1:54" x14ac:dyDescent="0.25">
      <c r="A28" s="4">
        <v>4420</v>
      </c>
      <c r="B28" s="4"/>
      <c r="C28" s="4">
        <v>-527.90660989021148</v>
      </c>
      <c r="D28" s="4">
        <v>-7.3384506731343064</v>
      </c>
      <c r="E28" s="4">
        <v>-1.2620042329352512</v>
      </c>
      <c r="F28" s="4">
        <v>-50.233204917395717</v>
      </c>
      <c r="G28" s="4">
        <v>-19.663690169360308</v>
      </c>
      <c r="H28" s="4">
        <v>-89.827452550395364</v>
      </c>
      <c r="I28" s="4">
        <v>-89.764183726390655</v>
      </c>
      <c r="J28" s="4">
        <v>-265.35201851058946</v>
      </c>
      <c r="K28" s="4">
        <v>-47.250402121803432</v>
      </c>
      <c r="L28" s="4">
        <v>-365.71767685017579</v>
      </c>
      <c r="M28" s="4">
        <v>-37.280206165602131</v>
      </c>
      <c r="N28" s="4">
        <v>-152.7928621552974</v>
      </c>
      <c r="O28" s="4">
        <v>43.861487251927635</v>
      </c>
      <c r="P28" s="4">
        <v>-14.146949197084938</v>
      </c>
      <c r="Q28" s="4">
        <v>4.2044526942220424</v>
      </c>
      <c r="R28" s="4">
        <v>7.1352330107728967</v>
      </c>
      <c r="S28" s="4">
        <v>4.0057312490182788</v>
      </c>
      <c r="T28" s="4">
        <v>18.68493963626895</v>
      </c>
      <c r="U28" s="4">
        <v>1.2845065272680589</v>
      </c>
      <c r="V28" s="4">
        <v>4.2888703235788626</v>
      </c>
      <c r="W28" s="4">
        <v>0.63140319131164102</v>
      </c>
      <c r="X28" s="4">
        <v>0.51145493169185319</v>
      </c>
      <c r="Y28" s="4">
        <v>5.9482978735672161E-2</v>
      </c>
      <c r="Z28" s="4">
        <v>0.14198323923948422</v>
      </c>
      <c r="AA28" s="4">
        <v>1.2937358828469165E-3</v>
      </c>
      <c r="AB28" s="4">
        <v>4.5823440940003929E-3</v>
      </c>
      <c r="AC28" s="4">
        <v>1.221646730157304E-4</v>
      </c>
      <c r="AD28" s="4">
        <v>3.264600142227831E-4</v>
      </c>
      <c r="AE28" s="4">
        <v>8.288159955804557E-6</v>
      </c>
      <c r="AF28" s="4">
        <v>3.4628826698859283E-6</v>
      </c>
      <c r="AG28" s="4"/>
      <c r="AH28" s="4"/>
      <c r="AI28" s="4"/>
      <c r="AJ28" s="4"/>
      <c r="AK28" s="4"/>
      <c r="AL28" s="4"/>
      <c r="AM28" s="4"/>
      <c r="AN28" s="4"/>
      <c r="AO28" s="4"/>
      <c r="AP28" s="4"/>
      <c r="AQ28" s="4"/>
      <c r="AR28" s="4"/>
      <c r="AS28" s="4"/>
      <c r="AT28" s="4"/>
      <c r="AU28" s="4"/>
      <c r="AV28" s="4"/>
      <c r="AW28" s="4"/>
      <c r="AX28" s="4"/>
      <c r="AY28" s="4"/>
      <c r="AZ28" s="4"/>
      <c r="BA28" s="4"/>
      <c r="BB28" s="4"/>
    </row>
    <row r="29" spans="1:54" x14ac:dyDescent="0.25">
      <c r="A29" s="4">
        <v>4410</v>
      </c>
      <c r="B29" s="4"/>
      <c r="C29" s="4">
        <v>-492.94263049235474</v>
      </c>
      <c r="D29" s="4">
        <v>-5.5892458530794151</v>
      </c>
      <c r="E29" s="4">
        <v>-0.99188283056193716</v>
      </c>
      <c r="F29" s="4">
        <v>-40.748831893663521</v>
      </c>
      <c r="G29" s="4">
        <v>-16.466026452877109</v>
      </c>
      <c r="H29" s="4">
        <v>-77.661896812551831</v>
      </c>
      <c r="I29" s="4">
        <v>-80.140780393458684</v>
      </c>
      <c r="J29" s="4">
        <v>-244.6818426745547</v>
      </c>
      <c r="K29" s="4">
        <v>-45.008224079673766</v>
      </c>
      <c r="L29" s="4">
        <v>-359.93027073389533</v>
      </c>
      <c r="M29" s="4">
        <v>-37.915492414874208</v>
      </c>
      <c r="N29" s="4">
        <v>-160.61579935074283</v>
      </c>
      <c r="O29" s="4">
        <v>47.664726053302125</v>
      </c>
      <c r="P29" s="4">
        <v>-15.895997205211627</v>
      </c>
      <c r="Q29" s="4">
        <v>4.8857284943682746</v>
      </c>
      <c r="R29" s="4">
        <v>8.5764488540602137</v>
      </c>
      <c r="S29" s="4">
        <v>4.9813404964378805</v>
      </c>
      <c r="T29" s="4">
        <v>24.044059665370593</v>
      </c>
      <c r="U29" s="4">
        <v>1.7107703390521556</v>
      </c>
      <c r="V29" s="4">
        <v>5.9132504214383053</v>
      </c>
      <c r="W29" s="4">
        <v>0.90137977264820879</v>
      </c>
      <c r="X29" s="4">
        <v>0.75616554187149976</v>
      </c>
      <c r="Y29" s="4">
        <v>9.1096688976606874E-2</v>
      </c>
      <c r="Z29" s="4">
        <v>0.22528918665168396</v>
      </c>
      <c r="AA29" s="4">
        <v>2.1273376383938785E-3</v>
      </c>
      <c r="AB29" s="4">
        <v>7.810185331640164E-3</v>
      </c>
      <c r="AC29" s="4">
        <v>2.1587314022529044E-4</v>
      </c>
      <c r="AD29" s="4">
        <v>5.9821870584220475E-4</v>
      </c>
      <c r="AE29" s="4">
        <v>1.5753028384203201E-5</v>
      </c>
      <c r="AF29" s="4">
        <v>6.8284134706629664E-6</v>
      </c>
      <c r="AG29" s="4"/>
      <c r="AH29" s="4"/>
      <c r="AI29" s="4"/>
      <c r="AJ29" s="4"/>
      <c r="AK29" s="4"/>
      <c r="AL29" s="4"/>
      <c r="AM29" s="4"/>
      <c r="AN29" s="4"/>
      <c r="AO29" s="4"/>
      <c r="AP29" s="4"/>
      <c r="AQ29" s="4"/>
      <c r="AR29" s="4"/>
      <c r="AS29" s="4"/>
      <c r="AT29" s="4"/>
      <c r="AU29" s="4"/>
      <c r="AV29" s="4"/>
      <c r="AW29" s="4"/>
      <c r="AX29" s="4"/>
      <c r="AY29" s="4"/>
      <c r="AZ29" s="4"/>
      <c r="BA29" s="4"/>
      <c r="BB29" s="4"/>
    </row>
    <row r="30" spans="1:54" x14ac:dyDescent="0.25">
      <c r="A30" s="4">
        <v>4400</v>
      </c>
      <c r="B30" s="4"/>
      <c r="C30" s="4">
        <v>-454.01779775596793</v>
      </c>
      <c r="D30" s="4">
        <v>-4.1983495601912137</v>
      </c>
      <c r="E30" s="4">
        <v>-0.76889576979155649</v>
      </c>
      <c r="F30" s="4">
        <v>-32.604544331446881</v>
      </c>
      <c r="G30" s="4">
        <v>-13.601368803672791</v>
      </c>
      <c r="H30" s="4">
        <v>-66.238185030087067</v>
      </c>
      <c r="I30" s="4">
        <v>-70.589034375785218</v>
      </c>
      <c r="J30" s="4">
        <v>-222.61074830927868</v>
      </c>
      <c r="K30" s="4">
        <v>-42.303403566110511</v>
      </c>
      <c r="L30" s="4">
        <v>-349.55865814587014</v>
      </c>
      <c r="M30" s="4">
        <v>-38.055440332294609</v>
      </c>
      <c r="N30" s="4">
        <v>-166.63556010575383</v>
      </c>
      <c r="O30" s="4">
        <v>51.125530680251003</v>
      </c>
      <c r="P30" s="4">
        <v>-17.630827008016617</v>
      </c>
      <c r="Q30" s="4">
        <v>5.6045692912761913</v>
      </c>
      <c r="R30" s="4">
        <v>10.177315165504861</v>
      </c>
      <c r="S30" s="4">
        <v>6.1160432471966431</v>
      </c>
      <c r="T30" s="4">
        <v>30.550442787235536</v>
      </c>
      <c r="U30" s="4">
        <v>2.2499591704881623</v>
      </c>
      <c r="V30" s="4">
        <v>8.0513975657270187</v>
      </c>
      <c r="W30" s="4">
        <v>1.2708807672263431</v>
      </c>
      <c r="X30" s="4">
        <v>1.1042232430174139</v>
      </c>
      <c r="Y30" s="4">
        <v>0.13780903748525489</v>
      </c>
      <c r="Z30" s="4">
        <v>0.35313745511342914</v>
      </c>
      <c r="AA30" s="4">
        <v>3.4559110190563258E-3</v>
      </c>
      <c r="AB30" s="4">
        <v>1.315242047414673E-2</v>
      </c>
      <c r="AC30" s="4">
        <v>3.7692754760911766E-4</v>
      </c>
      <c r="AD30" s="4">
        <v>1.0832584775581117E-3</v>
      </c>
      <c r="AE30" s="4">
        <v>2.9590216417607369E-5</v>
      </c>
      <c r="AF30" s="4">
        <v>1.330810646498639E-5</v>
      </c>
      <c r="AG30" s="4"/>
      <c r="AH30" s="4"/>
      <c r="AI30" s="4"/>
      <c r="AJ30" s="4"/>
      <c r="AK30" s="4"/>
      <c r="AL30" s="4"/>
      <c r="AM30" s="4"/>
      <c r="AN30" s="4"/>
      <c r="AO30" s="4"/>
      <c r="AP30" s="4"/>
      <c r="AQ30" s="4"/>
      <c r="AR30" s="4"/>
      <c r="AS30" s="4"/>
      <c r="AT30" s="4"/>
      <c r="AU30" s="4"/>
      <c r="AV30" s="4"/>
      <c r="AW30" s="4"/>
      <c r="AX30" s="4"/>
      <c r="AY30" s="4"/>
      <c r="AZ30" s="4"/>
      <c r="BA30" s="4"/>
      <c r="BB30" s="4"/>
    </row>
    <row r="31" spans="1:54" x14ac:dyDescent="0.25">
      <c r="A31" s="4">
        <v>4390</v>
      </c>
      <c r="B31" s="4"/>
      <c r="C31" s="4">
        <v>-411.58405479058342</v>
      </c>
      <c r="D31" s="4">
        <v>-3.1098540455213839</v>
      </c>
      <c r="E31" s="4">
        <v>-0.58781644149264778</v>
      </c>
      <c r="F31" s="4">
        <v>-25.729986845776583</v>
      </c>
      <c r="G31" s="4">
        <v>-11.081699060000302</v>
      </c>
      <c r="H31" s="4">
        <v>-55.72761076118308</v>
      </c>
      <c r="I31" s="4">
        <v>-61.335837602937239</v>
      </c>
      <c r="J31" s="4">
        <v>-199.80939035773889</v>
      </c>
      <c r="K31" s="4">
        <v>-39.229817946549858</v>
      </c>
      <c r="L31" s="4">
        <v>-334.97442779942861</v>
      </c>
      <c r="M31" s="4">
        <v>-37.69113672071007</v>
      </c>
      <c r="N31" s="4">
        <v>-170.60912615120424</v>
      </c>
      <c r="O31" s="4">
        <v>54.121099565572742</v>
      </c>
      <c r="P31" s="4">
        <v>-19.300952327514267</v>
      </c>
      <c r="Q31" s="4">
        <v>6.3461391043304189</v>
      </c>
      <c r="R31" s="4">
        <v>11.921937819845887</v>
      </c>
      <c r="S31" s="4">
        <v>7.4133831256878873</v>
      </c>
      <c r="T31" s="4">
        <v>38.325044577399431</v>
      </c>
      <c r="U31" s="4">
        <v>2.9217770839367216</v>
      </c>
      <c r="V31" s="4">
        <v>10.825302964625509</v>
      </c>
      <c r="W31" s="4">
        <v>1.7695387173230448</v>
      </c>
      <c r="X31" s="4">
        <v>1.5925381005390848</v>
      </c>
      <c r="Y31" s="4">
        <v>0.20591151982584627</v>
      </c>
      <c r="Z31" s="4">
        <v>0.54677690279134783</v>
      </c>
      <c r="AA31" s="4">
        <v>5.5460903562251874E-3</v>
      </c>
      <c r="AB31" s="4">
        <v>2.1881839421864661E-2</v>
      </c>
      <c r="AC31" s="4">
        <v>6.5025949472497283E-4</v>
      </c>
      <c r="AD31" s="4">
        <v>1.9382497508999862E-3</v>
      </c>
      <c r="AE31" s="4">
        <v>5.492549316758215E-5</v>
      </c>
      <c r="AF31" s="4">
        <v>2.5632495715783724E-5</v>
      </c>
      <c r="AG31" s="4"/>
      <c r="AH31" s="4"/>
      <c r="AI31" s="4"/>
      <c r="AJ31" s="4"/>
      <c r="AK31" s="4"/>
      <c r="AL31" s="4"/>
      <c r="AM31" s="4"/>
      <c r="AN31" s="4"/>
      <c r="AO31" s="4"/>
      <c r="AP31" s="4"/>
      <c r="AQ31" s="4"/>
      <c r="AR31" s="4"/>
      <c r="AS31" s="4"/>
      <c r="AT31" s="4"/>
      <c r="AU31" s="4"/>
      <c r="AV31" s="4"/>
      <c r="AW31" s="4"/>
      <c r="AX31" s="4"/>
      <c r="AY31" s="4"/>
      <c r="AZ31" s="4"/>
      <c r="BA31" s="4"/>
      <c r="BB31" s="4"/>
    </row>
    <row r="32" spans="1:54" x14ac:dyDescent="0.25">
      <c r="A32" s="4">
        <v>4380</v>
      </c>
      <c r="B32" s="4"/>
      <c r="C32" s="4">
        <v>-366.13224699607213</v>
      </c>
      <c r="D32" s="4">
        <v>-2.2714155241357203</v>
      </c>
      <c r="E32" s="4">
        <v>-0.44314150776266154</v>
      </c>
      <c r="F32" s="4">
        <v>-20.024370812006104</v>
      </c>
      <c r="G32" s="4">
        <v>-8.9047060168122325</v>
      </c>
      <c r="H32" s="4">
        <v>-46.243820675609264</v>
      </c>
      <c r="I32" s="4">
        <v>-52.570802437315265</v>
      </c>
      <c r="J32" s="4">
        <v>-176.91760222851363</v>
      </c>
      <c r="K32" s="4">
        <v>-35.890125529598123</v>
      </c>
      <c r="L32" s="4">
        <v>-316.70392461450666</v>
      </c>
      <c r="M32" s="4">
        <v>-36.833636852757394</v>
      </c>
      <c r="N32" s="4">
        <v>-172.36638797517674</v>
      </c>
      <c r="O32" s="4">
        <v>56.538488960939624</v>
      </c>
      <c r="P32" s="4">
        <v>-20.852918164141578</v>
      </c>
      <c r="Q32" s="4">
        <v>7.0923868194193149</v>
      </c>
      <c r="R32" s="4">
        <v>13.785089563877397</v>
      </c>
      <c r="S32" s="4">
        <v>8.8704423710546969</v>
      </c>
      <c r="T32" s="4">
        <v>47.464049445632902</v>
      </c>
      <c r="U32" s="4">
        <v>3.7460252773520879</v>
      </c>
      <c r="V32" s="4">
        <v>14.371247153501969</v>
      </c>
      <c r="W32" s="4">
        <v>2.4329633970452695</v>
      </c>
      <c r="X32" s="4">
        <v>2.2681818082496568</v>
      </c>
      <c r="Y32" s="4">
        <v>0.30386013381317828</v>
      </c>
      <c r="Z32" s="4">
        <v>0.83618416436705134</v>
      </c>
      <c r="AA32" s="4">
        <v>8.7916868383886189E-3</v>
      </c>
      <c r="AB32" s="4">
        <v>3.5963218175634484E-2</v>
      </c>
      <c r="AC32" s="4">
        <v>1.108276243527921E-3</v>
      </c>
      <c r="AD32" s="4">
        <v>3.4265416795591246E-3</v>
      </c>
      <c r="AE32" s="4">
        <v>1.0074066194561508E-4</v>
      </c>
      <c r="AF32" s="4">
        <v>4.8787339018258588E-5</v>
      </c>
      <c r="AG32" s="4"/>
      <c r="AH32" s="4"/>
      <c r="AI32" s="4"/>
      <c r="AJ32" s="4"/>
      <c r="AK32" s="4"/>
      <c r="AL32" s="4"/>
      <c r="AM32" s="4"/>
      <c r="AN32" s="4"/>
      <c r="AO32" s="4"/>
      <c r="AP32" s="4"/>
      <c r="AQ32" s="4"/>
      <c r="AR32" s="4"/>
      <c r="AS32" s="4"/>
      <c r="AT32" s="4"/>
      <c r="AU32" s="4"/>
      <c r="AV32" s="4"/>
      <c r="AW32" s="4"/>
      <c r="AX32" s="4"/>
      <c r="AY32" s="4"/>
      <c r="AZ32" s="4"/>
      <c r="BA32" s="4"/>
      <c r="BB32" s="4"/>
    </row>
    <row r="33" spans="1:54" x14ac:dyDescent="0.25">
      <c r="A33" s="4">
        <v>4370</v>
      </c>
      <c r="B33" s="4"/>
      <c r="C33" s="4">
        <v>-318.17532309034573</v>
      </c>
      <c r="D33" s="4">
        <v>-1.6357131562853156</v>
      </c>
      <c r="E33" s="4">
        <v>-0.3294037372390633</v>
      </c>
      <c r="F33" s="4">
        <v>-15.367215039329116</v>
      </c>
      <c r="G33" s="4">
        <v>-7.0563733726780651</v>
      </c>
      <c r="H33" s="4">
        <v>-37.845797132693534</v>
      </c>
      <c r="I33" s="4">
        <v>-44.441395048629857</v>
      </c>
      <c r="J33" s="4">
        <v>-154.51521537655006</v>
      </c>
      <c r="K33" s="4">
        <v>-32.390017604287472</v>
      </c>
      <c r="L33" s="4">
        <v>-295.39654111203009</v>
      </c>
      <c r="M33" s="4">
        <v>-35.513458539388367</v>
      </c>
      <c r="N33" s="4">
        <v>-171.82205959871717</v>
      </c>
      <c r="O33" s="4">
        <v>58.28153827157869</v>
      </c>
      <c r="P33" s="4">
        <v>-22.232973879889119</v>
      </c>
      <c r="Q33" s="4">
        <v>7.8226058190332655</v>
      </c>
      <c r="R33" s="4">
        <v>15.731941420111193</v>
      </c>
      <c r="S33" s="4">
        <v>10.476544950600125</v>
      </c>
      <c r="T33" s="4">
        <v>58.026323406895926</v>
      </c>
      <c r="U33" s="4">
        <v>4.7414028522174361</v>
      </c>
      <c r="V33" s="4">
        <v>18.836316089220766</v>
      </c>
      <c r="W33" s="4">
        <v>3.3028814414375849</v>
      </c>
      <c r="X33" s="4">
        <v>3.1899420848858231</v>
      </c>
      <c r="Y33" s="4">
        <v>0.44281153023046077</v>
      </c>
      <c r="Z33" s="4">
        <v>1.2629357519911657</v>
      </c>
      <c r="AA33" s="4">
        <v>1.3765140946104407E-2</v>
      </c>
      <c r="AB33" s="4">
        <v>5.8383794012364341E-2</v>
      </c>
      <c r="AC33" s="4">
        <v>1.8659692151103472E-3</v>
      </c>
      <c r="AD33" s="4">
        <v>5.9845808426364291E-3</v>
      </c>
      <c r="AE33" s="4">
        <v>1.8255915153272812E-4</v>
      </c>
      <c r="AF33" s="4">
        <v>9.1754655524009765E-5</v>
      </c>
      <c r="AG33" s="4"/>
      <c r="AH33" s="4"/>
      <c r="AI33" s="4"/>
      <c r="AJ33" s="4"/>
      <c r="AK33" s="4"/>
      <c r="AL33" s="4"/>
      <c r="AM33" s="4"/>
      <c r="AN33" s="4"/>
      <c r="AO33" s="4"/>
      <c r="AP33" s="4"/>
      <c r="AQ33" s="4"/>
      <c r="AR33" s="4"/>
      <c r="AS33" s="4"/>
      <c r="AT33" s="4"/>
      <c r="AU33" s="4"/>
      <c r="AV33" s="4"/>
      <c r="AW33" s="4"/>
      <c r="AX33" s="4"/>
      <c r="AY33" s="4"/>
      <c r="AZ33" s="4"/>
      <c r="BA33" s="4"/>
      <c r="BB33" s="4"/>
    </row>
    <row r="34" spans="1:54" x14ac:dyDescent="0.25">
      <c r="A34" s="4">
        <v>4360</v>
      </c>
      <c r="B34" s="4"/>
      <c r="C34" s="4">
        <v>-268.23157540665488</v>
      </c>
      <c r="D34" s="4">
        <v>-1.1612617906414209</v>
      </c>
      <c r="E34" s="4">
        <v>-0.24141186157053918</v>
      </c>
      <c r="F34" s="4">
        <v>-11.628057751632854</v>
      </c>
      <c r="G34" s="4">
        <v>-5.5138017111979973</v>
      </c>
      <c r="H34" s="4">
        <v>-30.543676307015023</v>
      </c>
      <c r="I34" s="4">
        <v>-37.051237508820648</v>
      </c>
      <c r="J34" s="4">
        <v>-133.09932383872405</v>
      </c>
      <c r="K34" s="4">
        <v>-28.832639075919346</v>
      </c>
      <c r="L34" s="4">
        <v>-271.78605365487601</v>
      </c>
      <c r="M34" s="4">
        <v>-33.778792347557989</v>
      </c>
      <c r="N34" s="4">
        <v>-168.98229789317003</v>
      </c>
      <c r="O34" s="4">
        <v>59.277123819714383</v>
      </c>
      <c r="P34" s="4">
        <v>-23.390049119031197</v>
      </c>
      <c r="Q34" s="4">
        <v>8.5142633392703519</v>
      </c>
      <c r="R34" s="4">
        <v>17.718444214744512</v>
      </c>
      <c r="S34" s="4">
        <v>12.212246296784809</v>
      </c>
      <c r="T34" s="4">
        <v>70.020358195141867</v>
      </c>
      <c r="U34" s="4">
        <v>5.9240205347678625</v>
      </c>
      <c r="V34" s="4">
        <v>24.372819358920658</v>
      </c>
      <c r="W34" s="4">
        <v>4.4268380439193855</v>
      </c>
      <c r="X34" s="4">
        <v>4.4296165526283904</v>
      </c>
      <c r="Y34" s="4">
        <v>0.63720311396235185</v>
      </c>
      <c r="Z34" s="4">
        <v>1.8836921908994346</v>
      </c>
      <c r="AA34" s="4">
        <v>2.1285030725771266E-2</v>
      </c>
      <c r="AB34" s="4">
        <v>9.361539453125943E-2</v>
      </c>
      <c r="AC34" s="4">
        <v>3.103261446959253E-3</v>
      </c>
      <c r="AD34" s="4">
        <v>1.0325364058240446E-2</v>
      </c>
      <c r="AE34" s="4">
        <v>3.2683837056040813E-4</v>
      </c>
      <c r="AF34" s="4">
        <v>1.7049696069672808E-4</v>
      </c>
      <c r="AG34" s="4"/>
      <c r="AH34" s="4"/>
      <c r="AI34" s="4"/>
      <c r="AJ34" s="4"/>
      <c r="AK34" s="4"/>
      <c r="AL34" s="4"/>
      <c r="AM34" s="4"/>
      <c r="AN34" s="4"/>
      <c r="AO34" s="4"/>
      <c r="AP34" s="4"/>
      <c r="AQ34" s="4"/>
      <c r="AR34" s="4"/>
      <c r="AS34" s="4"/>
      <c r="AT34" s="4"/>
      <c r="AU34" s="4"/>
      <c r="AV34" s="4"/>
      <c r="AW34" s="4"/>
      <c r="AX34" s="4"/>
      <c r="AY34" s="4"/>
      <c r="AZ34" s="4"/>
      <c r="BA34" s="4"/>
      <c r="BB34" s="4"/>
    </row>
    <row r="35" spans="1:54" x14ac:dyDescent="0.25">
      <c r="A35" s="4">
        <v>4350</v>
      </c>
      <c r="B35" s="4"/>
      <c r="C35" s="4">
        <v>-216.80896538405267</v>
      </c>
      <c r="D35" s="4">
        <v>-0.81268766795472935</v>
      </c>
      <c r="E35" s="4">
        <v>-0.17441785258710865</v>
      </c>
      <c r="F35" s="4">
        <v>-8.6746770381157816</v>
      </c>
      <c r="G35" s="4">
        <v>-4.2480234747926247</v>
      </c>
      <c r="H35" s="4">
        <v>-24.30655208813501</v>
      </c>
      <c r="I35" s="4">
        <v>-30.461308385339525</v>
      </c>
      <c r="J35" s="4">
        <v>-113.06907254458908</v>
      </c>
      <c r="K35" s="4">
        <v>-25.313590712470759</v>
      </c>
      <c r="L35" s="4">
        <v>-246.64824171572491</v>
      </c>
      <c r="M35" s="4">
        <v>-31.692572728142395</v>
      </c>
      <c r="N35" s="4">
        <v>-163.94533001588289</v>
      </c>
      <c r="O35" s="4">
        <v>59.480183352577129</v>
      </c>
      <c r="P35" s="4">
        <v>-24.27881415506809</v>
      </c>
      <c r="Q35" s="4">
        <v>9.1440663326978839</v>
      </c>
      <c r="R35" s="4">
        <v>19.692443205127777</v>
      </c>
      <c r="S35" s="4">
        <v>14.048762531032601</v>
      </c>
      <c r="T35" s="4">
        <v>83.391759736283532</v>
      </c>
      <c r="U35" s="4">
        <v>7.3056773349978394</v>
      </c>
      <c r="V35" s="4">
        <v>31.130400325271061</v>
      </c>
      <c r="W35" s="4">
        <v>5.8573143091892614</v>
      </c>
      <c r="X35" s="4">
        <v>6.0728008236041688</v>
      </c>
      <c r="Y35" s="4">
        <v>0.90534052834639722</v>
      </c>
      <c r="Z35" s="4">
        <v>2.7742747716663572</v>
      </c>
      <c r="AA35" s="4">
        <v>3.2502347242420529E-2</v>
      </c>
      <c r="AB35" s="4">
        <v>0.14824677251111792</v>
      </c>
      <c r="AC35" s="4">
        <v>5.097434924342825E-3</v>
      </c>
      <c r="AD35" s="4">
        <v>1.7596775094222118E-2</v>
      </c>
      <c r="AE35" s="4">
        <v>5.7803669828809421E-4</v>
      </c>
      <c r="AF35" s="4">
        <v>3.1299343320084159E-4</v>
      </c>
      <c r="AG35" s="4"/>
      <c r="AH35" s="4"/>
      <c r="AI35" s="4"/>
      <c r="AJ35" s="4"/>
      <c r="AK35" s="4"/>
      <c r="AL35" s="4"/>
      <c r="AM35" s="4"/>
      <c r="AN35" s="4"/>
      <c r="AO35" s="4"/>
      <c r="AP35" s="4"/>
      <c r="AQ35" s="4"/>
      <c r="AR35" s="4"/>
      <c r="AS35" s="4"/>
      <c r="AT35" s="4"/>
      <c r="AU35" s="4"/>
      <c r="AV35" s="4"/>
      <c r="AW35" s="4"/>
      <c r="AX35" s="4"/>
      <c r="AY35" s="4"/>
      <c r="AZ35" s="4"/>
      <c r="BA35" s="4"/>
      <c r="BB35" s="4"/>
    </row>
    <row r="36" spans="1:54" x14ac:dyDescent="0.25">
      <c r="A36" s="4">
        <v>4340</v>
      </c>
      <c r="B36" s="4"/>
      <c r="C36" s="4">
        <v>-164.39144776760594</v>
      </c>
      <c r="D36" s="4">
        <v>-0.56059020533843107</v>
      </c>
      <c r="E36" s="4">
        <v>-0.12421768125867916</v>
      </c>
      <c r="F36" s="4">
        <v>-6.3795731981608608</v>
      </c>
      <c r="G36" s="4">
        <v>-3.2266142283893737</v>
      </c>
      <c r="H36" s="4">
        <v>-19.071381486627594</v>
      </c>
      <c r="I36" s="4">
        <v>-24.693558928995941</v>
      </c>
      <c r="J36" s="4">
        <v>-94.718288181481128</v>
      </c>
      <c r="K36" s="4">
        <v>-21.916846037827327</v>
      </c>
      <c r="L36" s="4">
        <v>-220.75824032035078</v>
      </c>
      <c r="M36" s="4">
        <v>-29.328658698051012</v>
      </c>
      <c r="N36" s="4">
        <v>-156.89593520392873</v>
      </c>
      <c r="O36" s="4">
        <v>58.877036471729625</v>
      </c>
      <c r="P36" s="4">
        <v>-24.862576553213128</v>
      </c>
      <c r="Q36" s="4">
        <v>9.6892025715332402</v>
      </c>
      <c r="R36" s="4">
        <v>21.595548863803135</v>
      </c>
      <c r="S36" s="4">
        <v>15.947979449506773</v>
      </c>
      <c r="T36" s="4">
        <v>98.012547993635522</v>
      </c>
      <c r="U36" s="4">
        <v>8.8919908302353132</v>
      </c>
      <c r="V36" s="4">
        <v>39.245809553097764</v>
      </c>
      <c r="W36" s="4">
        <v>7.650121774121847</v>
      </c>
      <c r="X36" s="4">
        <v>8.2188745010885409</v>
      </c>
      <c r="Y36" s="4">
        <v>1.2699368983345662</v>
      </c>
      <c r="Z36" s="4">
        <v>4.0342334904326389</v>
      </c>
      <c r="AA36" s="4">
        <v>4.9007588001966043E-2</v>
      </c>
      <c r="AB36" s="4">
        <v>0.23182898749843092</v>
      </c>
      <c r="AC36" s="4">
        <v>8.2692498401206894E-3</v>
      </c>
      <c r="AD36" s="4">
        <v>2.961956688884676E-2</v>
      </c>
      <c r="AE36" s="4">
        <v>1.0097938908709386E-3</v>
      </c>
      <c r="AF36" s="4">
        <v>5.6760477181775682E-4</v>
      </c>
      <c r="AG36" s="4"/>
      <c r="AH36" s="4"/>
      <c r="AI36" s="4"/>
      <c r="AJ36" s="4"/>
      <c r="AK36" s="4"/>
      <c r="AL36" s="4"/>
      <c r="AM36" s="4"/>
      <c r="AN36" s="4"/>
      <c r="AO36" s="4"/>
      <c r="AP36" s="4"/>
      <c r="AQ36" s="4"/>
      <c r="AR36" s="4"/>
      <c r="AS36" s="4"/>
      <c r="AT36" s="4"/>
      <c r="AU36" s="4"/>
      <c r="AV36" s="4"/>
      <c r="AW36" s="4"/>
      <c r="AX36" s="4"/>
      <c r="AY36" s="4"/>
      <c r="AZ36" s="4"/>
      <c r="BA36" s="4"/>
      <c r="BB36" s="4"/>
    </row>
    <row r="37" spans="1:54" x14ac:dyDescent="0.25">
      <c r="A37" s="4">
        <v>4330</v>
      </c>
      <c r="B37" s="4"/>
      <c r="C37" s="4">
        <v>-111.42798384212141</v>
      </c>
      <c r="D37" s="4">
        <v>-0.38111237286901173</v>
      </c>
      <c r="E37" s="4">
        <v>-8.7195406177775034E-2</v>
      </c>
      <c r="F37" s="4">
        <v>-4.6246599981791379</v>
      </c>
      <c r="G37" s="4">
        <v>-2.4159581174208289</v>
      </c>
      <c r="H37" s="4">
        <v>-14.752162641460439</v>
      </c>
      <c r="I37" s="4">
        <v>-19.736323941427884</v>
      </c>
      <c r="J37" s="4">
        <v>-78.235557111614938</v>
      </c>
      <c r="K37" s="4">
        <v>-18.711808079938102</v>
      </c>
      <c r="L37" s="4">
        <v>-194.85092407412262</v>
      </c>
      <c r="M37" s="4">
        <v>-26.767449564886618</v>
      </c>
      <c r="N37" s="4">
        <v>-148.09419931128505</v>
      </c>
      <c r="O37" s="4">
        <v>57.486665658693248</v>
      </c>
      <c r="P37" s="4">
        <v>-25.115761124862022</v>
      </c>
      <c r="Q37" s="4">
        <v>10.128670929441057</v>
      </c>
      <c r="R37" s="4">
        <v>23.365714040822994</v>
      </c>
      <c r="S37" s="4">
        <v>17.863149716337862</v>
      </c>
      <c r="T37" s="4">
        <v>113.67365062963596</v>
      </c>
      <c r="U37" s="4">
        <v>10.680513406152601</v>
      </c>
      <c r="V37" s="4">
        <v>48.830560330148444</v>
      </c>
      <c r="W37" s="4">
        <v>9.8619644345932347</v>
      </c>
      <c r="X37" s="4">
        <v>10.979854211115125</v>
      </c>
      <c r="Y37" s="4">
        <v>1.7585272320212504</v>
      </c>
      <c r="Z37" s="4">
        <v>5.7916918435034832</v>
      </c>
      <c r="AA37" s="4">
        <v>7.2959372755374119E-2</v>
      </c>
      <c r="AB37" s="4">
        <v>0.35797765281143135</v>
      </c>
      <c r="AC37" s="4">
        <v>1.3247165897891966E-2</v>
      </c>
      <c r="AD37" s="4">
        <v>4.9238378594831586E-2</v>
      </c>
      <c r="AE37" s="4">
        <v>1.7423150898798962E-3</v>
      </c>
      <c r="AF37" s="4">
        <v>1.016742386967331E-3</v>
      </c>
      <c r="AG37" s="4"/>
      <c r="AH37" s="4"/>
      <c r="AI37" s="4"/>
      <c r="AJ37" s="4"/>
      <c r="AK37" s="4"/>
      <c r="AL37" s="4"/>
      <c r="AM37" s="4"/>
      <c r="AN37" s="4"/>
      <c r="AO37" s="4"/>
      <c r="AP37" s="4"/>
      <c r="AQ37" s="4"/>
      <c r="AR37" s="4"/>
      <c r="AS37" s="4"/>
      <c r="AT37" s="4"/>
      <c r="AU37" s="4"/>
      <c r="AV37" s="4"/>
      <c r="AW37" s="4"/>
      <c r="AX37" s="4"/>
      <c r="AY37" s="4"/>
      <c r="AZ37" s="4"/>
      <c r="BA37" s="4"/>
      <c r="BB37" s="4"/>
    </row>
    <row r="38" spans="1:54" x14ac:dyDescent="0.25">
      <c r="A38" s="4">
        <v>4320</v>
      </c>
      <c r="B38" s="4"/>
      <c r="C38" s="4">
        <v>-58.324649677605564</v>
      </c>
      <c r="D38" s="4">
        <v>-0.25533088128674397</v>
      </c>
      <c r="E38" s="4">
        <v>-6.0322410775908199E-2</v>
      </c>
      <c r="F38" s="4">
        <v>-3.3042675885102177</v>
      </c>
      <c r="G38" s="4">
        <v>-1.7830826318855957</v>
      </c>
      <c r="H38" s="4">
        <v>-11.248681377804854</v>
      </c>
      <c r="I38" s="4">
        <v>-15.550848186405137</v>
      </c>
      <c r="J38" s="4">
        <v>-63.710760966374153</v>
      </c>
      <c r="K38" s="4">
        <v>-15.751609816114097</v>
      </c>
      <c r="L38" s="4">
        <v>-169.58713943563151</v>
      </c>
      <c r="M38" s="4">
        <v>-24.091302280198921</v>
      </c>
      <c r="N38" s="4">
        <v>-137.85949402575764</v>
      </c>
      <c r="O38" s="4">
        <v>55.359804750538288</v>
      </c>
      <c r="P38" s="4">
        <v>-25.025742892581651</v>
      </c>
      <c r="Q38" s="4">
        <v>10.44459680810375</v>
      </c>
      <c r="R38" s="4">
        <v>24.940389283174731</v>
      </c>
      <c r="S38" s="4">
        <v>19.740335868606305</v>
      </c>
      <c r="T38" s="4">
        <v>130.08194955647903</v>
      </c>
      <c r="U38" s="4">
        <v>12.659003894912679</v>
      </c>
      <c r="V38" s="4">
        <v>59.95698590472653</v>
      </c>
      <c r="W38" s="4">
        <v>12.547112259330634</v>
      </c>
      <c r="X38" s="4">
        <v>14.477776879740096</v>
      </c>
      <c r="Y38" s="4">
        <v>2.4036607105856138</v>
      </c>
      <c r="Z38" s="4">
        <v>8.2081110121100256</v>
      </c>
      <c r="AA38" s="4">
        <v>0.10723305625199572</v>
      </c>
      <c r="AB38" s="4">
        <v>0.54577120392842104</v>
      </c>
      <c r="AC38" s="4">
        <v>2.0954788529532385E-2</v>
      </c>
      <c r="AD38" s="4">
        <v>8.082940472105539E-2</v>
      </c>
      <c r="AE38" s="4">
        <v>2.9689209849114765E-3</v>
      </c>
      <c r="AF38" s="4">
        <v>1.7988353917322553E-3</v>
      </c>
      <c r="AG38" s="4"/>
      <c r="AH38" s="4"/>
      <c r="AI38" s="4"/>
      <c r="AJ38" s="4"/>
      <c r="AK38" s="4"/>
      <c r="AL38" s="4"/>
      <c r="AM38" s="4"/>
      <c r="AN38" s="4"/>
      <c r="AO38" s="4"/>
      <c r="AP38" s="4"/>
      <c r="AQ38" s="4"/>
      <c r="AR38" s="4"/>
      <c r="AS38" s="4"/>
      <c r="AT38" s="4"/>
      <c r="AU38" s="4"/>
      <c r="AV38" s="4"/>
      <c r="AW38" s="4"/>
      <c r="AX38" s="4"/>
      <c r="AY38" s="4"/>
      <c r="AZ38" s="4"/>
      <c r="BA38" s="4"/>
      <c r="BB38" s="4"/>
    </row>
    <row r="39" spans="1:54" x14ac:dyDescent="0.25">
      <c r="A39" s="4">
        <v>4310</v>
      </c>
      <c r="B39" s="4"/>
      <c r="C39" s="4">
        <v>-5.439938645361579</v>
      </c>
      <c r="D39" s="4">
        <v>-0.16855943857074884</v>
      </c>
      <c r="E39" s="4">
        <v>-4.112401456524363E-2</v>
      </c>
      <c r="F39" s="4">
        <v>-2.3266701088824933</v>
      </c>
      <c r="G39" s="4">
        <v>-1.2970310802956371</v>
      </c>
      <c r="H39" s="4">
        <v>-8.4542913136513462</v>
      </c>
      <c r="I39" s="4">
        <v>-12.078265542557928</v>
      </c>
      <c r="J39" s="4">
        <v>-51.146658835367369</v>
      </c>
      <c r="K39" s="4">
        <v>-13.072642149270678</v>
      </c>
      <c r="L39" s="4">
        <v>-145.52786451772641</v>
      </c>
      <c r="M39" s="4">
        <v>-21.380118455388853</v>
      </c>
      <c r="N39" s="4">
        <v>-126.55106354718491</v>
      </c>
      <c r="O39" s="4">
        <v>52.575886108022168</v>
      </c>
      <c r="P39" s="4">
        <v>-24.593852471274538</v>
      </c>
      <c r="Q39" s="4">
        <v>10.623420583584595</v>
      </c>
      <c r="R39" s="4">
        <v>26.260053350801787</v>
      </c>
      <c r="S39" s="4">
        <v>21.520589958547546</v>
      </c>
      <c r="T39" s="4">
        <v>146.86304801227485</v>
      </c>
      <c r="U39" s="4">
        <v>14.804050245910666</v>
      </c>
      <c r="V39" s="4">
        <v>72.64354704202033</v>
      </c>
      <c r="W39" s="4">
        <v>15.753210075845825</v>
      </c>
      <c r="X39" s="4">
        <v>18.840312120685805</v>
      </c>
      <c r="Y39" s="4">
        <v>3.2427564818195487</v>
      </c>
      <c r="Z39" s="4">
        <v>11.482448806488298</v>
      </c>
      <c r="AA39" s="4">
        <v>0.15558453882397735</v>
      </c>
      <c r="AB39" s="4">
        <v>0.82147120425344866</v>
      </c>
      <c r="AC39" s="4">
        <v>3.2727113894009903E-2</v>
      </c>
      <c r="AD39" s="4">
        <v>0.13101965748897454</v>
      </c>
      <c r="AE39" s="4">
        <v>4.9958521967915564E-3</v>
      </c>
      <c r="AF39" s="4">
        <v>3.1430313543620173E-3</v>
      </c>
      <c r="AG39" s="4"/>
      <c r="AH39" s="4"/>
      <c r="AI39" s="4"/>
      <c r="AJ39" s="4"/>
      <c r="AK39" s="4"/>
      <c r="AL39" s="4"/>
      <c r="AM39" s="4"/>
      <c r="AN39" s="4"/>
      <c r="AO39" s="4"/>
      <c r="AP39" s="4"/>
      <c r="AQ39" s="4"/>
      <c r="AR39" s="4"/>
      <c r="AS39" s="4"/>
      <c r="AT39" s="4"/>
      <c r="AU39" s="4"/>
      <c r="AV39" s="4"/>
      <c r="AW39" s="4"/>
      <c r="AX39" s="4"/>
      <c r="AY39" s="4"/>
      <c r="AZ39" s="4"/>
      <c r="BA39" s="4"/>
      <c r="BB39" s="4"/>
    </row>
    <row r="40" spans="1:54" x14ac:dyDescent="0.25">
      <c r="A40" s="4">
        <v>4300</v>
      </c>
      <c r="B40" s="4"/>
      <c r="C40" s="4">
        <v>46.916929658309371</v>
      </c>
      <c r="D40" s="4">
        <v>-0.10963735784982567</v>
      </c>
      <c r="E40" s="4">
        <v>-2.7624887353550023E-2</v>
      </c>
      <c r="F40" s="4">
        <v>-1.6144151598747147</v>
      </c>
      <c r="G40" s="4">
        <v>-0.92978580269735089</v>
      </c>
      <c r="H40" s="4">
        <v>-6.2623796516044807</v>
      </c>
      <c r="I40" s="4">
        <v>-9.2464455265851537</v>
      </c>
      <c r="J40" s="4">
        <v>-40.473879816334232</v>
      </c>
      <c r="K40" s="4">
        <v>-10.695187971520577</v>
      </c>
      <c r="L40" s="4">
        <v>-123.11748516993703</v>
      </c>
      <c r="M40" s="4">
        <v>-18.707432241979159</v>
      </c>
      <c r="N40" s="4">
        <v>-114.54687892688456</v>
      </c>
      <c r="O40" s="4">
        <v>49.238100071785027</v>
      </c>
      <c r="P40" s="4">
        <v>-23.835445423314724</v>
      </c>
      <c r="Q40" s="4">
        <v>10.656850739048631</v>
      </c>
      <c r="R40" s="4">
        <v>27.271855090860964</v>
      </c>
      <c r="S40" s="4">
        <v>23.142783930273119</v>
      </c>
      <c r="T40" s="4">
        <v>163.5705554778703</v>
      </c>
      <c r="U40" s="4">
        <v>17.080247708179169</v>
      </c>
      <c r="V40" s="4">
        <v>86.840558085236751</v>
      </c>
      <c r="W40" s="4">
        <v>19.516349659717822</v>
      </c>
      <c r="X40" s="4">
        <v>24.194391200990946</v>
      </c>
      <c r="Y40" s="4">
        <v>4.3174991758791963</v>
      </c>
      <c r="Z40" s="4">
        <v>15.854011018136108</v>
      </c>
      <c r="AA40" s="4">
        <v>0.22282008766247013</v>
      </c>
      <c r="AB40" s="4">
        <v>1.220565971598971</v>
      </c>
      <c r="AC40" s="4">
        <v>5.0461085144057637E-2</v>
      </c>
      <c r="AD40" s="4">
        <v>0.20968409469551982</v>
      </c>
      <c r="AE40" s="4">
        <v>8.3008048792547594E-3</v>
      </c>
      <c r="AF40" s="4">
        <v>5.4230505957602784E-3</v>
      </c>
      <c r="AG40" s="4"/>
      <c r="AH40" s="4"/>
      <c r="AI40" s="4"/>
      <c r="AJ40" s="4"/>
      <c r="AK40" s="4"/>
      <c r="AL40" s="4"/>
      <c r="AM40" s="4"/>
      <c r="AN40" s="4"/>
      <c r="AO40" s="4"/>
      <c r="AP40" s="4"/>
      <c r="AQ40" s="4"/>
      <c r="AR40" s="4"/>
      <c r="AS40" s="4"/>
      <c r="AT40" s="4"/>
      <c r="AU40" s="4"/>
      <c r="AV40" s="4"/>
      <c r="AW40" s="4"/>
      <c r="AX40" s="4"/>
      <c r="AY40" s="4"/>
      <c r="AZ40" s="4"/>
      <c r="BA40" s="4"/>
      <c r="BB40" s="4"/>
    </row>
    <row r="41" spans="1:54" x14ac:dyDescent="0.25">
      <c r="A41" s="4">
        <v>4290</v>
      </c>
      <c r="B41" s="4"/>
      <c r="C41" s="4">
        <v>98.485111151411303</v>
      </c>
      <c r="D41" s="4">
        <v>-7.0254758558480429E-2</v>
      </c>
      <c r="E41" s="4">
        <v>-1.8283099467917788E-2</v>
      </c>
      <c r="F41" s="4">
        <v>-1.1037550665887526</v>
      </c>
      <c r="G41" s="4">
        <v>-0.65678837084838337</v>
      </c>
      <c r="H41" s="4">
        <v>-4.5713526400873601</v>
      </c>
      <c r="I41" s="4">
        <v>-6.9762416907500837</v>
      </c>
      <c r="J41" s="4">
        <v>-31.567658194318863</v>
      </c>
      <c r="K41" s="4">
        <v>-8.6249604813297971</v>
      </c>
      <c r="L41" s="4">
        <v>-102.67644690526859</v>
      </c>
      <c r="M41" s="4">
        <v>-16.137261440955399</v>
      </c>
      <c r="N41" s="4">
        <v>-102.22251431799496</v>
      </c>
      <c r="O41" s="4">
        <v>45.466996068461583</v>
      </c>
      <c r="P41" s="4">
        <v>-22.779013929501701</v>
      </c>
      <c r="Q41" s="4">
        <v>10.542489549727444</v>
      </c>
      <c r="R41" s="4">
        <v>27.933065340757416</v>
      </c>
      <c r="S41" s="4">
        <v>24.546926625772944</v>
      </c>
      <c r="T41" s="4">
        <v>179.70215209666591</v>
      </c>
      <c r="U41" s="4">
        <v>19.440123046618137</v>
      </c>
      <c r="V41" s="4">
        <v>102.41776249879089</v>
      </c>
      <c r="W41" s="4">
        <v>23.855654037559646</v>
      </c>
      <c r="X41" s="4">
        <v>30.65778892219998</v>
      </c>
      <c r="Y41" s="4">
        <v>5.6726534224170555</v>
      </c>
      <c r="Z41" s="4">
        <v>21.60312654560807</v>
      </c>
      <c r="AA41" s="4">
        <v>0.31495756312065676</v>
      </c>
      <c r="AB41" s="4">
        <v>1.7900995240011761</v>
      </c>
      <c r="AC41" s="4">
        <v>7.6805073228731244E-2</v>
      </c>
      <c r="AD41" s="4">
        <v>0.33129633718849721</v>
      </c>
      <c r="AE41" s="4">
        <v>1.3617295255532747E-2</v>
      </c>
      <c r="AF41" s="4">
        <v>9.2392511192605359E-3</v>
      </c>
      <c r="AG41" s="4"/>
      <c r="AH41" s="4"/>
      <c r="AI41" s="4"/>
      <c r="AJ41" s="4"/>
      <c r="AK41" s="4"/>
      <c r="AL41" s="4"/>
      <c r="AM41" s="4"/>
      <c r="AN41" s="4"/>
      <c r="AO41" s="4"/>
      <c r="AP41" s="4"/>
      <c r="AQ41" s="4"/>
      <c r="AR41" s="4"/>
      <c r="AS41" s="4"/>
      <c r="AT41" s="4"/>
      <c r="AU41" s="4"/>
      <c r="AV41" s="4"/>
      <c r="AW41" s="4"/>
      <c r="AX41" s="4"/>
      <c r="AY41" s="4"/>
      <c r="AZ41" s="4"/>
      <c r="BA41" s="4"/>
      <c r="BB41" s="4"/>
    </row>
    <row r="42" spans="1:54" x14ac:dyDescent="0.25">
      <c r="A42" s="4">
        <v>4280</v>
      </c>
      <c r="B42" s="4"/>
      <c r="C42" s="4">
        <v>149.04920992706536</v>
      </c>
      <c r="D42" s="4">
        <v>-4.4346587154804218E-2</v>
      </c>
      <c r="E42" s="4">
        <v>-1.1920628343343813E-2</v>
      </c>
      <c r="F42" s="4">
        <v>-0.74346946692779048</v>
      </c>
      <c r="G42" s="4">
        <v>-0.45712402481042752</v>
      </c>
      <c r="H42" s="4">
        <v>-3.2881331085647951</v>
      </c>
      <c r="I42" s="4">
        <v>-5.1868181697713567</v>
      </c>
      <c r="J42" s="4">
        <v>-24.26477954945409</v>
      </c>
      <c r="K42" s="4">
        <v>-6.8552943062508076</v>
      </c>
      <c r="L42" s="4">
        <v>-84.402683938027707</v>
      </c>
      <c r="M42" s="4">
        <v>-13.721893430457367</v>
      </c>
      <c r="N42" s="4">
        <v>-89.931704977099784</v>
      </c>
      <c r="O42" s="4">
        <v>41.393182680567939</v>
      </c>
      <c r="P42" s="4">
        <v>-21.464410344714111</v>
      </c>
      <c r="Q42" s="4">
        <v>10.284066625705654</v>
      </c>
      <c r="R42" s="4">
        <v>28.214030740046013</v>
      </c>
      <c r="S42" s="4">
        <v>25.677733659459484</v>
      </c>
      <c r="T42" s="4">
        <v>194.72203408815525</v>
      </c>
      <c r="U42" s="4">
        <v>21.824955262170931</v>
      </c>
      <c r="V42" s="4">
        <v>119.15534281528348</v>
      </c>
      <c r="W42" s="4">
        <v>28.767749641287303</v>
      </c>
      <c r="X42" s="4">
        <v>38.328804213946484</v>
      </c>
      <c r="Y42" s="4">
        <v>7.3541968698336957</v>
      </c>
      <c r="Z42" s="4">
        <v>29.048653412006914</v>
      </c>
      <c r="AA42" s="4">
        <v>0.43935830207782051</v>
      </c>
      <c r="AB42" s="4">
        <v>2.5911918740056579</v>
      </c>
      <c r="AC42" s="4">
        <v>0.11538977326915256</v>
      </c>
      <c r="AD42" s="4">
        <v>0.51671339274351236</v>
      </c>
      <c r="AE42" s="4">
        <v>2.2053703249580319E-2</v>
      </c>
      <c r="AF42" s="4">
        <v>1.5541331898326129E-2</v>
      </c>
      <c r="AG42" s="4"/>
      <c r="AH42" s="4"/>
      <c r="AI42" s="4"/>
      <c r="AJ42" s="4"/>
      <c r="AK42" s="4"/>
      <c r="AL42" s="4"/>
      <c r="AM42" s="4"/>
      <c r="AN42" s="4"/>
      <c r="AO42" s="4"/>
      <c r="AP42" s="4"/>
      <c r="AQ42" s="4"/>
      <c r="AR42" s="4"/>
      <c r="AS42" s="4"/>
      <c r="AT42" s="4"/>
      <c r="AU42" s="4"/>
      <c r="AV42" s="4"/>
      <c r="AW42" s="4"/>
      <c r="AX42" s="4"/>
      <c r="AY42" s="4"/>
      <c r="AZ42" s="4"/>
      <c r="BA42" s="4"/>
      <c r="BB42" s="4"/>
    </row>
    <row r="43" spans="1:54" x14ac:dyDescent="0.25">
      <c r="A43" s="4">
        <v>4270</v>
      </c>
      <c r="B43" s="4"/>
      <c r="C43" s="4">
        <v>198.43492640111504</v>
      </c>
      <c r="D43" s="4">
        <v>-2.7571927466438485E-2</v>
      </c>
      <c r="E43" s="4">
        <v>-7.6560337880782923E-3</v>
      </c>
      <c r="F43" s="4">
        <v>-0.49333509442230783</v>
      </c>
      <c r="G43" s="4">
        <v>-0.313447163655239</v>
      </c>
      <c r="H43" s="4">
        <v>-2.3302858704854357</v>
      </c>
      <c r="I43" s="4">
        <v>-3.7998749133321885</v>
      </c>
      <c r="J43" s="4">
        <v>-18.379467213017399</v>
      </c>
      <c r="K43" s="4">
        <v>-5.3697204676794223</v>
      </c>
      <c r="L43" s="4">
        <v>-68.380529029633351</v>
      </c>
      <c r="M43" s="4">
        <v>-11.50067699521872</v>
      </c>
      <c r="N43" s="4">
        <v>-77.98998383003908</v>
      </c>
      <c r="O43" s="4">
        <v>37.149749379780729</v>
      </c>
      <c r="P43" s="4">
        <v>-19.940336768240527</v>
      </c>
      <c r="Q43" s="4">
        <v>9.8912514870864783</v>
      </c>
      <c r="R43" s="4">
        <v>28.100348945878128</v>
      </c>
      <c r="S43" s="4">
        <v>26.488165494731369</v>
      </c>
      <c r="T43" s="4">
        <v>208.08862364348295</v>
      </c>
      <c r="U43" s="4">
        <v>24.166577054562822</v>
      </c>
      <c r="V43" s="4">
        <v>136.73994585397605</v>
      </c>
      <c r="W43" s="4">
        <v>34.221617697008014</v>
      </c>
      <c r="X43" s="4">
        <v>47.274445952268273</v>
      </c>
      <c r="Y43" s="4">
        <v>9.4067123907002461</v>
      </c>
      <c r="Z43" s="4">
        <v>38.54127819520869</v>
      </c>
      <c r="AA43" s="4">
        <v>0.60480263352457175</v>
      </c>
      <c r="AB43" s="4">
        <v>3.7015836376910349</v>
      </c>
      <c r="AC43" s="4">
        <v>0.17109925546504592</v>
      </c>
      <c r="AD43" s="4">
        <v>0.79547074886239655</v>
      </c>
      <c r="AE43" s="4">
        <v>3.5257529224312918E-2</v>
      </c>
      <c r="AF43" s="4">
        <v>2.5808209757176025E-2</v>
      </c>
      <c r="AG43" s="4"/>
      <c r="AH43" s="4"/>
      <c r="AI43" s="4"/>
      <c r="AJ43" s="4"/>
      <c r="AK43" s="4"/>
      <c r="AL43" s="4"/>
      <c r="AM43" s="4"/>
      <c r="AN43" s="4"/>
      <c r="AO43" s="4"/>
      <c r="AP43" s="4"/>
      <c r="AQ43" s="4"/>
      <c r="AR43" s="4"/>
      <c r="AS43" s="4"/>
      <c r="AT43" s="4"/>
      <c r="AU43" s="4"/>
      <c r="AV43" s="4"/>
      <c r="AW43" s="4"/>
      <c r="AX43" s="4"/>
      <c r="AY43" s="4"/>
      <c r="AZ43" s="4"/>
      <c r="BA43" s="4"/>
      <c r="BB43" s="4"/>
    </row>
    <row r="44" spans="1:54" x14ac:dyDescent="0.25">
      <c r="A44" s="4">
        <v>4260</v>
      </c>
      <c r="B44" s="4">
        <v>705.4280588172935</v>
      </c>
      <c r="C44" s="4">
        <v>246.50383576588163</v>
      </c>
      <c r="D44" s="4">
        <v>-1.6883066527994768E-2</v>
      </c>
      <c r="E44" s="4">
        <v>-4.8430490716283E-3</v>
      </c>
      <c r="F44" s="4">
        <v>-0.32245153810165128</v>
      </c>
      <c r="G44" s="4">
        <v>-0.21172474815652773</v>
      </c>
      <c r="H44" s="4">
        <v>-1.6269701864783486</v>
      </c>
      <c r="I44" s="4">
        <v>-2.7427229567813747</v>
      </c>
      <c r="J44" s="4">
        <v>-13.717274202571424</v>
      </c>
      <c r="K44" s="4">
        <v>-4.144667979798375</v>
      </c>
      <c r="L44" s="4">
        <v>-54.595330644182233</v>
      </c>
      <c r="M44" s="4">
        <v>-9.4997933763542264</v>
      </c>
      <c r="N44" s="4">
        <v>-66.662402692595307</v>
      </c>
      <c r="O44" s="4">
        <v>32.865029290254121</v>
      </c>
      <c r="P44" s="4">
        <v>-18.261322265433417</v>
      </c>
      <c r="Q44" s="4">
        <v>9.3790565166383075</v>
      </c>
      <c r="R44" s="4">
        <v>27.594045923827498</v>
      </c>
      <c r="S44" s="4">
        <v>26.942625683897344</v>
      </c>
      <c r="T44" s="4">
        <v>219.28573728154859</v>
      </c>
      <c r="U44" s="4">
        <v>26.390152700095495</v>
      </c>
      <c r="V44" s="4">
        <v>154.76710487377898</v>
      </c>
      <c r="W44" s="4">
        <v>40.154401649379409</v>
      </c>
      <c r="X44" s="4">
        <v>57.51782171922239</v>
      </c>
      <c r="Y44" s="4">
        <v>11.870044146839115</v>
      </c>
      <c r="Z44" s="4">
        <v>50.451647312716688</v>
      </c>
      <c r="AA44" s="4">
        <v>0.82147649414678969</v>
      </c>
      <c r="AB44" s="4">
        <v>5.2179501368231902</v>
      </c>
      <c r="AC44" s="4">
        <v>0.25037516606680021</v>
      </c>
      <c r="AD44" s="4">
        <v>1.2086463496171407</v>
      </c>
      <c r="AE44" s="4">
        <v>5.5636679126333154E-2</v>
      </c>
      <c r="AF44" s="4">
        <v>4.2306313837600369E-2</v>
      </c>
      <c r="AG44" s="4"/>
      <c r="AH44" s="4"/>
      <c r="AI44" s="4"/>
      <c r="AJ44" s="4"/>
      <c r="AK44" s="4"/>
      <c r="AL44" s="4"/>
      <c r="AM44" s="4"/>
      <c r="AN44" s="4"/>
      <c r="AO44" s="4"/>
      <c r="AP44" s="4"/>
      <c r="AQ44" s="4"/>
      <c r="AR44" s="4"/>
      <c r="AS44" s="4"/>
      <c r="AT44" s="4"/>
      <c r="AU44" s="4"/>
      <c r="AV44" s="4"/>
      <c r="AW44" s="4"/>
      <c r="AX44" s="4"/>
      <c r="AY44" s="4"/>
      <c r="AZ44" s="4"/>
      <c r="BA44" s="4"/>
      <c r="BB44" s="4"/>
    </row>
    <row r="45" spans="1:54" x14ac:dyDescent="0.25">
      <c r="A45" s="4">
        <v>4250</v>
      </c>
      <c r="B45" s="4"/>
      <c r="C45" s="4">
        <v>293.14772949521887</v>
      </c>
      <c r="D45" s="4">
        <v>-1.0180456273859171E-2</v>
      </c>
      <c r="E45" s="4">
        <v>-3.0171632841026535E-3</v>
      </c>
      <c r="F45" s="4">
        <v>-0.20757985356816033</v>
      </c>
      <c r="G45" s="4">
        <v>-0.14086749249123234</v>
      </c>
      <c r="H45" s="4">
        <v>-1.1189627312849275</v>
      </c>
      <c r="I45" s="4">
        <v>-1.9502673892998006</v>
      </c>
      <c r="J45" s="4">
        <v>-10.08640560368505</v>
      </c>
      <c r="K45" s="4">
        <v>-3.1520698998531724</v>
      </c>
      <c r="L45" s="4">
        <v>-42.95177175202663</v>
      </c>
      <c r="M45" s="4">
        <v>-7.7328957925238253</v>
      </c>
      <c r="N45" s="4">
        <v>-56.155880835293132</v>
      </c>
      <c r="O45" s="4">
        <v>28.656253469382055</v>
      </c>
      <c r="P45" s="4">
        <v>-16.484451723033619</v>
      </c>
      <c r="Q45" s="4">
        <v>8.7668812282535438</v>
      </c>
      <c r="R45" s="4">
        <v>26.713625081773031</v>
      </c>
      <c r="S45" s="4">
        <v>27.019521190877878</v>
      </c>
      <c r="T45" s="4">
        <v>227.85484078394555</v>
      </c>
      <c r="U45" s="4">
        <v>28.41782505381201</v>
      </c>
      <c r="V45" s="4">
        <v>172.7510300518</v>
      </c>
      <c r="W45" s="4">
        <v>46.46878239780488</v>
      </c>
      <c r="X45" s="4">
        <v>69.025716512630908</v>
      </c>
      <c r="Y45" s="4">
        <v>14.775307782774087</v>
      </c>
      <c r="Z45" s="4">
        <v>65.1526030540889</v>
      </c>
      <c r="AA45" s="4">
        <v>1.1008330766281</v>
      </c>
      <c r="AB45" s="4">
        <v>7.2576338625316961</v>
      </c>
      <c r="AC45" s="4">
        <v>0.36153912164625657</v>
      </c>
      <c r="AD45" s="4">
        <v>1.8123145432734769</v>
      </c>
      <c r="AE45" s="4">
        <v>8.6649976403806547E-2</v>
      </c>
      <c r="AF45" s="4">
        <v>6.8452495429080815E-2</v>
      </c>
      <c r="AG45" s="4"/>
      <c r="AH45" s="4"/>
      <c r="AI45" s="4"/>
      <c r="AJ45" s="4"/>
      <c r="AK45" s="4"/>
      <c r="AL45" s="4"/>
      <c r="AM45" s="4"/>
      <c r="AN45" s="4"/>
      <c r="AO45" s="4"/>
      <c r="AP45" s="4"/>
      <c r="AQ45" s="4"/>
      <c r="AR45" s="4"/>
      <c r="AS45" s="4"/>
      <c r="AT45" s="4"/>
      <c r="AU45" s="4"/>
      <c r="AV45" s="4"/>
      <c r="AW45" s="4"/>
      <c r="AX45" s="4"/>
      <c r="AY45" s="4"/>
      <c r="AZ45" s="4"/>
      <c r="BA45" s="4"/>
      <c r="BB45" s="4"/>
    </row>
    <row r="46" spans="1:54" x14ac:dyDescent="0.25">
      <c r="A46" s="4">
        <v>4240</v>
      </c>
      <c r="B46" s="4"/>
      <c r="C46" s="4">
        <v>338.28279276367709</v>
      </c>
      <c r="D46" s="4">
        <v>-6.0446185139405167E-3</v>
      </c>
      <c r="E46" s="4">
        <v>-1.8509635571787538E-3</v>
      </c>
      <c r="F46" s="4">
        <v>-0.13160082332459785</v>
      </c>
      <c r="G46" s="4">
        <v>-9.2307359915309528E-2</v>
      </c>
      <c r="H46" s="4">
        <v>-0.75800479139911126</v>
      </c>
      <c r="I46" s="4">
        <v>-1.3660317064415528</v>
      </c>
      <c r="J46" s="4">
        <v>-7.3062365822035513</v>
      </c>
      <c r="K46" s="4">
        <v>-2.3617020663224757</v>
      </c>
      <c r="L46" s="4">
        <v>-33.293888172909419</v>
      </c>
      <c r="M46" s="4">
        <v>-6.2024443622807439</v>
      </c>
      <c r="N46" s="4">
        <v>-46.616247807302052</v>
      </c>
      <c r="O46" s="4">
        <v>24.624524487111593</v>
      </c>
      <c r="P46" s="4">
        <v>-14.666122886326507</v>
      </c>
      <c r="Q46" s="4">
        <v>8.0772828907853302</v>
      </c>
      <c r="R46" s="4">
        <v>25.492965121399212</v>
      </c>
      <c r="S46" s="4">
        <v>26.712931574890984</v>
      </c>
      <c r="T46" s="4">
        <v>233.42566653920321</v>
      </c>
      <c r="U46" s="4">
        <v>30.173018514304907</v>
      </c>
      <c r="V46" s="4">
        <v>190.14213022365871</v>
      </c>
      <c r="W46" s="4">
        <v>53.032500150582926</v>
      </c>
      <c r="X46" s="4">
        <v>81.697593729227023</v>
      </c>
      <c r="Y46" s="4">
        <v>18.140447065929212</v>
      </c>
      <c r="Z46" s="4">
        <v>82.995217214734595</v>
      </c>
      <c r="AA46" s="4">
        <v>1.4552932970717032</v>
      </c>
      <c r="AB46" s="4">
        <v>9.9593501979990275</v>
      </c>
      <c r="AC46" s="4">
        <v>0.51510823175829568</v>
      </c>
      <c r="AD46" s="4">
        <v>2.6815482361443341</v>
      </c>
      <c r="AE46" s="4">
        <v>0.13317791473753457</v>
      </c>
      <c r="AF46" s="4">
        <v>0.10931227831215175</v>
      </c>
      <c r="AG46" s="4"/>
      <c r="AH46" s="4"/>
      <c r="AI46" s="4"/>
      <c r="AJ46" s="4"/>
      <c r="AK46" s="4"/>
      <c r="AL46" s="4"/>
      <c r="AM46" s="4"/>
      <c r="AN46" s="4"/>
      <c r="AO46" s="4"/>
      <c r="AP46" s="4"/>
      <c r="AQ46" s="4"/>
      <c r="AR46" s="4"/>
      <c r="AS46" s="4"/>
      <c r="AT46" s="4"/>
      <c r="AU46" s="4"/>
      <c r="AV46" s="4"/>
      <c r="AW46" s="4"/>
      <c r="AX46" s="4"/>
      <c r="AY46" s="4"/>
      <c r="AZ46" s="4"/>
      <c r="BA46" s="4"/>
      <c r="BB46" s="4"/>
    </row>
    <row r="47" spans="1:54" x14ac:dyDescent="0.25">
      <c r="A47" s="4">
        <v>4230</v>
      </c>
      <c r="B47" s="4"/>
      <c r="C47" s="4">
        <v>381.84373345141501</v>
      </c>
      <c r="D47" s="4">
        <v>-3.53353938324964E-3</v>
      </c>
      <c r="E47" s="4">
        <v>-1.1180721538570351E-3</v>
      </c>
      <c r="F47" s="4">
        <v>-8.21558751287782E-2</v>
      </c>
      <c r="G47" s="4">
        <v>-5.9566540765154073E-2</v>
      </c>
      <c r="H47" s="4">
        <v>-0.50571153403848301</v>
      </c>
      <c r="I47" s="4">
        <v>-0.94240209415106579</v>
      </c>
      <c r="J47" s="4">
        <v>-5.2130792610327106</v>
      </c>
      <c r="K47" s="4">
        <v>-1.7431401999226179</v>
      </c>
      <c r="L47" s="4">
        <v>-25.424986313603878</v>
      </c>
      <c r="M47" s="4">
        <v>-4.9015271160390652</v>
      </c>
      <c r="N47" s="4">
        <v>-38.129615866841363</v>
      </c>
      <c r="O47" s="4">
        <v>20.851378710106232</v>
      </c>
      <c r="P47" s="4">
        <v>-12.859090416486382</v>
      </c>
      <c r="Q47" s="4">
        <v>7.3345829486676806</v>
      </c>
      <c r="R47" s="4">
        <v>23.979155720983808</v>
      </c>
      <c r="S47" s="4">
        <v>26.033210277433497</v>
      </c>
      <c r="T47" s="4">
        <v>235.74239994187229</v>
      </c>
      <c r="U47" s="4">
        <v>31.585089773754557</v>
      </c>
      <c r="V47" s="4">
        <v>206.35186786326187</v>
      </c>
      <c r="W47" s="4">
        <v>59.680489566098743</v>
      </c>
      <c r="X47" s="4">
        <v>95.357404789244697</v>
      </c>
      <c r="Y47" s="4">
        <v>21.965638230457277</v>
      </c>
      <c r="Z47" s="4">
        <v>104.27892724859507</v>
      </c>
      <c r="AA47" s="4">
        <v>1.8977535718323997</v>
      </c>
      <c r="AB47" s="4">
        <v>13.482345463886952</v>
      </c>
      <c r="AC47" s="4">
        <v>0.72406688651998607</v>
      </c>
      <c r="AD47" s="4">
        <v>3.9148344551091179</v>
      </c>
      <c r="AE47" s="4">
        <v>0.20198108997779199</v>
      </c>
      <c r="AF47" s="4">
        <v>0.17226719457455833</v>
      </c>
      <c r="AG47" s="4"/>
      <c r="AH47" s="4"/>
      <c r="AI47" s="4"/>
      <c r="AJ47" s="4"/>
      <c r="AK47" s="4"/>
      <c r="AL47" s="4"/>
      <c r="AM47" s="4"/>
      <c r="AN47" s="4"/>
      <c r="AO47" s="4"/>
      <c r="AP47" s="4"/>
      <c r="AQ47" s="4"/>
      <c r="AR47" s="4"/>
      <c r="AS47" s="4"/>
      <c r="AT47" s="4"/>
      <c r="AU47" s="4"/>
      <c r="AV47" s="4"/>
      <c r="AW47" s="4"/>
      <c r="AX47" s="4"/>
      <c r="AY47" s="4"/>
      <c r="AZ47" s="4"/>
      <c r="BA47" s="4"/>
      <c r="BB47" s="4"/>
    </row>
    <row r="48" spans="1:54" x14ac:dyDescent="0.25">
      <c r="A48" s="4">
        <v>4220</v>
      </c>
      <c r="B48" s="4"/>
      <c r="C48" s="4">
        <v>423.77786205454805</v>
      </c>
      <c r="D48" s="4">
        <v>-2.033497316910631E-3</v>
      </c>
      <c r="E48" s="4">
        <v>-6.649180239241692E-4</v>
      </c>
      <c r="F48" s="4">
        <v>-5.0498540029214944E-2</v>
      </c>
      <c r="G48" s="4">
        <v>-3.7849718688786824E-2</v>
      </c>
      <c r="H48" s="4">
        <v>-0.33224788851875547</v>
      </c>
      <c r="I48" s="4">
        <v>-0.64028686533143186</v>
      </c>
      <c r="J48" s="4">
        <v>-3.6634682214001897</v>
      </c>
      <c r="K48" s="4">
        <v>-1.2672778366151709</v>
      </c>
      <c r="L48" s="4">
        <v>-19.126004544811202</v>
      </c>
      <c r="M48" s="4">
        <v>-3.815948090445584</v>
      </c>
      <c r="N48" s="4">
        <v>-30.727375158087426</v>
      </c>
      <c r="O48" s="4">
        <v>17.397034231661944</v>
      </c>
      <c r="P48" s="4">
        <v>-11.110011407086857</v>
      </c>
      <c r="Q48" s="4">
        <v>6.5634305218080948</v>
      </c>
      <c r="R48" s="4">
        <v>22.229463543701069</v>
      </c>
      <c r="S48" s="4">
        <v>25.006441301133847</v>
      </c>
      <c r="T48" s="4">
        <v>234.68289103013601</v>
      </c>
      <c r="U48" s="4">
        <v>32.593948154213621</v>
      </c>
      <c r="V48" s="4">
        <v>220.78371313190999</v>
      </c>
      <c r="W48" s="4">
        <v>66.21990203766812</v>
      </c>
      <c r="X48" s="4">
        <v>109.74961078793869</v>
      </c>
      <c r="Y48" s="4">
        <v>26.228945365701186</v>
      </c>
      <c r="Z48" s="4">
        <v>129.21686123963977</v>
      </c>
      <c r="AA48" s="4">
        <v>2.440880201655788</v>
      </c>
      <c r="AB48" s="4">
        <v>18.003448777916049</v>
      </c>
      <c r="AC48" s="4">
        <v>1.0040454673286323</v>
      </c>
      <c r="AD48" s="4">
        <v>5.6386432316305788</v>
      </c>
      <c r="AE48" s="4">
        <v>0.30224687004979589</v>
      </c>
      <c r="AF48" s="4">
        <v>0.26788490135832299</v>
      </c>
      <c r="AG48" s="4"/>
      <c r="AH48" s="4"/>
      <c r="AI48" s="4"/>
      <c r="AJ48" s="4"/>
      <c r="AK48" s="4"/>
      <c r="AL48" s="4"/>
      <c r="AM48" s="4"/>
      <c r="AN48" s="4"/>
      <c r="AO48" s="4"/>
      <c r="AP48" s="4"/>
      <c r="AQ48" s="4"/>
      <c r="AR48" s="4"/>
      <c r="AS48" s="4"/>
      <c r="AT48" s="4"/>
      <c r="AU48" s="4"/>
      <c r="AV48" s="4"/>
      <c r="AW48" s="4"/>
      <c r="AX48" s="4"/>
      <c r="AY48" s="4"/>
      <c r="AZ48" s="4"/>
      <c r="BA48" s="4"/>
      <c r="BB48" s="4"/>
    </row>
    <row r="49" spans="1:54" x14ac:dyDescent="0.25">
      <c r="A49" s="4">
        <v>4210</v>
      </c>
      <c r="B49" s="4"/>
      <c r="C49" s="4">
        <v>464.03907388496242</v>
      </c>
      <c r="D49" s="4">
        <v>-1.1519211182671348E-3</v>
      </c>
      <c r="E49" s="4">
        <v>-3.892652998658474E-4</v>
      </c>
      <c r="F49" s="4">
        <v>-3.0558522759711704E-2</v>
      </c>
      <c r="G49" s="4">
        <v>-2.3679388398944744E-2</v>
      </c>
      <c r="H49" s="4">
        <v>-0.21493322143893329</v>
      </c>
      <c r="I49" s="4">
        <v>-0.42838028887390234</v>
      </c>
      <c r="J49" s="4">
        <v>-2.535372907082841</v>
      </c>
      <c r="K49" s="4">
        <v>-0.90739765024357011</v>
      </c>
      <c r="L49" s="4">
        <v>-14.171285282366746</v>
      </c>
      <c r="M49" s="4">
        <v>-2.9263774000000562</v>
      </c>
      <c r="N49" s="4">
        <v>-24.393880453423002</v>
      </c>
      <c r="O49" s="4">
        <v>14.300256462237281</v>
      </c>
      <c r="P49" s="4">
        <v>-9.4576426807536791</v>
      </c>
      <c r="Q49" s="4">
        <v>5.7874424516173812</v>
      </c>
      <c r="R49" s="4">
        <v>20.307702600160418</v>
      </c>
      <c r="S49" s="4">
        <v>23.672786403131983</v>
      </c>
      <c r="T49" s="4">
        <v>230.26890839980172</v>
      </c>
      <c r="U49" s="4">
        <v>33.154234564158131</v>
      </c>
      <c r="V49" s="4">
        <v>232.86815329761072</v>
      </c>
      <c r="W49" s="4">
        <v>72.438026129233748</v>
      </c>
      <c r="X49" s="4">
        <v>124.54066369667549</v>
      </c>
      <c r="Y49" s="4">
        <v>30.882708624686742</v>
      </c>
      <c r="Z49" s="4">
        <v>157.89832998175731</v>
      </c>
      <c r="AA49" s="4">
        <v>3.0961872987531556</v>
      </c>
      <c r="AB49" s="4">
        <v>23.711482557168289</v>
      </c>
      <c r="AC49" s="4">
        <v>1.3733451252940221</v>
      </c>
      <c r="AD49" s="4">
        <v>8.011734753312469</v>
      </c>
      <c r="AE49" s="4">
        <v>0.44621380563341745</v>
      </c>
      <c r="AF49" s="4">
        <v>0.41102060045202937</v>
      </c>
      <c r="AG49" s="4"/>
      <c r="AH49" s="4"/>
      <c r="AI49" s="4"/>
      <c r="AJ49" s="4"/>
      <c r="AK49" s="4"/>
      <c r="AL49" s="4"/>
      <c r="AM49" s="4"/>
      <c r="AN49" s="4"/>
      <c r="AO49" s="4"/>
      <c r="AP49" s="4"/>
      <c r="AQ49" s="4"/>
      <c r="AR49" s="4"/>
      <c r="AS49" s="4"/>
      <c r="AT49" s="4"/>
      <c r="AU49" s="4"/>
      <c r="AV49" s="4"/>
      <c r="AW49" s="4"/>
      <c r="AX49" s="4"/>
      <c r="AY49" s="4"/>
      <c r="AZ49" s="4"/>
      <c r="BA49" s="4"/>
      <c r="BB49" s="4"/>
    </row>
    <row r="50" spans="1:54" x14ac:dyDescent="0.25">
      <c r="A50" s="4">
        <v>4200</v>
      </c>
      <c r="B50" s="4"/>
      <c r="C50" s="4">
        <v>502.5817160732696</v>
      </c>
      <c r="D50" s="4">
        <v>-6.4224359123080392E-4</v>
      </c>
      <c r="E50" s="4">
        <v>-2.2431338177292669E-4</v>
      </c>
      <c r="F50" s="4">
        <v>-1.8203377826163689E-2</v>
      </c>
      <c r="G50" s="4">
        <v>-1.4584071129211354E-2</v>
      </c>
      <c r="H50" s="4">
        <v>-0.13689257616037856</v>
      </c>
      <c r="I50" s="4">
        <v>-0.28219814122147879</v>
      </c>
      <c r="J50" s="4">
        <v>-1.7278100274099848</v>
      </c>
      <c r="K50" s="4">
        <v>-0.63982812948487311</v>
      </c>
      <c r="L50" s="4">
        <v>-10.341164167117181</v>
      </c>
      <c r="M50" s="4">
        <v>-2.2103902262546113</v>
      </c>
      <c r="N50" s="4">
        <v>-19.075801664294882</v>
      </c>
      <c r="O50" s="4">
        <v>11.579634574211957</v>
      </c>
      <c r="P50" s="4">
        <v>-7.9317654978232177</v>
      </c>
      <c r="Q50" s="4">
        <v>5.0280246830009361</v>
      </c>
      <c r="R50" s="4">
        <v>18.280332695139542</v>
      </c>
      <c r="S50" s="4">
        <v>22.083867637785126</v>
      </c>
      <c r="T50" s="4">
        <v>222.6662716477619</v>
      </c>
      <c r="U50" s="4">
        <v>33.238660751638349</v>
      </c>
      <c r="V50" s="4">
        <v>242.09904436872517</v>
      </c>
      <c r="W50" s="4">
        <v>78.11280778776073</v>
      </c>
      <c r="X50" s="4">
        <v>139.32684865300826</v>
      </c>
      <c r="Y50" s="4">
        <v>35.851184030804987</v>
      </c>
      <c r="Z50" s="4">
        <v>190.25137061894557</v>
      </c>
      <c r="AA50" s="4">
        <v>3.8729195163956769</v>
      </c>
      <c r="AB50" s="4">
        <v>30.798602752304856</v>
      </c>
      <c r="AC50" s="4">
        <v>1.8527395011709946</v>
      </c>
      <c r="AD50" s="4">
        <v>11.228614413255677</v>
      </c>
      <c r="AE50" s="4">
        <v>0.6498474221222813</v>
      </c>
      <c r="AF50" s="4">
        <v>0.62216552820221693</v>
      </c>
      <c r="AG50" s="4"/>
      <c r="AH50" s="4"/>
      <c r="AI50" s="4"/>
      <c r="AJ50" s="4"/>
      <c r="AK50" s="4"/>
      <c r="AL50" s="4"/>
      <c r="AM50" s="4"/>
      <c r="AN50" s="4"/>
      <c r="AO50" s="4"/>
      <c r="AP50" s="4"/>
      <c r="AQ50" s="4"/>
      <c r="AR50" s="4"/>
      <c r="AS50" s="4"/>
      <c r="AT50" s="4"/>
      <c r="AU50" s="4"/>
      <c r="AV50" s="4"/>
      <c r="AW50" s="4"/>
      <c r="AX50" s="4"/>
      <c r="AY50" s="4"/>
      <c r="AZ50" s="4"/>
      <c r="BA50" s="4"/>
      <c r="BB50" s="4"/>
    </row>
    <row r="51" spans="1:54" x14ac:dyDescent="0.25">
      <c r="A51" s="4">
        <v>4190</v>
      </c>
      <c r="B51" s="4"/>
      <c r="C51" s="4">
        <v>539.35442282692759</v>
      </c>
      <c r="D51" s="4">
        <v>-3.523925694527485E-4</v>
      </c>
      <c r="E51" s="4">
        <v>-1.2721805871657871E-4</v>
      </c>
      <c r="F51" s="4">
        <v>-1.0673087038306222E-2</v>
      </c>
      <c r="G51" s="4">
        <v>-8.841786928285059E-3</v>
      </c>
      <c r="H51" s="4">
        <v>-8.5830956169610784E-2</v>
      </c>
      <c r="I51" s="4">
        <v>-0.18302121853152686</v>
      </c>
      <c r="J51" s="4">
        <v>-1.1593321277074868</v>
      </c>
      <c r="K51" s="4">
        <v>-0.44424449278366152</v>
      </c>
      <c r="L51" s="4">
        <v>-7.4311867186032119</v>
      </c>
      <c r="M51" s="4">
        <v>-1.6442650427760426</v>
      </c>
      <c r="N51" s="4">
        <v>-14.692133570490059</v>
      </c>
      <c r="O51" s="4">
        <v>9.2359624219581491</v>
      </c>
      <c r="P51" s="4">
        <v>-6.5528378870158521</v>
      </c>
      <c r="Q51" s="4">
        <v>4.3034547346738572</v>
      </c>
      <c r="R51" s="4">
        <v>16.212622085828382</v>
      </c>
      <c r="S51" s="4">
        <v>20.299423737536156</v>
      </c>
      <c r="T51" s="4">
        <v>212.1746828364841</v>
      </c>
      <c r="U51" s="4">
        <v>32.840170860706586</v>
      </c>
      <c r="V51" s="4">
        <v>248.06817047578997</v>
      </c>
      <c r="W51" s="4">
        <v>83.02535090751843</v>
      </c>
      <c r="X51" s="4">
        <v>153.64886149922012</v>
      </c>
      <c r="Y51" s="4">
        <v>41.029933324802954</v>
      </c>
      <c r="Z51" s="4">
        <v>226.00901750083077</v>
      </c>
      <c r="AA51" s="4">
        <v>4.7767905345726813</v>
      </c>
      <c r="AB51" s="4">
        <v>39.448346041040232</v>
      </c>
      <c r="AC51" s="4">
        <v>2.4649820111258522</v>
      </c>
      <c r="AD51" s="4">
        <v>15.521367598845581</v>
      </c>
      <c r="AE51" s="4">
        <v>0.93352024949536738</v>
      </c>
      <c r="AF51" s="4">
        <v>0.92903533209846567</v>
      </c>
      <c r="AG51" s="4"/>
      <c r="AH51" s="4"/>
      <c r="AI51" s="4"/>
      <c r="AJ51" s="4"/>
      <c r="AK51" s="4"/>
      <c r="AL51" s="4"/>
      <c r="AM51" s="4"/>
      <c r="AN51" s="4"/>
      <c r="AO51" s="4"/>
      <c r="AP51" s="4"/>
      <c r="AQ51" s="4"/>
      <c r="AR51" s="4"/>
      <c r="AS51" s="4"/>
      <c r="AT51" s="4"/>
      <c r="AU51" s="4"/>
      <c r="AV51" s="4"/>
      <c r="AW51" s="4"/>
      <c r="AX51" s="4"/>
      <c r="AY51" s="4"/>
      <c r="AZ51" s="4"/>
      <c r="BA51" s="4"/>
      <c r="BB51" s="4"/>
    </row>
    <row r="52" spans="1:54" x14ac:dyDescent="0.25">
      <c r="A52" s="4">
        <v>4180</v>
      </c>
      <c r="B52" s="4"/>
      <c r="C52" s="4">
        <v>574.29414530757788</v>
      </c>
      <c r="D52" s="4">
        <v>-1.9026339204796593E-4</v>
      </c>
      <c r="E52" s="4">
        <v>-7.1003246107990254E-5</v>
      </c>
      <c r="F52" s="4">
        <v>-6.1588339121483619E-3</v>
      </c>
      <c r="G52" s="4">
        <v>-5.2760195089351734E-3</v>
      </c>
      <c r="H52" s="4">
        <v>-5.2972195675941712E-2</v>
      </c>
      <c r="I52" s="4">
        <v>-0.1168486748198946</v>
      </c>
      <c r="J52" s="4">
        <v>-0.76582596629075383</v>
      </c>
      <c r="K52" s="4">
        <v>-0.30368726976747429</v>
      </c>
      <c r="L52" s="4">
        <v>-5.2580946709396441</v>
      </c>
      <c r="M52" s="4">
        <v>-1.2044591037634178</v>
      </c>
      <c r="N52" s="4">
        <v>-11.143981427823299</v>
      </c>
      <c r="O52" s="4">
        <v>7.2553636881960646</v>
      </c>
      <c r="P52" s="4">
        <v>-5.3323076932536377</v>
      </c>
      <c r="Q52" s="4">
        <v>3.6282733637046851</v>
      </c>
      <c r="R52" s="4">
        <v>14.165185378702178</v>
      </c>
      <c r="S52" s="4">
        <v>18.383544610954214</v>
      </c>
      <c r="T52" s="4">
        <v>199.2081054941998</v>
      </c>
      <c r="U52" s="4">
        <v>31.972690797716293</v>
      </c>
      <c r="V52" s="4">
        <v>250.49478753528251</v>
      </c>
      <c r="W52" s="4">
        <v>86.9734884413825</v>
      </c>
      <c r="X52" s="4">
        <v>167.01282580602174</v>
      </c>
      <c r="Y52" s="4">
        <v>46.287373877459821</v>
      </c>
      <c r="Z52" s="4">
        <v>264.68350339305169</v>
      </c>
      <c r="AA52" s="4">
        <v>5.8086606515656527</v>
      </c>
      <c r="AB52" s="4">
        <v>49.820473854308972</v>
      </c>
      <c r="AC52" s="4">
        <v>3.2339540708805306</v>
      </c>
      <c r="AD52" s="4">
        <v>21.15895314661206</v>
      </c>
      <c r="AE52" s="4">
        <v>1.3226239615289919</v>
      </c>
      <c r="AF52" s="4">
        <v>1.3683556659814797</v>
      </c>
      <c r="AG52" s="4"/>
      <c r="AH52" s="4"/>
      <c r="AI52" s="4"/>
      <c r="AJ52" s="4"/>
      <c r="AK52" s="4"/>
      <c r="AL52" s="4"/>
      <c r="AM52" s="4"/>
      <c r="AN52" s="4"/>
      <c r="AO52" s="4"/>
      <c r="AP52" s="4"/>
      <c r="AQ52" s="4"/>
      <c r="AR52" s="4"/>
      <c r="AS52" s="4"/>
      <c r="AT52" s="4"/>
      <c r="AU52" s="4"/>
      <c r="AV52" s="4"/>
      <c r="AW52" s="4"/>
      <c r="AX52" s="4"/>
      <c r="AY52" s="4"/>
      <c r="AZ52" s="4"/>
      <c r="BA52" s="4"/>
      <c r="BB52" s="4"/>
    </row>
    <row r="53" spans="1:54" x14ac:dyDescent="0.25">
      <c r="A53" s="4">
        <v>4170</v>
      </c>
      <c r="B53" s="4"/>
      <c r="C53" s="4">
        <v>607.32074665897062</v>
      </c>
      <c r="D53" s="4">
        <v>-1.0107329941648752E-4</v>
      </c>
      <c r="E53" s="4">
        <v>-3.8993736477192454E-5</v>
      </c>
      <c r="F53" s="4">
        <v>-3.4972672611199673E-3</v>
      </c>
      <c r="G53" s="4">
        <v>-3.0983430285286225E-3</v>
      </c>
      <c r="H53" s="4">
        <v>-3.2176871547037668E-2</v>
      </c>
      <c r="I53" s="4">
        <v>-7.3429946537177437E-2</v>
      </c>
      <c r="J53" s="4">
        <v>-0.49798335212826739</v>
      </c>
      <c r="K53" s="4">
        <v>-0.20437571456995776</v>
      </c>
      <c r="L53" s="4">
        <v>-3.6629639254975102</v>
      </c>
      <c r="M53" s="4">
        <v>-0.86872506867777277</v>
      </c>
      <c r="N53" s="4">
        <v>-8.3234275611832107</v>
      </c>
      <c r="O53" s="4">
        <v>5.6127925212558853</v>
      </c>
      <c r="P53" s="4">
        <v>-4.2734676340601565</v>
      </c>
      <c r="Q53" s="4">
        <v>3.0129996429229977</v>
      </c>
      <c r="R53" s="4">
        <v>12.191150052545876</v>
      </c>
      <c r="S53" s="4">
        <v>16.400818320081772</v>
      </c>
      <c r="T53" s="4">
        <v>184.26748026755862</v>
      </c>
      <c r="U53" s="4">
        <v>30.670366457522867</v>
      </c>
      <c r="V53" s="4">
        <v>249.24721464724064</v>
      </c>
      <c r="W53" s="4">
        <v>89.785298449153444</v>
      </c>
      <c r="X53" s="4">
        <v>178.91670955267787</v>
      </c>
      <c r="Y53" s="4">
        <v>51.468739772204472</v>
      </c>
      <c r="Z53" s="4">
        <v>305.55271046154002</v>
      </c>
      <c r="AA53" s="4">
        <v>6.9632679386159744</v>
      </c>
      <c r="AB53" s="4">
        <v>62.033113285708509</v>
      </c>
      <c r="AC53" s="4">
        <v>4.1834080683725761</v>
      </c>
      <c r="AD53" s="4">
        <v>28.442942532828212</v>
      </c>
      <c r="AE53" s="4">
        <v>1.8480141858808949</v>
      </c>
      <c r="AF53" s="4">
        <v>1.9877529133576539</v>
      </c>
      <c r="AG53" s="4"/>
      <c r="AH53" s="4"/>
      <c r="AI53" s="4"/>
      <c r="AJ53" s="4"/>
      <c r="AK53" s="4"/>
      <c r="AL53" s="4"/>
      <c r="AM53" s="4"/>
      <c r="AN53" s="4"/>
      <c r="AO53" s="4"/>
      <c r="AP53" s="4"/>
      <c r="AQ53" s="4"/>
      <c r="AR53" s="4"/>
      <c r="AS53" s="4"/>
      <c r="AT53" s="4"/>
      <c r="AU53" s="4"/>
      <c r="AV53" s="4"/>
      <c r="AW53" s="4"/>
      <c r="AX53" s="4"/>
      <c r="AY53" s="4"/>
      <c r="AZ53" s="4"/>
      <c r="BA53" s="4"/>
      <c r="BB53" s="4"/>
    </row>
    <row r="54" spans="1:54" x14ac:dyDescent="0.25">
      <c r="A54" s="4">
        <v>4160</v>
      </c>
      <c r="B54" s="4"/>
      <c r="C54" s="4">
        <v>638.33263367965765</v>
      </c>
      <c r="D54" s="4">
        <v>-5.2822764414994828E-5</v>
      </c>
      <c r="E54" s="4">
        <v>-2.1069277079668194E-5</v>
      </c>
      <c r="F54" s="4">
        <v>-1.9540340759615126E-3</v>
      </c>
      <c r="G54" s="4">
        <v>-1.7904435026969583E-3</v>
      </c>
      <c r="H54" s="4">
        <v>-1.9234588743525412E-2</v>
      </c>
      <c r="I54" s="4">
        <v>-4.5415207367214876E-2</v>
      </c>
      <c r="J54" s="4">
        <v>-0.31872332614501359</v>
      </c>
      <c r="K54" s="4">
        <v>-0.13538859931844335</v>
      </c>
      <c r="L54" s="4">
        <v>-2.5120194949165384</v>
      </c>
      <c r="M54" s="4">
        <v>-0.6168719095361227</v>
      </c>
      <c r="N54" s="4">
        <v>-6.1210059227671962</v>
      </c>
      <c r="O54" s="4">
        <v>4.2755717116453917</v>
      </c>
      <c r="P54" s="4">
        <v>-3.3727013378888651</v>
      </c>
      <c r="Q54" s="4">
        <v>2.4641518354030363</v>
      </c>
      <c r="R54" s="4">
        <v>10.334123957783735</v>
      </c>
      <c r="S54" s="4">
        <v>14.41271656473034</v>
      </c>
      <c r="T54" s="4">
        <v>167.90829866680099</v>
      </c>
      <c r="U54" s="4">
        <v>28.985343072760468</v>
      </c>
      <c r="V54" s="4">
        <v>244.35419127149939</v>
      </c>
      <c r="W54" s="4">
        <v>91.331336597556444</v>
      </c>
      <c r="X54" s="4">
        <v>188.88037516236943</v>
      </c>
      <c r="Y54" s="4">
        <v>56.402483959588189</v>
      </c>
      <c r="Z54" s="4">
        <v>347.66277597683217</v>
      </c>
      <c r="AA54" s="4">
        <v>8.228152219136426</v>
      </c>
      <c r="AB54" s="4">
        <v>76.14317391477293</v>
      </c>
      <c r="AC54" s="4">
        <v>5.3352907942327228</v>
      </c>
      <c r="AD54" s="4">
        <v>37.698703261996052</v>
      </c>
      <c r="AE54" s="4">
        <v>2.5461621903251461</v>
      </c>
      <c r="AF54" s="4">
        <v>2.8475949581855557</v>
      </c>
      <c r="AG54" s="4"/>
      <c r="AH54" s="4"/>
      <c r="AI54" s="4"/>
      <c r="AJ54" s="4"/>
      <c r="AK54" s="4"/>
      <c r="AL54" s="4"/>
      <c r="AM54" s="4"/>
      <c r="AN54" s="4"/>
      <c r="AO54" s="4"/>
      <c r="AP54" s="4"/>
      <c r="AQ54" s="4"/>
      <c r="AR54" s="4"/>
      <c r="AS54" s="4"/>
      <c r="AT54" s="4"/>
      <c r="AU54" s="4"/>
      <c r="AV54" s="4"/>
      <c r="AW54" s="4"/>
      <c r="AX54" s="4"/>
      <c r="AY54" s="4"/>
      <c r="AZ54" s="4"/>
      <c r="BA54" s="4"/>
      <c r="BB54" s="4"/>
    </row>
    <row r="55" spans="1:54" x14ac:dyDescent="0.25">
      <c r="A55" s="4">
        <v>4150</v>
      </c>
      <c r="B55" s="4"/>
      <c r="C55" s="4">
        <v>667.20391697249363</v>
      </c>
      <c r="D55" s="4">
        <v>-2.7155613186016133E-5</v>
      </c>
      <c r="E55" s="4">
        <v>-1.1199355941870505E-5</v>
      </c>
      <c r="F55" s="4">
        <v>-1.0741355472341373E-3</v>
      </c>
      <c r="G55" s="4">
        <v>-1.0180066042718885E-3</v>
      </c>
      <c r="H55" s="4">
        <v>-1.1314001775794849E-2</v>
      </c>
      <c r="I55" s="4">
        <v>-2.7641348948551456E-2</v>
      </c>
      <c r="J55" s="4">
        <v>-0.20076061006239851</v>
      </c>
      <c r="K55" s="4">
        <v>-8.8274755810422836E-2</v>
      </c>
      <c r="L55" s="4">
        <v>-1.6957084480352373</v>
      </c>
      <c r="M55" s="4">
        <v>-0.43120307005114517</v>
      </c>
      <c r="N55" s="4">
        <v>-4.4315352345404415</v>
      </c>
      <c r="O55" s="4">
        <v>3.2066903357174796</v>
      </c>
      <c r="P55" s="4">
        <v>-2.6209575887847301</v>
      </c>
      <c r="Q55" s="4">
        <v>1.9845302633077531</v>
      </c>
      <c r="R55" s="4">
        <v>8.6270434236684128</v>
      </c>
      <c r="S55" s="4">
        <v>12.474500668305144</v>
      </c>
      <c r="T55" s="4">
        <v>150.70598889198874</v>
      </c>
      <c r="U55" s="4">
        <v>26.984285566864774</v>
      </c>
      <c r="V55" s="4">
        <v>236.0046772229239</v>
      </c>
      <c r="W55" s="4">
        <v>91.534392395301623</v>
      </c>
      <c r="X55" s="4">
        <v>196.47689111309899</v>
      </c>
      <c r="Y55" s="4">
        <v>60.908887600764864</v>
      </c>
      <c r="Z55" s="4">
        <v>389.84974929656426</v>
      </c>
      <c r="AA55" s="4">
        <v>9.5829241979734885</v>
      </c>
      <c r="AB55" s="4">
        <v>92.126517221828635</v>
      </c>
      <c r="AC55" s="4">
        <v>6.7076785424169572</v>
      </c>
      <c r="AD55" s="4">
        <v>49.261182305159309</v>
      </c>
      <c r="AE55" s="4">
        <v>3.4588669982769464</v>
      </c>
      <c r="AF55" s="4">
        <v>4.0225534559553315</v>
      </c>
      <c r="AG55" s="4"/>
      <c r="AH55" s="4"/>
      <c r="AI55" s="4"/>
      <c r="AJ55" s="4"/>
      <c r="AK55" s="4"/>
      <c r="AL55" s="4"/>
      <c r="AM55" s="4"/>
      <c r="AN55" s="4"/>
      <c r="AO55" s="4"/>
      <c r="AP55" s="4"/>
      <c r="AQ55" s="4"/>
      <c r="AR55" s="4"/>
      <c r="AS55" s="4"/>
      <c r="AT55" s="4"/>
      <c r="AU55" s="4"/>
      <c r="AV55" s="4"/>
      <c r="AW55" s="4"/>
      <c r="AX55" s="4"/>
      <c r="AY55" s="4"/>
      <c r="AZ55" s="4"/>
      <c r="BA55" s="4"/>
      <c r="BB55" s="4"/>
    </row>
    <row r="56" spans="1:54" x14ac:dyDescent="0.25">
      <c r="A56" s="4">
        <v>4140</v>
      </c>
      <c r="B56" s="4"/>
      <c r="C56" s="4">
        <v>693.78351076059357</v>
      </c>
      <c r="D56" s="4">
        <v>-1.3730988487787008E-5</v>
      </c>
      <c r="E56" s="4">
        <v>-5.8556506136598751E-6</v>
      </c>
      <c r="F56" s="4">
        <v>-5.8084455701007572E-4</v>
      </c>
      <c r="G56" s="4">
        <v>-5.694424290453203E-4</v>
      </c>
      <c r="H56" s="4">
        <v>-6.5477848819017895E-3</v>
      </c>
      <c r="I56" s="4">
        <v>-1.6553801891347832E-2</v>
      </c>
      <c r="J56" s="4">
        <v>-0.12443991776829542</v>
      </c>
      <c r="K56" s="4">
        <v>-5.6642663778033148E-2</v>
      </c>
      <c r="L56" s="4">
        <v>-1.1265966171536903</v>
      </c>
      <c r="M56" s="4">
        <v>-0.29668415045416352</v>
      </c>
      <c r="N56" s="4">
        <v>-3.1582611896603643</v>
      </c>
      <c r="O56" s="4">
        <v>2.3676596261397038</v>
      </c>
      <c r="P56" s="4">
        <v>-2.0052970706622646</v>
      </c>
      <c r="Q56" s="4">
        <v>1.5737002697554014</v>
      </c>
      <c r="R56" s="4">
        <v>7.0918895644654167</v>
      </c>
      <c r="S56" s="4">
        <v>10.632857861184737</v>
      </c>
      <c r="T56" s="4">
        <v>133.22215254887439</v>
      </c>
      <c r="U56" s="4">
        <v>24.74396462075708</v>
      </c>
      <c r="V56" s="4">
        <v>224.53592394351315</v>
      </c>
      <c r="W56" s="4">
        <v>90.375758261079085</v>
      </c>
      <c r="X56" s="4">
        <v>201.36234817940257</v>
      </c>
      <c r="Y56" s="4">
        <v>64.810366354114535</v>
      </c>
      <c r="Z56" s="4">
        <v>430.78161233164553</v>
      </c>
      <c r="AA56" s="4">
        <v>10.999028393042007</v>
      </c>
      <c r="AB56" s="4">
        <v>109.85980214032598</v>
      </c>
      <c r="AC56" s="4">
        <v>8.3124120550319383</v>
      </c>
      <c r="AD56" s="4">
        <v>63.454784086257156</v>
      </c>
      <c r="AE56" s="4">
        <v>4.6323725485198217</v>
      </c>
      <c r="AF56" s="4">
        <v>5.6025818069538902</v>
      </c>
      <c r="AG56" s="4"/>
      <c r="AH56" s="4"/>
      <c r="AI56" s="4"/>
      <c r="AJ56" s="4"/>
      <c r="AK56" s="4"/>
      <c r="AL56" s="4"/>
      <c r="AM56" s="4"/>
      <c r="AN56" s="4"/>
      <c r="AO56" s="4"/>
      <c r="AP56" s="4"/>
      <c r="AQ56" s="4"/>
      <c r="AR56" s="4"/>
      <c r="AS56" s="4"/>
      <c r="AT56" s="4"/>
      <c r="AU56" s="4"/>
      <c r="AV56" s="4"/>
      <c r="AW56" s="4"/>
      <c r="AX56" s="4"/>
      <c r="AY56" s="4"/>
      <c r="AZ56" s="4"/>
      <c r="BA56" s="4"/>
      <c r="BB56" s="4"/>
    </row>
    <row r="57" spans="1:54" x14ac:dyDescent="0.25">
      <c r="A57" s="4">
        <v>4130</v>
      </c>
      <c r="B57" s="4"/>
      <c r="C57" s="4">
        <v>717.89640542898337</v>
      </c>
      <c r="D57" s="4">
        <v>-6.8280571919521219E-6</v>
      </c>
      <c r="E57" s="4">
        <v>-3.0112414863767069E-6</v>
      </c>
      <c r="F57" s="4">
        <v>-3.0894732080661945E-4</v>
      </c>
      <c r="G57" s="4">
        <v>-3.1333454037372436E-4</v>
      </c>
      <c r="H57" s="4">
        <v>-3.7279280792765998E-3</v>
      </c>
      <c r="I57" s="4">
        <v>-9.753650136250798E-3</v>
      </c>
      <c r="J57" s="4">
        <v>-7.5894090593666336E-2</v>
      </c>
      <c r="K57" s="4">
        <v>-3.5764667260408348E-2</v>
      </c>
      <c r="L57" s="4">
        <v>-0.73658966245708879</v>
      </c>
      <c r="M57" s="4">
        <v>-0.20090165443417526</v>
      </c>
      <c r="N57" s="4">
        <v>-2.2154170923147172</v>
      </c>
      <c r="O57" s="4">
        <v>1.720807548677467</v>
      </c>
      <c r="P57" s="4">
        <v>-1.5103778688584482</v>
      </c>
      <c r="Q57" s="4">
        <v>1.2286044261918667</v>
      </c>
      <c r="R57" s="4">
        <v>5.7401801221352677</v>
      </c>
      <c r="S57" s="4">
        <v>8.9243882512705923</v>
      </c>
      <c r="T57" s="4">
        <v>115.97443046068429</v>
      </c>
      <c r="U57" s="4">
        <v>22.34631912529321</v>
      </c>
      <c r="V57" s="4">
        <v>210.41084401360266</v>
      </c>
      <c r="W57" s="4">
        <v>87.89731449795292</v>
      </c>
      <c r="X57" s="4">
        <v>203.30133641999993</v>
      </c>
      <c r="Y57" s="4">
        <v>67.942711390588983</v>
      </c>
      <c r="Z57" s="4">
        <v>469.01992936715561</v>
      </c>
      <c r="AA57" s="4">
        <v>12.440124574341004</v>
      </c>
      <c r="AB57" s="4">
        <v>129.10624430758668</v>
      </c>
      <c r="AC57" s="4">
        <v>10.152583036244385</v>
      </c>
      <c r="AD57" s="4">
        <v>80.567375224548528</v>
      </c>
      <c r="AE57" s="4">
        <v>6.1157439696443037</v>
      </c>
      <c r="AF57" s="4">
        <v>7.6929328573431768</v>
      </c>
      <c r="AG57" s="4"/>
      <c r="AH57" s="4"/>
      <c r="AI57" s="4"/>
      <c r="AJ57" s="4"/>
      <c r="AK57" s="4"/>
      <c r="AL57" s="4"/>
      <c r="AM57" s="4"/>
      <c r="AN57" s="4"/>
      <c r="AO57" s="4"/>
      <c r="AP57" s="4"/>
      <c r="AQ57" s="4"/>
      <c r="AR57" s="4"/>
      <c r="AS57" s="4"/>
      <c r="AT57" s="4"/>
      <c r="AU57" s="4"/>
      <c r="AV57" s="4"/>
      <c r="AW57" s="4"/>
      <c r="AX57" s="4"/>
      <c r="AY57" s="4"/>
      <c r="AZ57" s="4"/>
      <c r="BA57" s="4"/>
      <c r="BB57" s="4"/>
    </row>
    <row r="58" spans="1:54" x14ac:dyDescent="0.25">
      <c r="A58" s="4">
        <v>4120</v>
      </c>
      <c r="B58" s="4"/>
      <c r="C58" s="4">
        <v>739.34709911551101</v>
      </c>
      <c r="D58" s="4">
        <v>-3.3388327732930449E-6</v>
      </c>
      <c r="E58" s="4">
        <v>-1.5228373444423937E-6</v>
      </c>
      <c r="F58" s="4">
        <v>-1.6161511364393537E-4</v>
      </c>
      <c r="G58" s="4">
        <v>-1.6958032703948885E-4</v>
      </c>
      <c r="H58" s="4">
        <v>-2.0877827732400153E-3</v>
      </c>
      <c r="I58" s="4">
        <v>-5.6534996274265397E-3</v>
      </c>
      <c r="J58" s="4">
        <v>-4.553793094761896E-2</v>
      </c>
      <c r="K58" s="4">
        <v>-2.221868287198699E-2</v>
      </c>
      <c r="L58" s="4">
        <v>-0.47388516901503586</v>
      </c>
      <c r="M58" s="4">
        <v>-0.13387513669990686</v>
      </c>
      <c r="N58" s="4">
        <v>-1.5294220341003419</v>
      </c>
      <c r="O58" s="4">
        <v>1.2309688567001265</v>
      </c>
      <c r="P58" s="4">
        <v>-1.1197776559586514</v>
      </c>
      <c r="Q58" s="4">
        <v>0.94423305370807165</v>
      </c>
      <c r="R58" s="4">
        <v>4.5740840481275153</v>
      </c>
      <c r="S58" s="4">
        <v>7.3749687591342852</v>
      </c>
      <c r="T58" s="4">
        <v>99.412220421419548</v>
      </c>
      <c r="U58" s="4">
        <v>19.87344237291645</v>
      </c>
      <c r="V58" s="4">
        <v>194.18679480034132</v>
      </c>
      <c r="W58" s="4">
        <v>84.199144795572238</v>
      </c>
      <c r="X58" s="4">
        <v>202.18549113670932</v>
      </c>
      <c r="Y58" s="4">
        <v>70.166314064206631</v>
      </c>
      <c r="Z58" s="4">
        <v>503.0980935473637</v>
      </c>
      <c r="AA58" s="4">
        <v>13.863167120187393</v>
      </c>
      <c r="AB58" s="4">
        <v>149.5076243422649</v>
      </c>
      <c r="AC58" s="4">
        <v>12.220086470658782</v>
      </c>
      <c r="AD58" s="4">
        <v>100.81917493728399</v>
      </c>
      <c r="AE58" s="4">
        <v>7.958391228602701</v>
      </c>
      <c r="AF58" s="4">
        <v>10.412792224930023</v>
      </c>
      <c r="AG58" s="4"/>
      <c r="AH58" s="4"/>
      <c r="AI58" s="4"/>
      <c r="AJ58" s="4"/>
      <c r="AK58" s="4"/>
      <c r="AL58" s="4"/>
      <c r="AM58" s="4"/>
      <c r="AN58" s="4"/>
      <c r="AO58" s="4"/>
      <c r="AP58" s="4"/>
      <c r="AQ58" s="4"/>
      <c r="AR58" s="4"/>
      <c r="AS58" s="4"/>
      <c r="AT58" s="4"/>
      <c r="AU58" s="4"/>
      <c r="AV58" s="4"/>
      <c r="AW58" s="4"/>
      <c r="AX58" s="4"/>
      <c r="AY58" s="4"/>
      <c r="AZ58" s="4"/>
      <c r="BA58" s="4"/>
      <c r="BB58" s="4"/>
    </row>
    <row r="59" spans="1:54" x14ac:dyDescent="0.25">
      <c r="A59" s="4">
        <v>4110</v>
      </c>
      <c r="B59" s="4"/>
      <c r="C59" s="4">
        <v>757.92490895016749</v>
      </c>
      <c r="D59" s="4">
        <v>-1.6052508920737292E-6</v>
      </c>
      <c r="E59" s="4">
        <v>-7.5726466325021043E-7</v>
      </c>
      <c r="F59" s="4">
        <v>-8.3138358990273546E-5</v>
      </c>
      <c r="G59" s="4">
        <v>-9.0261073591665865E-5</v>
      </c>
      <c r="H59" s="4">
        <v>-1.1499978096182726E-3</v>
      </c>
      <c r="I59" s="4">
        <v>-3.2232780365264602E-3</v>
      </c>
      <c r="J59" s="4">
        <v>-2.687851818769085E-2</v>
      </c>
      <c r="K59" s="4">
        <v>-1.35795637783612E-2</v>
      </c>
      <c r="L59" s="4">
        <v>-0.29995831102629905</v>
      </c>
      <c r="M59" s="4">
        <v>-8.7779627200628554E-2</v>
      </c>
      <c r="N59" s="4">
        <v>-1.0389960340061752</v>
      </c>
      <c r="O59" s="4">
        <v>0.86659077847747645</v>
      </c>
      <c r="P59" s="4">
        <v>-0.81708635791888151</v>
      </c>
      <c r="Q59" s="4">
        <v>0.71428949359273153</v>
      </c>
      <c r="R59" s="4">
        <v>3.5879706421801236</v>
      </c>
      <c r="S59" s="4">
        <v>5.9999335177158724</v>
      </c>
      <c r="T59" s="4">
        <v>83.899708670880159</v>
      </c>
      <c r="U59" s="4">
        <v>17.402923574134832</v>
      </c>
      <c r="V59" s="4">
        <v>176.4787283794125</v>
      </c>
      <c r="W59" s="4">
        <v>79.432855044331987</v>
      </c>
      <c r="X59" s="4">
        <v>198.04310022329156</v>
      </c>
      <c r="Y59" s="4">
        <v>71.376331495073018</v>
      </c>
      <c r="Z59" s="4">
        <v>531.61087344184455</v>
      </c>
      <c r="AA59" s="4">
        <v>15.220197215784873</v>
      </c>
      <c r="AB59" s="4">
        <v>170.5846921808328</v>
      </c>
      <c r="AC59" s="4">
        <v>14.493504579133138</v>
      </c>
      <c r="AD59" s="4">
        <v>124.32815900347708</v>
      </c>
      <c r="AE59" s="4">
        <v>10.206691941368671</v>
      </c>
      <c r="AF59" s="4">
        <v>13.892095168715899</v>
      </c>
      <c r="AG59" s="4"/>
      <c r="AH59" s="4"/>
      <c r="AI59" s="4"/>
      <c r="AJ59" s="4"/>
      <c r="AK59" s="4"/>
      <c r="AL59" s="4"/>
      <c r="AM59" s="4"/>
      <c r="AN59" s="4"/>
      <c r="AO59" s="4"/>
      <c r="AP59" s="4"/>
      <c r="AQ59" s="4"/>
      <c r="AR59" s="4"/>
      <c r="AS59" s="4"/>
      <c r="AT59" s="4"/>
      <c r="AU59" s="4"/>
      <c r="AV59" s="4"/>
      <c r="AW59" s="4"/>
      <c r="AX59" s="4"/>
      <c r="AY59" s="4"/>
      <c r="AZ59" s="4"/>
      <c r="BA59" s="4"/>
      <c r="BB59" s="4"/>
    </row>
    <row r="60" spans="1:54" x14ac:dyDescent="0.25">
      <c r="A60" s="4">
        <v>4100</v>
      </c>
      <c r="B60" s="4"/>
      <c r="C60" s="4">
        <v>773.41065778277527</v>
      </c>
      <c r="D60" s="4">
        <v>-7.5873482240775545E-7</v>
      </c>
      <c r="E60" s="4">
        <v>-3.7023407524076526E-7</v>
      </c>
      <c r="F60" s="4">
        <v>-4.2052451498445412E-5</v>
      </c>
      <c r="G60" s="4">
        <v>-4.7242403306323484E-5</v>
      </c>
      <c r="H60" s="4">
        <v>-6.2294749379171444E-4</v>
      </c>
      <c r="I60" s="4">
        <v>-1.8074128305092107E-3</v>
      </c>
      <c r="J60" s="4">
        <v>-1.5604620391535956E-2</v>
      </c>
      <c r="K60" s="4">
        <v>-8.1640575316455372E-3</v>
      </c>
      <c r="L60" s="4">
        <v>-0.1867834909643937</v>
      </c>
      <c r="M60" s="4">
        <v>-5.6625836298144397E-2</v>
      </c>
      <c r="N60" s="4">
        <v>-0.69448844893123329</v>
      </c>
      <c r="O60" s="4">
        <v>0.6003207601045879</v>
      </c>
      <c r="P60" s="4">
        <v>-0.58673818118776933</v>
      </c>
      <c r="Q60" s="4">
        <v>0.53179922432638704</v>
      </c>
      <c r="R60" s="4">
        <v>2.7701951385148962</v>
      </c>
      <c r="S60" s="4">
        <v>4.8049406066870652</v>
      </c>
      <c r="T60" s="4">
        <v>69.706821630865278</v>
      </c>
      <c r="U60" s="4">
        <v>15.003912464282337</v>
      </c>
      <c r="V60" s="4">
        <v>157.92013684541288</v>
      </c>
      <c r="W60" s="4">
        <v>73.791213214844475</v>
      </c>
      <c r="X60" s="4">
        <v>191.03862377631958</v>
      </c>
      <c r="Y60" s="4">
        <v>71.510778876447304</v>
      </c>
      <c r="Z60" s="4">
        <v>553.30806116406438</v>
      </c>
      <c r="AA60" s="4">
        <v>16.460784850801847</v>
      </c>
      <c r="AB60" s="4">
        <v>191.74760022114137</v>
      </c>
      <c r="AC60" s="4">
        <v>16.936617956550947</v>
      </c>
      <c r="AD60" s="4">
        <v>151.07452881921449</v>
      </c>
      <c r="AE60" s="4">
        <v>12.899759253190814</v>
      </c>
      <c r="AF60" s="4">
        <v>18.266146182234777</v>
      </c>
      <c r="AG60" s="4"/>
      <c r="AH60" s="4"/>
      <c r="AI60" s="4"/>
      <c r="AJ60" s="4"/>
      <c r="AK60" s="4"/>
      <c r="AL60" s="4"/>
      <c r="AM60" s="4"/>
      <c r="AN60" s="4"/>
      <c r="AO60" s="4"/>
      <c r="AP60" s="4"/>
      <c r="AQ60" s="4"/>
      <c r="AR60" s="4"/>
      <c r="AS60" s="4"/>
      <c r="AT60" s="4"/>
      <c r="AU60" s="4"/>
      <c r="AV60" s="4"/>
      <c r="AW60" s="4"/>
      <c r="AX60" s="4"/>
      <c r="AY60" s="4"/>
      <c r="AZ60" s="4"/>
      <c r="BA60" s="4"/>
      <c r="BB60" s="4"/>
    </row>
    <row r="61" spans="1:54" x14ac:dyDescent="0.25">
      <c r="A61" s="4">
        <v>4090</v>
      </c>
      <c r="B61" s="4"/>
      <c r="C61" s="4">
        <v>785.58410454737077</v>
      </c>
      <c r="D61" s="4">
        <v>-3.5251987637363789E-7</v>
      </c>
      <c r="E61" s="4">
        <v>-1.7794567288396274E-7</v>
      </c>
      <c r="F61" s="4">
        <v>-2.0912193289450871E-5</v>
      </c>
      <c r="G61" s="4">
        <v>-2.4311855700595141E-5</v>
      </c>
      <c r="H61" s="4">
        <v>-3.318157169213663E-4</v>
      </c>
      <c r="I61" s="4">
        <v>-9.9665460118633056E-4</v>
      </c>
      <c r="J61" s="4">
        <v>-8.9097529647151185E-3</v>
      </c>
      <c r="K61" s="4">
        <v>-4.8275625947604853E-3</v>
      </c>
      <c r="L61" s="4">
        <v>-0.11440762097382025</v>
      </c>
      <c r="M61" s="4">
        <v>-3.5934522047895844E-2</v>
      </c>
      <c r="N61" s="4">
        <v>-0.45669913717537108</v>
      </c>
      <c r="O61" s="4">
        <v>0.40917075365599231</v>
      </c>
      <c r="P61" s="4">
        <v>-0.41458231892582997</v>
      </c>
      <c r="Q61" s="4">
        <v>0.38962741273154161</v>
      </c>
      <c r="R61" s="4">
        <v>2.1049353754069742</v>
      </c>
      <c r="S61" s="4">
        <v>3.7873488614508704</v>
      </c>
      <c r="T61" s="4">
        <v>57.007870361409118</v>
      </c>
      <c r="U61" s="4">
        <v>12.734173877135532</v>
      </c>
      <c r="V61" s="4">
        <v>139.12528671505115</v>
      </c>
      <c r="W61" s="4">
        <v>67.495100603723316</v>
      </c>
      <c r="X61" s="4">
        <v>181.4620067912881</v>
      </c>
      <c r="Y61" s="4">
        <v>70.555689916306378</v>
      </c>
      <c r="Z61" s="4">
        <v>567.18380059188337</v>
      </c>
      <c r="AA61" s="4">
        <v>17.534975067832182</v>
      </c>
      <c r="AB61" s="4">
        <v>212.31716230738346</v>
      </c>
      <c r="AC61" s="4">
        <v>19.497836904490697</v>
      </c>
      <c r="AD61" s="4">
        <v>180.86764926591334</v>
      </c>
      <c r="AE61" s="4">
        <v>16.064521727730696</v>
      </c>
      <c r="AF61" s="4">
        <v>23.667787700864128</v>
      </c>
      <c r="AG61" s="4"/>
      <c r="AH61" s="4"/>
      <c r="AI61" s="4"/>
      <c r="AJ61" s="4"/>
      <c r="AK61" s="4"/>
      <c r="AL61" s="4"/>
      <c r="AM61" s="4"/>
      <c r="AN61" s="4"/>
      <c r="AO61" s="4"/>
      <c r="AP61" s="4"/>
      <c r="AQ61" s="4"/>
      <c r="AR61" s="4"/>
      <c r="AS61" s="4"/>
      <c r="AT61" s="4"/>
      <c r="AU61" s="4"/>
      <c r="AV61" s="4"/>
      <c r="AW61" s="4"/>
      <c r="AX61" s="4"/>
      <c r="AY61" s="4"/>
      <c r="AZ61" s="4"/>
      <c r="BA61" s="4"/>
      <c r="BB61" s="4"/>
    </row>
    <row r="62" spans="1:54" x14ac:dyDescent="0.25">
      <c r="A62" s="4">
        <v>4080</v>
      </c>
      <c r="B62" s="4"/>
      <c r="C62" s="4">
        <v>794.23149320666175</v>
      </c>
      <c r="D62" s="4">
        <v>-1.6097961519762696E-7</v>
      </c>
      <c r="E62" s="4">
        <v>-8.4067510598293151E-8</v>
      </c>
      <c r="F62" s="4">
        <v>-1.0222892286549293E-5</v>
      </c>
      <c r="G62" s="4">
        <v>-1.2300041913868326E-5</v>
      </c>
      <c r="H62" s="4">
        <v>-1.7377265600934593E-4</v>
      </c>
      <c r="I62" s="4">
        <v>-5.4039060385013208E-4</v>
      </c>
      <c r="J62" s="4">
        <v>-5.0025442776784907E-3</v>
      </c>
      <c r="K62" s="4">
        <v>-2.8073711137639127E-3</v>
      </c>
      <c r="L62" s="4">
        <v>-6.8922166218108552E-2</v>
      </c>
      <c r="M62" s="4">
        <v>-2.2430257826937541E-2</v>
      </c>
      <c r="N62" s="4">
        <v>-0.29543256816517277</v>
      </c>
      <c r="O62" s="4">
        <v>0.27436385796618035</v>
      </c>
      <c r="P62" s="4">
        <v>-0.28821501146242473</v>
      </c>
      <c r="Q62" s="4">
        <v>0.2808854376799319</v>
      </c>
      <c r="R62" s="4">
        <v>1.573924256825799</v>
      </c>
      <c r="S62" s="4">
        <v>2.9379082221163815</v>
      </c>
      <c r="T62" s="4">
        <v>45.8869485412689</v>
      </c>
      <c r="U62" s="4">
        <v>10.638276720244381</v>
      </c>
      <c r="V62" s="4">
        <v>120.65589610120833</v>
      </c>
      <c r="W62" s="4">
        <v>60.779015835002092</v>
      </c>
      <c r="X62" s="4">
        <v>169.70873396564332</v>
      </c>
      <c r="Y62" s="4">
        <v>68.546757349704663</v>
      </c>
      <c r="Z62" s="4">
        <v>572.55288093464105</v>
      </c>
      <c r="AA62" s="4">
        <v>18.396517069123345</v>
      </c>
      <c r="AB62" s="4">
        <v>231.55663680154413</v>
      </c>
      <c r="AC62" s="4">
        <v>22.110803543578559</v>
      </c>
      <c r="AD62" s="4">
        <v>213.31948679240938</v>
      </c>
      <c r="AE62" s="4">
        <v>19.710420373913632</v>
      </c>
      <c r="AF62" s="4">
        <v>30.21707746075856</v>
      </c>
      <c r="AG62" s="4"/>
      <c r="AH62" s="4"/>
      <c r="AI62" s="4"/>
      <c r="AJ62" s="4"/>
      <c r="AK62" s="4"/>
      <c r="AL62" s="4"/>
      <c r="AM62" s="4"/>
      <c r="AN62" s="4"/>
      <c r="AO62" s="4"/>
      <c r="AP62" s="4"/>
      <c r="AQ62" s="4"/>
      <c r="AR62" s="4"/>
      <c r="AS62" s="4"/>
      <c r="AT62" s="4"/>
      <c r="AU62" s="4"/>
      <c r="AV62" s="4"/>
      <c r="AW62" s="4"/>
      <c r="AX62" s="4"/>
      <c r="AY62" s="4"/>
      <c r="AZ62" s="4"/>
      <c r="BA62" s="4"/>
      <c r="BB62" s="4"/>
    </row>
    <row r="63" spans="1:54" x14ac:dyDescent="0.25">
      <c r="A63" s="4">
        <v>4070</v>
      </c>
      <c r="B63" s="4"/>
      <c r="C63" s="4">
        <v>799.15274345938496</v>
      </c>
      <c r="D63" s="4">
        <v>-7.2243464101455432E-8</v>
      </c>
      <c r="E63" s="4">
        <v>-3.9034223952363637E-8</v>
      </c>
      <c r="F63" s="4">
        <v>-4.9120298018757395E-6</v>
      </c>
      <c r="G63" s="4">
        <v>-6.1170873273721292E-6</v>
      </c>
      <c r="H63" s="4">
        <v>-8.946482819995978E-5</v>
      </c>
      <c r="I63" s="4">
        <v>-2.8806753213038438E-4</v>
      </c>
      <c r="J63" s="4">
        <v>-2.7617021473869889E-3</v>
      </c>
      <c r="K63" s="4">
        <v>-1.605350151130665E-3</v>
      </c>
      <c r="L63" s="4">
        <v>-4.0831801409587323E-2</v>
      </c>
      <c r="M63" s="4">
        <v>-1.3769879913073598E-2</v>
      </c>
      <c r="N63" s="4">
        <v>-0.18797413447294334</v>
      </c>
      <c r="O63" s="4">
        <v>0.18096685183698799</v>
      </c>
      <c r="P63" s="4">
        <v>-0.19711093495857929</v>
      </c>
      <c r="Q63" s="4">
        <v>0.19922138403752968</v>
      </c>
      <c r="R63" s="4">
        <v>1.1579634010369328</v>
      </c>
      <c r="S63" s="4">
        <v>2.2425712062573684</v>
      </c>
      <c r="T63" s="4">
        <v>36.348628809084289</v>
      </c>
      <c r="U63" s="4">
        <v>8.7469351360782994</v>
      </c>
      <c r="V63" s="4">
        <v>102.99472918157733</v>
      </c>
      <c r="W63" s="4">
        <v>53.876471744100385</v>
      </c>
      <c r="X63" s="4">
        <v>156.25253904901567</v>
      </c>
      <c r="Y63" s="4">
        <v>65.567220361016297</v>
      </c>
      <c r="Z63" s="4">
        <v>569.10604999293059</v>
      </c>
      <c r="AA63" s="4">
        <v>19.00609744921746</v>
      </c>
      <c r="AB63" s="4">
        <v>248.71248306326152</v>
      </c>
      <c r="AC63" s="4">
        <v>24.696330122938836</v>
      </c>
      <c r="AD63" s="4">
        <v>247.82882282224628</v>
      </c>
      <c r="AE63" s="4">
        <v>23.824167166281079</v>
      </c>
      <c r="AF63" s="4">
        <v>38.008731653660831</v>
      </c>
      <c r="AG63" s="4"/>
      <c r="AH63" s="4"/>
      <c r="AI63" s="4"/>
      <c r="AJ63" s="4"/>
      <c r="AK63" s="4"/>
      <c r="AL63" s="4"/>
      <c r="AM63" s="4"/>
      <c r="AN63" s="4"/>
      <c r="AO63" s="4"/>
      <c r="AP63" s="4"/>
      <c r="AQ63" s="4"/>
      <c r="AR63" s="4"/>
      <c r="AS63" s="4"/>
      <c r="AT63" s="4"/>
      <c r="AU63" s="4"/>
      <c r="AV63" s="4"/>
      <c r="AW63" s="4"/>
      <c r="AX63" s="4"/>
      <c r="AY63" s="4"/>
      <c r="AZ63" s="4"/>
      <c r="BA63" s="4"/>
      <c r="BB63" s="4"/>
    </row>
    <row r="64" spans="1:54" x14ac:dyDescent="0.25">
      <c r="A64" s="4">
        <v>4060</v>
      </c>
      <c r="B64" s="4"/>
      <c r="C64" s="4">
        <v>800.16806722040133</v>
      </c>
      <c r="D64" s="4">
        <v>-3.1857587582549435E-8</v>
      </c>
      <c r="E64" s="4">
        <v>-1.7810903087668696E-8</v>
      </c>
      <c r="F64" s="4">
        <v>-2.3195717474735341E-6</v>
      </c>
      <c r="G64" s="4">
        <v>-2.9900548722637946E-6</v>
      </c>
      <c r="H64" s="4">
        <v>-4.527480571179384E-5</v>
      </c>
      <c r="I64" s="4">
        <v>-1.5095635115447046E-4</v>
      </c>
      <c r="J64" s="4">
        <v>-1.4988931660853471E-3</v>
      </c>
      <c r="K64" s="4">
        <v>-9.0257908223282334E-4</v>
      </c>
      <c r="L64" s="4">
        <v>-2.3786005591426955E-2</v>
      </c>
      <c r="M64" s="4">
        <v>-8.3128016364273569E-3</v>
      </c>
      <c r="N64" s="4">
        <v>-0.11762440334060283</v>
      </c>
      <c r="O64" s="4">
        <v>0.11740030720573987</v>
      </c>
      <c r="P64" s="4">
        <v>-0.13259940863217126</v>
      </c>
      <c r="Q64" s="4">
        <v>0.13900112957217522</v>
      </c>
      <c r="R64" s="4">
        <v>0.83814780186062987</v>
      </c>
      <c r="S64" s="4">
        <v>1.6842570909698231</v>
      </c>
      <c r="T64" s="4">
        <v>28.332219405053479</v>
      </c>
      <c r="U64" s="4">
        <v>7.0774051240255842</v>
      </c>
      <c r="V64" s="4">
        <v>86.527674395712168</v>
      </c>
      <c r="W64" s="4">
        <v>47.006563680133894</v>
      </c>
      <c r="X64" s="4">
        <v>141.61341025782002</v>
      </c>
      <c r="Y64" s="4">
        <v>61.74215998046509</v>
      </c>
      <c r="Z64" s="4">
        <v>556.93821267534781</v>
      </c>
      <c r="AA64" s="4">
        <v>19.33427049525972</v>
      </c>
      <c r="AB64" s="4">
        <v>263.06129938105801</v>
      </c>
      <c r="AC64" s="4">
        <v>27.165714679334997</v>
      </c>
      <c r="AD64" s="4">
        <v>283.58023963811752</v>
      </c>
      <c r="AE64" s="4">
        <v>28.36512813926846</v>
      </c>
      <c r="AF64" s="4">
        <v>47.097955941498441</v>
      </c>
      <c r="AG64" s="4"/>
      <c r="AH64" s="4"/>
      <c r="AI64" s="4"/>
      <c r="AJ64" s="4"/>
      <c r="AK64" s="4"/>
      <c r="AL64" s="4"/>
      <c r="AM64" s="4"/>
      <c r="AN64" s="4"/>
      <c r="AO64" s="4"/>
      <c r="AP64" s="4"/>
      <c r="AQ64" s="4"/>
      <c r="AR64" s="4"/>
      <c r="AS64" s="4"/>
      <c r="AT64" s="4"/>
      <c r="AU64" s="4"/>
      <c r="AV64" s="4"/>
      <c r="AW64" s="4"/>
      <c r="AX64" s="4"/>
      <c r="AY64" s="4"/>
      <c r="AZ64" s="4"/>
      <c r="BA64" s="4"/>
      <c r="BB64" s="4"/>
    </row>
    <row r="65" spans="1:54" x14ac:dyDescent="0.25">
      <c r="A65" s="4">
        <v>4050</v>
      </c>
      <c r="B65" s="4"/>
      <c r="C65" s="4">
        <v>797.12410681702465</v>
      </c>
      <c r="D65" s="4">
        <v>-1.3802559236941034E-8</v>
      </c>
      <c r="E65" s="4">
        <v>-7.9853747969452472E-9</v>
      </c>
      <c r="F65" s="4">
        <v>-1.0763669678267475E-6</v>
      </c>
      <c r="G65" s="4">
        <v>-1.4363369435545698E-6</v>
      </c>
      <c r="H65" s="4">
        <v>-2.2518565256618049E-5</v>
      </c>
      <c r="I65" s="4">
        <v>-7.775452880353174E-5</v>
      </c>
      <c r="J65" s="4">
        <v>-7.9968568738324924E-4</v>
      </c>
      <c r="K65" s="4">
        <v>-4.9887683895420427E-4</v>
      </c>
      <c r="L65" s="4">
        <v>-1.3623072738687014E-2</v>
      </c>
      <c r="M65" s="4">
        <v>-4.934390033703581E-3</v>
      </c>
      <c r="N65" s="4">
        <v>-7.2377569160561386E-2</v>
      </c>
      <c r="O65" s="4">
        <v>7.4900600761636307E-2</v>
      </c>
      <c r="P65" s="4">
        <v>-8.7731830213916229E-2</v>
      </c>
      <c r="Q65" s="4">
        <v>9.5394762342641992E-2</v>
      </c>
      <c r="R65" s="4">
        <v>0.596773499927994</v>
      </c>
      <c r="S65" s="4">
        <v>1.2444378638094966</v>
      </c>
      <c r="T65" s="4">
        <v>21.72779368012576</v>
      </c>
      <c r="U65" s="4">
        <v>5.6347504729448143</v>
      </c>
      <c r="V65" s="4">
        <v>71.534870672886797</v>
      </c>
      <c r="W65" s="4">
        <v>40.362781465202673</v>
      </c>
      <c r="X65" s="4">
        <v>126.32393326080805</v>
      </c>
      <c r="Y65" s="4">
        <v>57.229744325622697</v>
      </c>
      <c r="Z65" s="4">
        <v>536.54605004280711</v>
      </c>
      <c r="AA65" s="4">
        <v>19.363786345161056</v>
      </c>
      <c r="AB65" s="4">
        <v>273.95909903235469</v>
      </c>
      <c r="AC65" s="4">
        <v>29.425322731965011</v>
      </c>
      <c r="AD65" s="4">
        <v>319.5609919664077</v>
      </c>
      <c r="AE65" s="4">
        <v>33.26196779547346</v>
      </c>
      <c r="AF65" s="4">
        <v>57.485683347706583</v>
      </c>
      <c r="AG65" s="4"/>
      <c r="AH65" s="4"/>
      <c r="AI65" s="4"/>
      <c r="AJ65" s="4"/>
      <c r="AK65" s="4"/>
      <c r="AL65" s="4"/>
      <c r="AM65" s="4"/>
      <c r="AN65" s="4"/>
      <c r="AO65" s="4"/>
      <c r="AP65" s="4"/>
      <c r="AQ65" s="4"/>
      <c r="AR65" s="4"/>
      <c r="AS65" s="4"/>
      <c r="AT65" s="4"/>
      <c r="AU65" s="4"/>
      <c r="AV65" s="4"/>
      <c r="AW65" s="4"/>
      <c r="AX65" s="4"/>
      <c r="AY65" s="4"/>
      <c r="AZ65" s="4"/>
      <c r="BA65" s="4"/>
      <c r="BB65" s="4"/>
    </row>
    <row r="66" spans="1:54" x14ac:dyDescent="0.25">
      <c r="A66" s="4">
        <v>4040</v>
      </c>
      <c r="B66" s="4"/>
      <c r="C66" s="4">
        <v>789.89997168299124</v>
      </c>
      <c r="D66" s="4">
        <v>-5.8746776872292052E-9</v>
      </c>
      <c r="E66" s="4">
        <v>-3.5173784840161029E-9</v>
      </c>
      <c r="F66" s="4">
        <v>-4.9075449776367382E-7</v>
      </c>
      <c r="G66" s="4">
        <v>-6.7798802534540265E-7</v>
      </c>
      <c r="H66" s="4">
        <v>-1.1006537176714051E-5</v>
      </c>
      <c r="I66" s="4">
        <v>-3.936075480782129E-5</v>
      </c>
      <c r="J66" s="4">
        <v>-4.1934275880372977E-4</v>
      </c>
      <c r="K66" s="4">
        <v>-2.710444829574032E-4</v>
      </c>
      <c r="L66" s="4">
        <v>-7.6701873346563722E-3</v>
      </c>
      <c r="M66" s="4">
        <v>-2.8796205789564213E-3</v>
      </c>
      <c r="N66" s="4">
        <v>-4.37889877122997E-2</v>
      </c>
      <c r="O66" s="4">
        <v>4.6988822134022938E-2</v>
      </c>
      <c r="P66" s="4">
        <v>-5.7082770201663573E-2</v>
      </c>
      <c r="Q66" s="4">
        <v>6.4387604122175188E-2</v>
      </c>
      <c r="R66" s="4">
        <v>0.41793572442582694</v>
      </c>
      <c r="S66" s="4">
        <v>0.90445890249467609</v>
      </c>
      <c r="T66" s="4">
        <v>16.392357834640954</v>
      </c>
      <c r="U66" s="4">
        <v>4.4137354372253057</v>
      </c>
      <c r="V66" s="4">
        <v>58.190486494422075</v>
      </c>
      <c r="W66" s="4">
        <v>34.104822023151108</v>
      </c>
      <c r="X66" s="4">
        <v>110.89703951479916</v>
      </c>
      <c r="Y66" s="4">
        <v>52.210281041988736</v>
      </c>
      <c r="Z66" s="4">
        <v>508.79479462933568</v>
      </c>
      <c r="AA66" s="4">
        <v>19.091063996255297</v>
      </c>
      <c r="AB66" s="4">
        <v>280.8883978726239</v>
      </c>
      <c r="AC66" s="4">
        <v>31.38216067219896</v>
      </c>
      <c r="AD66" s="4">
        <v>354.59738581946169</v>
      </c>
      <c r="AE66" s="4">
        <v>38.411196357182895</v>
      </c>
      <c r="AF66" s="4">
        <v>69.104614118015633</v>
      </c>
      <c r="AG66" s="4"/>
      <c r="AH66" s="4"/>
      <c r="AI66" s="4"/>
      <c r="AJ66" s="4"/>
      <c r="AK66" s="4"/>
      <c r="AL66" s="4"/>
      <c r="AM66" s="4"/>
      <c r="AN66" s="4"/>
      <c r="AO66" s="4"/>
      <c r="AP66" s="4"/>
      <c r="AQ66" s="4"/>
      <c r="AR66" s="4"/>
      <c r="AS66" s="4"/>
      <c r="AT66" s="4"/>
      <c r="AU66" s="4"/>
      <c r="AV66" s="4"/>
      <c r="AW66" s="4"/>
      <c r="AX66" s="4"/>
      <c r="AY66" s="4"/>
      <c r="AZ66" s="4"/>
      <c r="BA66" s="4"/>
      <c r="BB66" s="4"/>
    </row>
    <row r="67" spans="1:54" x14ac:dyDescent="0.25">
      <c r="A67" s="4">
        <v>4030</v>
      </c>
      <c r="B67" s="4"/>
      <c r="C67" s="4">
        <v>778.41371569675653</v>
      </c>
      <c r="D67" s="4">
        <v>-2.456014625487031E-9</v>
      </c>
      <c r="E67" s="4">
        <v>-1.5219567322843245E-9</v>
      </c>
      <c r="F67" s="4">
        <v>-2.1981875650703787E-7</v>
      </c>
      <c r="G67" s="4">
        <v>-3.1442826165684746E-7</v>
      </c>
      <c r="H67" s="4">
        <v>-5.286059951802641E-6</v>
      </c>
      <c r="I67" s="4">
        <v>-1.957989113628708E-5</v>
      </c>
      <c r="J67" s="4">
        <v>-2.1610561517338323E-4</v>
      </c>
      <c r="K67" s="4">
        <v>-1.4473482490868711E-4</v>
      </c>
      <c r="L67" s="4">
        <v>-4.244831725756933E-3</v>
      </c>
      <c r="M67" s="4">
        <v>-1.6519589969680951E-3</v>
      </c>
      <c r="N67" s="4">
        <v>-2.6045147882961219E-2</v>
      </c>
      <c r="O67" s="4">
        <v>2.8983034603079189E-2</v>
      </c>
      <c r="P67" s="4">
        <v>-3.6520119060347515E-2</v>
      </c>
      <c r="Q67" s="4">
        <v>4.273648224503817E-2</v>
      </c>
      <c r="R67" s="4">
        <v>0.28785113132211465</v>
      </c>
      <c r="S67" s="4">
        <v>0.64655113468654679</v>
      </c>
      <c r="T67" s="4">
        <v>12.164823614860452</v>
      </c>
      <c r="U67" s="4">
        <v>3.4010804955797913</v>
      </c>
      <c r="V67" s="4">
        <v>46.569956769430654</v>
      </c>
      <c r="W67" s="4">
        <v>28.353784675734012</v>
      </c>
      <c r="X67" s="4">
        <v>95.797892061719125</v>
      </c>
      <c r="Y67" s="4">
        <v>46.874142017648978</v>
      </c>
      <c r="Z67" s="4">
        <v>474.85720451658585</v>
      </c>
      <c r="AA67" s="4">
        <v>18.526637043633798</v>
      </c>
      <c r="AB67" s="4">
        <v>283.49841356025826</v>
      </c>
      <c r="AC67" s="4">
        <v>32.950015362243597</v>
      </c>
      <c r="AD67" s="4">
        <v>387.4102870676424</v>
      </c>
      <c r="AE67" s="4">
        <v>43.678179000508536</v>
      </c>
      <c r="AF67" s="4">
        <v>81.807741727092619</v>
      </c>
      <c r="AG67" s="4"/>
      <c r="AH67" s="4"/>
      <c r="AI67" s="4"/>
      <c r="AJ67" s="4"/>
      <c r="AK67" s="4"/>
      <c r="AL67" s="4"/>
      <c r="AM67" s="4"/>
      <c r="AN67" s="4"/>
      <c r="AO67" s="4"/>
      <c r="AP67" s="4"/>
      <c r="AQ67" s="4"/>
      <c r="AR67" s="4"/>
      <c r="AS67" s="4"/>
      <c r="AT67" s="4"/>
      <c r="AU67" s="4"/>
      <c r="AV67" s="4"/>
      <c r="AW67" s="4"/>
      <c r="AX67" s="4"/>
      <c r="AY67" s="4"/>
      <c r="AZ67" s="4"/>
      <c r="BA67" s="4"/>
      <c r="BB67" s="4"/>
    </row>
    <row r="68" spans="1:54" x14ac:dyDescent="0.25">
      <c r="A68" s="4">
        <v>4020</v>
      </c>
      <c r="B68" s="4"/>
      <c r="C68" s="4">
        <v>762.62978184270321</v>
      </c>
      <c r="D68" s="4">
        <v>-1.0084273763721735E-9</v>
      </c>
      <c r="E68" s="4">
        <v>-6.4682886505875613E-10</v>
      </c>
      <c r="F68" s="4">
        <v>-9.6717797445116354E-8</v>
      </c>
      <c r="G68" s="4">
        <v>-1.4325171568071267E-7</v>
      </c>
      <c r="H68" s="4">
        <v>-2.4941920401266578E-6</v>
      </c>
      <c r="I68" s="4">
        <v>-9.5699898936418328E-6</v>
      </c>
      <c r="J68" s="4">
        <v>-1.0943479871977662E-4</v>
      </c>
      <c r="K68" s="4">
        <v>-7.595149839116588E-5</v>
      </c>
      <c r="L68" s="4">
        <v>-2.3087897613200447E-3</v>
      </c>
      <c r="M68" s="4">
        <v>-9.3147551157939774E-4</v>
      </c>
      <c r="N68" s="4">
        <v>-1.522775687019933E-2</v>
      </c>
      <c r="O68" s="4">
        <v>1.7574361667820958E-2</v>
      </c>
      <c r="P68" s="4">
        <v>-2.2971279398925987E-2</v>
      </c>
      <c r="Q68" s="4">
        <v>2.7890789553149862E-2</v>
      </c>
      <c r="R68" s="4">
        <v>0.19495385289232531</v>
      </c>
      <c r="S68" s="4">
        <v>0.45452993784154905</v>
      </c>
      <c r="T68" s="4">
        <v>8.8788384695548608</v>
      </c>
      <c r="U68" s="4">
        <v>2.5778288758434433</v>
      </c>
      <c r="V68" s="4">
        <v>36.66292366179924</v>
      </c>
      <c r="W68" s="4">
        <v>23.190750103485239</v>
      </c>
      <c r="X68" s="4">
        <v>81.422007652890116</v>
      </c>
      <c r="Y68" s="4">
        <v>41.409699470887773</v>
      </c>
      <c r="Z68" s="4">
        <v>436.13073795387976</v>
      </c>
      <c r="AA68" s="4">
        <v>17.694506231627635</v>
      </c>
      <c r="AB68" s="4">
        <v>281.63408924640407</v>
      </c>
      <c r="AC68" s="4">
        <v>34.055619187067393</v>
      </c>
      <c r="AD68" s="4">
        <v>416.68708148567987</v>
      </c>
      <c r="AE68" s="4">
        <v>48.900988744230901</v>
      </c>
      <c r="AF68" s="4">
        <v>95.36118065374697</v>
      </c>
      <c r="AG68" s="4"/>
      <c r="AH68" s="4"/>
      <c r="AI68" s="4"/>
      <c r="AJ68" s="4"/>
      <c r="AK68" s="4"/>
      <c r="AL68" s="4"/>
      <c r="AM68" s="4"/>
      <c r="AN68" s="4"/>
      <c r="AO68" s="4"/>
      <c r="AP68" s="4"/>
      <c r="AQ68" s="4"/>
      <c r="AR68" s="4"/>
      <c r="AS68" s="4"/>
      <c r="AT68" s="4"/>
      <c r="AU68" s="4"/>
      <c r="AV68" s="4"/>
      <c r="AW68" s="4"/>
      <c r="AX68" s="4"/>
      <c r="AY68" s="4"/>
      <c r="AZ68" s="4"/>
      <c r="BA68" s="4"/>
      <c r="BB68" s="4"/>
    </row>
    <row r="69" spans="1:54" x14ac:dyDescent="0.25">
      <c r="A69" s="4">
        <v>4010</v>
      </c>
      <c r="B69" s="4"/>
      <c r="C69" s="4">
        <v>742.56771695809687</v>
      </c>
      <c r="D69" s="4">
        <v>-4.0660140243588907E-10</v>
      </c>
      <c r="E69" s="4">
        <v>-2.6997549039863876E-10</v>
      </c>
      <c r="F69" s="4">
        <v>-4.179587338205459E-8</v>
      </c>
      <c r="G69" s="4">
        <v>-6.410636408319571E-8</v>
      </c>
      <c r="H69" s="4">
        <v>-1.1560820454827501E-6</v>
      </c>
      <c r="I69" s="4">
        <v>-4.5952777260638982E-6</v>
      </c>
      <c r="J69" s="4">
        <v>-5.4448038748471565E-5</v>
      </c>
      <c r="K69" s="4">
        <v>-3.9162968015039229E-5</v>
      </c>
      <c r="L69" s="4">
        <v>-1.2340222746199852E-3</v>
      </c>
      <c r="M69" s="4">
        <v>-5.1617539231091055E-4</v>
      </c>
      <c r="N69" s="4">
        <v>-8.7506016175174818E-3</v>
      </c>
      <c r="O69" s="4">
        <v>1.047484377469312E-2</v>
      </c>
      <c r="P69" s="4">
        <v>-1.4203982179461713E-2</v>
      </c>
      <c r="Q69" s="4">
        <v>1.7895121626298877E-2</v>
      </c>
      <c r="R69" s="4">
        <v>0.1298217972189967</v>
      </c>
      <c r="S69" s="4">
        <v>0.31420591716615309</v>
      </c>
      <c r="T69" s="4">
        <v>6.3729325092936362</v>
      </c>
      <c r="U69" s="4">
        <v>1.9216084375442666</v>
      </c>
      <c r="V69" s="4">
        <v>28.389846870727059</v>
      </c>
      <c r="W69" s="4">
        <v>18.6584065787995</v>
      </c>
      <c r="X69" s="4">
        <v>68.080887272669287</v>
      </c>
      <c r="Y69" s="4">
        <v>35.992347473970149</v>
      </c>
      <c r="Z69" s="4">
        <v>394.14113496493189</v>
      </c>
      <c r="AA69" s="4">
        <v>16.630450596744925</v>
      </c>
      <c r="AB69" s="4">
        <v>275.35064300210485</v>
      </c>
      <c r="AC69" s="4">
        <v>34.644241872982924</v>
      </c>
      <c r="AD69" s="4">
        <v>441.1650997508907</v>
      </c>
      <c r="AE69" s="4">
        <v>53.897218670147986</v>
      </c>
      <c r="AF69" s="4">
        <v>109.4430224860095</v>
      </c>
      <c r="AG69" s="4"/>
      <c r="AH69" s="4"/>
      <c r="AI69" s="4"/>
      <c r="AJ69" s="4"/>
      <c r="AK69" s="4"/>
      <c r="AL69" s="4"/>
      <c r="AM69" s="4"/>
      <c r="AN69" s="4"/>
      <c r="AO69" s="4"/>
      <c r="AP69" s="4"/>
      <c r="AQ69" s="4"/>
      <c r="AR69" s="4"/>
      <c r="AS69" s="4"/>
      <c r="AT69" s="4"/>
      <c r="AU69" s="4"/>
      <c r="AV69" s="4"/>
      <c r="AW69" s="4"/>
      <c r="AX69" s="4"/>
      <c r="AY69" s="4"/>
      <c r="AZ69" s="4"/>
      <c r="BA69" s="4"/>
      <c r="BB69" s="4"/>
    </row>
    <row r="70" spans="1:54" x14ac:dyDescent="0.25">
      <c r="A70" s="4">
        <v>4000</v>
      </c>
      <c r="B70" s="4"/>
      <c r="C70" s="4">
        <v>718.31204840798864</v>
      </c>
      <c r="D70" s="4">
        <v>-1.6097075069025662E-10</v>
      </c>
      <c r="E70" s="4">
        <v>-1.1064979590688742E-10</v>
      </c>
      <c r="F70" s="4">
        <v>-1.7737378232315826E-8</v>
      </c>
      <c r="G70" s="4">
        <v>-2.8175352809122008E-8</v>
      </c>
      <c r="H70" s="4">
        <v>-5.2632309059029096E-7</v>
      </c>
      <c r="I70" s="4">
        <v>-2.1674812767225431E-6</v>
      </c>
      <c r="J70" s="4">
        <v>-2.6612817877758315E-5</v>
      </c>
      <c r="K70" s="4">
        <v>-1.9839713951596151E-5</v>
      </c>
      <c r="L70" s="4">
        <v>-6.4806880400135E-4</v>
      </c>
      <c r="M70" s="4">
        <v>-2.8107474588352164E-4</v>
      </c>
      <c r="N70" s="4">
        <v>-4.9417179848290204E-3</v>
      </c>
      <c r="O70" s="4">
        <v>6.1361113419592479E-3</v>
      </c>
      <c r="P70" s="4">
        <v>-8.6328178609535022E-3</v>
      </c>
      <c r="Q70" s="4">
        <v>1.1286677011515464E-2</v>
      </c>
      <c r="R70" s="4">
        <v>8.4988724812647229E-2</v>
      </c>
      <c r="S70" s="4">
        <v>0.21355250318542388</v>
      </c>
      <c r="T70" s="4">
        <v>4.4978161732548019</v>
      </c>
      <c r="U70" s="4">
        <v>1.4086267973469981</v>
      </c>
      <c r="V70" s="4">
        <v>21.620239623974115</v>
      </c>
      <c r="W70" s="4">
        <v>14.765131320562585</v>
      </c>
      <c r="X70" s="4">
        <v>55.995531293854071</v>
      </c>
      <c r="Y70" s="4">
        <v>30.775494408307981</v>
      </c>
      <c r="Z70" s="4">
        <v>350.44177023195766</v>
      </c>
      <c r="AA70" s="4">
        <v>15.379462024076057</v>
      </c>
      <c r="AB70" s="4">
        <v>264.91180574180015</v>
      </c>
      <c r="AC70" s="4">
        <v>34.684124539129215</v>
      </c>
      <c r="AD70" s="4">
        <v>459.71954936636632</v>
      </c>
      <c r="AE70" s="4">
        <v>58.473537665439892</v>
      </c>
      <c r="AF70" s="4">
        <v>123.64959648547222</v>
      </c>
      <c r="AG70" s="4"/>
      <c r="AH70" s="4"/>
      <c r="AI70" s="4"/>
      <c r="AJ70" s="4"/>
      <c r="AK70" s="4"/>
      <c r="AL70" s="4"/>
      <c r="AM70" s="4"/>
      <c r="AN70" s="4"/>
      <c r="AO70" s="4"/>
      <c r="AP70" s="4"/>
      <c r="AQ70" s="4"/>
      <c r="AR70" s="4"/>
      <c r="AS70" s="4"/>
      <c r="AT70" s="4"/>
      <c r="AU70" s="4"/>
      <c r="AV70" s="4"/>
      <c r="AW70" s="4"/>
      <c r="AX70" s="4"/>
      <c r="AY70" s="4"/>
      <c r="AZ70" s="4"/>
      <c r="BA70" s="4"/>
      <c r="BB70" s="4"/>
    </row>
    <row r="71" spans="1:54" x14ac:dyDescent="0.25">
      <c r="A71" s="4">
        <v>3990</v>
      </c>
      <c r="B71" s="4"/>
      <c r="C71" s="4">
        <v>690.02268747314986</v>
      </c>
      <c r="D71" s="4">
        <v>-6.2563594355278993E-11</v>
      </c>
      <c r="E71" s="4">
        <v>-4.4525744332360445E-11</v>
      </c>
      <c r="F71" s="4">
        <v>-7.3912452603379158E-9</v>
      </c>
      <c r="G71" s="4">
        <v>-1.2160398932655558E-8</v>
      </c>
      <c r="H71" s="4">
        <v>-2.3532318618866535E-7</v>
      </c>
      <c r="I71" s="4">
        <v>-1.0041208199452073E-6</v>
      </c>
      <c r="J71" s="4">
        <v>-1.2776891915339178E-5</v>
      </c>
      <c r="K71" s="4">
        <v>-9.8732442071315964E-6</v>
      </c>
      <c r="L71" s="4">
        <v>-3.3436671858801646E-4</v>
      </c>
      <c r="M71" s="4">
        <v>-1.5037980989535032E-4</v>
      </c>
      <c r="N71" s="4">
        <v>-2.7422103466798789E-3</v>
      </c>
      <c r="O71" s="4">
        <v>3.5323317522488896E-3</v>
      </c>
      <c r="P71" s="4">
        <v>-5.1565312761839375E-3</v>
      </c>
      <c r="Q71" s="4">
        <v>6.9968156507699032E-3</v>
      </c>
      <c r="R71" s="4">
        <v>5.4691320203981979E-2</v>
      </c>
      <c r="S71" s="4">
        <v>0.14268526097408363</v>
      </c>
      <c r="T71" s="4">
        <v>3.1209672128768315</v>
      </c>
      <c r="U71" s="4">
        <v>1.0152975548951619</v>
      </c>
      <c r="V71" s="4">
        <v>16.190705347805793</v>
      </c>
      <c r="W71" s="4">
        <v>11.490782491578289</v>
      </c>
      <c r="X71" s="4">
        <v>45.297374117394249</v>
      </c>
      <c r="Y71" s="4">
        <v>25.884132746550865</v>
      </c>
      <c r="Z71" s="4">
        <v>306.51812373060665</v>
      </c>
      <c r="AA71" s="4">
        <v>13.992560650742353</v>
      </c>
      <c r="AB71" s="4">
        <v>250.77166090856596</v>
      </c>
      <c r="AC71" s="4">
        <v>34.169262293704975</v>
      </c>
      <c r="AD71" s="4">
        <v>471.44770045205632</v>
      </c>
      <c r="AE71" s="4">
        <v>62.437415548463946</v>
      </c>
      <c r="AF71" s="4">
        <v>137.50989355986727</v>
      </c>
      <c r="AG71" s="4"/>
      <c r="AH71" s="4"/>
      <c r="AI71" s="4"/>
      <c r="AJ71" s="4"/>
      <c r="AK71" s="4"/>
      <c r="AL71" s="4"/>
      <c r="AM71" s="4"/>
      <c r="AN71" s="4"/>
      <c r="AO71" s="4"/>
      <c r="AP71" s="4"/>
      <c r="AQ71" s="4"/>
      <c r="AR71" s="4"/>
      <c r="AS71" s="4"/>
      <c r="AT71" s="4"/>
      <c r="AU71" s="4"/>
      <c r="AV71" s="4"/>
      <c r="AW71" s="4"/>
      <c r="AX71" s="4"/>
      <c r="AY71" s="4"/>
      <c r="AZ71" s="4"/>
      <c r="BA71" s="4"/>
      <c r="BB71" s="4"/>
    </row>
    <row r="72" spans="1:54" x14ac:dyDescent="0.25">
      <c r="A72" s="4">
        <v>3980</v>
      </c>
      <c r="B72" s="4"/>
      <c r="C72" s="4">
        <v>657.94468973501125</v>
      </c>
      <c r="D72" s="4">
        <v>-2.3869058727572919E-11</v>
      </c>
      <c r="E72" s="4">
        <v>-1.758929753250168E-11</v>
      </c>
      <c r="F72" s="4">
        <v>-3.0238524640638389E-9</v>
      </c>
      <c r="G72" s="4">
        <v>-5.1532278979961125E-9</v>
      </c>
      <c r="H72" s="4">
        <v>-1.0331623281562422E-7</v>
      </c>
      <c r="I72" s="4">
        <v>-4.5682180597819935E-7</v>
      </c>
      <c r="J72" s="4">
        <v>-6.0246070012131221E-6</v>
      </c>
      <c r="K72" s="4">
        <v>-4.8260588799670557E-6</v>
      </c>
      <c r="L72" s="4">
        <v>-1.6946209662876843E-4</v>
      </c>
      <c r="M72" s="4">
        <v>-7.9039540086244079E-5</v>
      </c>
      <c r="N72" s="4">
        <v>-1.4950321367735969E-3</v>
      </c>
      <c r="O72" s="4">
        <v>1.9980056315610853E-3</v>
      </c>
      <c r="P72" s="4">
        <v>-3.0267039701163587E-3</v>
      </c>
      <c r="Q72" s="4">
        <v>4.262677265820425E-3</v>
      </c>
      <c r="R72" s="4">
        <v>3.4591062143877471E-2</v>
      </c>
      <c r="S72" s="4">
        <v>9.3709345567243654E-2</v>
      </c>
      <c r="T72" s="4">
        <v>2.1288606837551738</v>
      </c>
      <c r="U72" s="4">
        <v>0.71945344311598303</v>
      </c>
      <c r="V72" s="4">
        <v>11.92132895941991</v>
      </c>
      <c r="W72" s="4">
        <v>8.7934126875001226</v>
      </c>
      <c r="X72" s="4">
        <v>36.035489192704716</v>
      </c>
      <c r="Y72" s="4">
        <v>21.411267039644763</v>
      </c>
      <c r="Z72" s="4">
        <v>263.70557458059676</v>
      </c>
      <c r="AA72" s="4">
        <v>12.523307996143208</v>
      </c>
      <c r="AB72" s="4">
        <v>233.54180058750541</v>
      </c>
      <c r="AC72" s="4">
        <v>33.120201864290536</v>
      </c>
      <c r="AD72" s="4">
        <v>475.74072645694622</v>
      </c>
      <c r="AE72" s="4">
        <v>65.610108296376197</v>
      </c>
      <c r="AF72" s="4">
        <v>150.50806824818108</v>
      </c>
      <c r="AG72" s="4"/>
      <c r="AH72" s="4"/>
      <c r="AI72" s="4"/>
      <c r="AJ72" s="4"/>
      <c r="AK72" s="4"/>
      <c r="AL72" s="4"/>
      <c r="AM72" s="4"/>
      <c r="AN72" s="4"/>
      <c r="AO72" s="4"/>
      <c r="AP72" s="4"/>
      <c r="AQ72" s="4"/>
      <c r="AR72" s="4"/>
      <c r="AS72" s="4"/>
      <c r="AT72" s="4"/>
      <c r="AU72" s="4"/>
      <c r="AV72" s="4"/>
      <c r="AW72" s="4"/>
      <c r="AX72" s="4"/>
      <c r="AY72" s="4"/>
      <c r="AZ72" s="4"/>
      <c r="BA72" s="4"/>
      <c r="BB72" s="4"/>
    </row>
    <row r="73" spans="1:54" x14ac:dyDescent="0.25">
      <c r="A73" s="4">
        <v>3970</v>
      </c>
      <c r="B73" s="4"/>
      <c r="C73" s="4">
        <v>622.41578564497956</v>
      </c>
      <c r="D73" s="4">
        <v>-8.9377767779008373E-12</v>
      </c>
      <c r="E73" s="4">
        <v>-6.8203154016731521E-12</v>
      </c>
      <c r="F73" s="4">
        <v>-1.2143964581388775E-9</v>
      </c>
      <c r="G73" s="4">
        <v>-2.1439085068993681E-9</v>
      </c>
      <c r="H73" s="4">
        <v>-4.4535511915823175E-8</v>
      </c>
      <c r="I73" s="4">
        <v>-2.0407067944952023E-7</v>
      </c>
      <c r="J73" s="4">
        <v>-2.7896149006006016E-6</v>
      </c>
      <c r="K73" s="4">
        <v>-2.3167368303322785E-6</v>
      </c>
      <c r="L73" s="4">
        <v>-8.435542081373576E-5</v>
      </c>
      <c r="M73" s="4">
        <v>-4.0806554649471299E-5</v>
      </c>
      <c r="N73" s="4">
        <v>-8.007020293109813E-4</v>
      </c>
      <c r="O73" s="4">
        <v>1.1103062478987386E-3</v>
      </c>
      <c r="P73" s="4">
        <v>-1.7455549904655638E-3</v>
      </c>
      <c r="Q73" s="4">
        <v>2.5518576885778148E-3</v>
      </c>
      <c r="R73" s="4">
        <v>2.1500189093543561E-2</v>
      </c>
      <c r="S73" s="4">
        <v>6.0486818280767088E-2</v>
      </c>
      <c r="T73" s="4">
        <v>1.4273179101261242</v>
      </c>
      <c r="U73" s="4">
        <v>0.50115160759292299</v>
      </c>
      <c r="V73" s="4">
        <v>8.6294385045913042</v>
      </c>
      <c r="W73" s="4">
        <v>6.6161662000718362</v>
      </c>
      <c r="X73" s="4">
        <v>28.188457090204913</v>
      </c>
      <c r="Y73" s="4">
        <v>17.417156342363302</v>
      </c>
      <c r="Z73" s="4">
        <v>223.12667805456164</v>
      </c>
      <c r="AA73" s="4">
        <v>11.024353454646729</v>
      </c>
      <c r="AB73" s="4">
        <v>213.94711171610385</v>
      </c>
      <c r="AC73" s="4">
        <v>31.582731236211156</v>
      </c>
      <c r="AD73" s="4">
        <v>472.33535183423049</v>
      </c>
      <c r="AE73" s="4">
        <v>67.839736227400493</v>
      </c>
      <c r="AF73" s="4">
        <v>162.11294871787103</v>
      </c>
      <c r="AG73" s="4"/>
      <c r="AH73" s="4"/>
      <c r="AI73" s="4"/>
      <c r="AJ73" s="4"/>
      <c r="AK73" s="4"/>
      <c r="AL73" s="4"/>
      <c r="AM73" s="4"/>
      <c r="AN73" s="4"/>
      <c r="AO73" s="4"/>
      <c r="AP73" s="4"/>
      <c r="AQ73" s="4"/>
      <c r="AR73" s="4"/>
      <c r="AS73" s="4"/>
      <c r="AT73" s="4"/>
      <c r="AU73" s="4"/>
      <c r="AV73" s="4"/>
      <c r="AW73" s="4"/>
      <c r="AX73" s="4"/>
      <c r="AY73" s="4"/>
      <c r="AZ73" s="4"/>
      <c r="BA73" s="4"/>
      <c r="BB73" s="4"/>
    </row>
    <row r="74" spans="1:54" x14ac:dyDescent="0.25">
      <c r="A74" s="4">
        <v>3960</v>
      </c>
      <c r="B74" s="4"/>
      <c r="C74" s="4">
        <v>583.86990859306093</v>
      </c>
      <c r="D74" s="4">
        <v>-3.2843204454431773E-12</v>
      </c>
      <c r="E74" s="4">
        <v>-2.5954966367623795E-12</v>
      </c>
      <c r="F74" s="4">
        <v>-4.7869498799184549E-10</v>
      </c>
      <c r="G74" s="4">
        <v>-8.755285166512447E-10</v>
      </c>
      <c r="H74" s="4">
        <v>-1.8846050603425959E-8</v>
      </c>
      <c r="I74" s="4">
        <v>-8.9501331032412415E-8</v>
      </c>
      <c r="J74" s="4">
        <v>-1.2682771963605642E-6</v>
      </c>
      <c r="K74" s="4">
        <v>-1.092080631155442E-6</v>
      </c>
      <c r="L74" s="4">
        <v>-4.1237000766580435E-5</v>
      </c>
      <c r="M74" s="4">
        <v>-2.0691361486209017E-5</v>
      </c>
      <c r="N74" s="4">
        <v>-4.2121626717700451E-4</v>
      </c>
      <c r="O74" s="4">
        <v>6.0609832273871359E-4</v>
      </c>
      <c r="P74" s="4">
        <v>-9.8899021769913338E-4</v>
      </c>
      <c r="Q74" s="4">
        <v>1.5009499322133104E-3</v>
      </c>
      <c r="R74" s="4">
        <v>1.3130992052269856E-2</v>
      </c>
      <c r="S74" s="4">
        <v>3.8366909123424373E-2</v>
      </c>
      <c r="T74" s="4">
        <v>0.94048967065213462</v>
      </c>
      <c r="U74" s="4">
        <v>0.34311306045057477</v>
      </c>
      <c r="V74" s="4">
        <v>6.140223656848403</v>
      </c>
      <c r="W74" s="4">
        <v>4.8937467554009491</v>
      </c>
      <c r="X74" s="4">
        <v>21.679083868215734</v>
      </c>
      <c r="Y74" s="4">
        <v>13.93104611275489</v>
      </c>
      <c r="Z74" s="4">
        <v>185.65147608359038</v>
      </c>
      <c r="AA74" s="4">
        <v>9.5443267332179911</v>
      </c>
      <c r="AB74" s="4">
        <v>192.77467744569708</v>
      </c>
      <c r="AC74" s="4">
        <v>29.624570951872645</v>
      </c>
      <c r="AD74" s="4">
        <v>461.3392890824415</v>
      </c>
      <c r="AE74" s="4">
        <v>69.013156196142347</v>
      </c>
      <c r="AF74" s="4">
        <v>171.81248722431906</v>
      </c>
      <c r="AG74" s="4"/>
      <c r="AH74" s="4"/>
      <c r="AI74" s="4"/>
      <c r="AJ74" s="4"/>
      <c r="AK74" s="4"/>
      <c r="AL74" s="4"/>
      <c r="AM74" s="4"/>
      <c r="AN74" s="4"/>
      <c r="AO74" s="4"/>
      <c r="AP74" s="4"/>
      <c r="AQ74" s="4"/>
      <c r="AR74" s="4"/>
      <c r="AS74" s="4"/>
      <c r="AT74" s="4"/>
      <c r="AU74" s="4"/>
      <c r="AV74" s="4"/>
      <c r="AW74" s="4"/>
      <c r="AX74" s="4"/>
      <c r="AY74" s="4"/>
      <c r="AZ74" s="4"/>
      <c r="BA74" s="4"/>
      <c r="BB74" s="4"/>
    </row>
    <row r="75" spans="1:54" x14ac:dyDescent="0.25">
      <c r="A75" s="4">
        <v>3950</v>
      </c>
      <c r="B75" s="4"/>
      <c r="C75" s="4">
        <v>542.83506939881431</v>
      </c>
      <c r="D75" s="4">
        <v>-1.1841971628486523E-12</v>
      </c>
      <c r="E75" s="4">
        <v>-9.6925351995516676E-13</v>
      </c>
      <c r="F75" s="4">
        <v>-1.8518116600045579E-10</v>
      </c>
      <c r="G75" s="4">
        <v>-3.5092373344700899E-10</v>
      </c>
      <c r="H75" s="4">
        <v>-7.8280162405222209E-9</v>
      </c>
      <c r="I75" s="4">
        <v>-3.8533203662922938E-8</v>
      </c>
      <c r="J75" s="4">
        <v>-5.6608331039199667E-7</v>
      </c>
      <c r="K75" s="4">
        <v>-5.0543889684214474E-7</v>
      </c>
      <c r="L75" s="4">
        <v>-1.9794158304427788E-5</v>
      </c>
      <c r="M75" s="4">
        <v>-1.0303013438331332E-5</v>
      </c>
      <c r="N75" s="4">
        <v>-2.1761848950171343E-4</v>
      </c>
      <c r="O75" s="4">
        <v>3.2496789219677892E-4</v>
      </c>
      <c r="P75" s="4">
        <v>-5.5041262223513051E-4</v>
      </c>
      <c r="Q75" s="4">
        <v>8.6727130720660073E-4</v>
      </c>
      <c r="R75" s="4">
        <v>7.87903708420188E-3</v>
      </c>
      <c r="S75" s="4">
        <v>2.3911939505844169E-2</v>
      </c>
      <c r="T75" s="4">
        <v>0.60896323711405231</v>
      </c>
      <c r="U75" s="4">
        <v>0.23086131339857327</v>
      </c>
      <c r="V75" s="4">
        <v>4.2941176936262471</v>
      </c>
      <c r="W75" s="4">
        <v>3.5580106168071683</v>
      </c>
      <c r="X75" s="4">
        <v>16.390191465572027</v>
      </c>
      <c r="Y75" s="4">
        <v>10.954858371697311</v>
      </c>
      <c r="Z75" s="4">
        <v>151.88161627030141</v>
      </c>
      <c r="AA75" s="4">
        <v>8.1253292447074603</v>
      </c>
      <c r="AB75" s="4">
        <v>170.82086423747205</v>
      </c>
      <c r="AC75" s="4">
        <v>27.330398874609237</v>
      </c>
      <c r="AD75" s="4">
        <v>443.2271624224125</v>
      </c>
      <c r="AE75" s="4">
        <v>69.065356939715755</v>
      </c>
      <c r="AF75" s="4">
        <v>179.1502241411105</v>
      </c>
      <c r="AG75" s="4"/>
      <c r="AH75" s="4"/>
      <c r="AI75" s="4"/>
      <c r="AJ75" s="4"/>
      <c r="AK75" s="4"/>
      <c r="AL75" s="4"/>
      <c r="AM75" s="4"/>
      <c r="AN75" s="4"/>
      <c r="AO75" s="4"/>
      <c r="AP75" s="4"/>
      <c r="AQ75" s="4"/>
      <c r="AR75" s="4"/>
      <c r="AS75" s="4"/>
      <c r="AT75" s="4"/>
      <c r="AU75" s="4"/>
      <c r="AV75" s="4"/>
      <c r="AW75" s="4"/>
      <c r="AX75" s="4"/>
      <c r="AY75" s="4"/>
      <c r="AZ75" s="4"/>
      <c r="BA75" s="4"/>
      <c r="BB75" s="4"/>
    </row>
    <row r="76" spans="1:54" x14ac:dyDescent="0.25">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row>
    <row r="77" spans="1:54" x14ac:dyDescent="0.25">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row>
    <row r="78" spans="1:54" x14ac:dyDescent="0.25">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row>
    <row r="79" spans="1:54" x14ac:dyDescent="0.25">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row>
    <row r="80" spans="1:54" x14ac:dyDescent="0.25">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row>
    <row r="81" spans="1:54" x14ac:dyDescent="0.25">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row>
    <row r="82" spans="1:54" x14ac:dyDescent="0.25">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row>
    <row r="83" spans="1:54" x14ac:dyDescent="0.25">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row>
    <row r="84" spans="1:54" x14ac:dyDescent="0.25">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row>
    <row r="85" spans="1:54" x14ac:dyDescent="0.25">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row>
    <row r="86" spans="1:54" x14ac:dyDescent="0.25">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row>
    <row r="87" spans="1:54" x14ac:dyDescent="0.25">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row>
    <row r="88" spans="1:54" x14ac:dyDescent="0.25">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row>
    <row r="89" spans="1:54" x14ac:dyDescent="0.25">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row>
    <row r="90" spans="1:54" x14ac:dyDescent="0.25">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row>
    <row r="91" spans="1:54" x14ac:dyDescent="0.25">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row>
    <row r="92" spans="1:54" x14ac:dyDescent="0.25">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row>
    <row r="93" spans="1:54" x14ac:dyDescent="0.25">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row>
    <row r="94" spans="1:54" x14ac:dyDescent="0.25">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row>
    <row r="95" spans="1:54" x14ac:dyDescent="0.25">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row>
    <row r="96" spans="1:54" x14ac:dyDescent="0.25">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row>
    <row r="97" spans="1:54" x14ac:dyDescent="0.25">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row>
    <row r="98" spans="1:54" x14ac:dyDescent="0.25">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row>
    <row r="99" spans="1:54" x14ac:dyDescent="0.25">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row>
    <row r="100" spans="1:54" x14ac:dyDescent="0.2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row>
    <row r="101" spans="1:54" x14ac:dyDescent="0.25">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row>
    <row r="102" spans="1:54" x14ac:dyDescent="0.25">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row>
    <row r="103" spans="1:54" x14ac:dyDescent="0.25">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row>
    <row r="104" spans="1:54" x14ac:dyDescent="0.25">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row>
    <row r="105" spans="1:54" x14ac:dyDescent="0.25">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row>
    <row r="106" spans="1:54" x14ac:dyDescent="0.25">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row>
    <row r="107" spans="1:54" x14ac:dyDescent="0.25">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row>
    <row r="108" spans="1:54" x14ac:dyDescent="0.25">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row>
    <row r="109" spans="1:54" x14ac:dyDescent="0.25">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row>
    <row r="110" spans="1:54" x14ac:dyDescent="0.25">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row>
    <row r="111" spans="1:54" x14ac:dyDescent="0.25">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row>
    <row r="112" spans="1:54" x14ac:dyDescent="0.25">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row>
    <row r="113" spans="1:54" x14ac:dyDescent="0.25">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row>
    <row r="114" spans="1:54" x14ac:dyDescent="0.25">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row>
    <row r="115" spans="1:54" x14ac:dyDescent="0.25">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row>
    <row r="116" spans="1:54" x14ac:dyDescent="0.25">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row>
    <row r="117" spans="1:54" x14ac:dyDescent="0.25">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row>
    <row r="118" spans="1:54" x14ac:dyDescent="0.25">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row>
    <row r="119" spans="1:54" x14ac:dyDescent="0.25">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row>
    <row r="120" spans="1:54" x14ac:dyDescent="0.25">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row>
    <row r="121" spans="1:54" x14ac:dyDescent="0.25">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row>
    <row r="122" spans="1:54" x14ac:dyDescent="0.25">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row>
    <row r="123" spans="1:54" x14ac:dyDescent="0.25">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row>
    <row r="124" spans="1:54" x14ac:dyDescent="0.25">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row>
    <row r="125" spans="1:54" x14ac:dyDescent="0.25">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row>
    <row r="126" spans="1:54" x14ac:dyDescent="0.25">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row>
    <row r="127" spans="1:54" x14ac:dyDescent="0.25">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row>
    <row r="128" spans="1:54" x14ac:dyDescent="0.25">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row>
    <row r="129" spans="1:54" x14ac:dyDescent="0.25">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row>
    <row r="130" spans="1:54" x14ac:dyDescent="0.25">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row>
    <row r="131" spans="1:54" x14ac:dyDescent="0.25">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row>
    <row r="132" spans="1:54" x14ac:dyDescent="0.25">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row>
    <row r="133" spans="1:54" x14ac:dyDescent="0.25">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row>
    <row r="134" spans="1:54" x14ac:dyDescent="0.25">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row>
    <row r="135" spans="1:54" x14ac:dyDescent="0.25">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row>
    <row r="136" spans="1:54" x14ac:dyDescent="0.25">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row>
    <row r="137" spans="1:54" x14ac:dyDescent="0.25">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row>
    <row r="138" spans="1:54" x14ac:dyDescent="0.25">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row>
    <row r="139" spans="1:54" x14ac:dyDescent="0.25">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row>
    <row r="140" spans="1:54" x14ac:dyDescent="0.25">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row>
    <row r="141" spans="1:54" x14ac:dyDescent="0.25">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row>
    <row r="142" spans="1:54" x14ac:dyDescent="0.25">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row>
    <row r="143" spans="1:54" x14ac:dyDescent="0.25">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row>
    <row r="144" spans="1:54" x14ac:dyDescent="0.25">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row>
    <row r="145" spans="1:54" x14ac:dyDescent="0.25">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row>
    <row r="146" spans="1:54" x14ac:dyDescent="0.25">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row>
    <row r="147" spans="1:54" x14ac:dyDescent="0.25">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row>
    <row r="148" spans="1:54" x14ac:dyDescent="0.25">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row>
    <row r="149" spans="1:54" x14ac:dyDescent="0.25">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row>
    <row r="150" spans="1:54" x14ac:dyDescent="0.25">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row>
    <row r="151" spans="1:54" x14ac:dyDescent="0.25">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row>
    <row r="152" spans="1:54" x14ac:dyDescent="0.25">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row>
    <row r="153" spans="1:54" x14ac:dyDescent="0.25">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row>
    <row r="154" spans="1:54" x14ac:dyDescent="0.25">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row>
    <row r="155" spans="1:54" x14ac:dyDescent="0.25">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row>
    <row r="156" spans="1:54" x14ac:dyDescent="0.25">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row>
    <row r="157" spans="1:54" x14ac:dyDescent="0.25">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row>
    <row r="158" spans="1:54" x14ac:dyDescent="0.25">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row>
    <row r="159" spans="1:54" x14ac:dyDescent="0.25">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row>
    <row r="160" spans="1:54" x14ac:dyDescent="0.25">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row>
    <row r="161" spans="1:54" x14ac:dyDescent="0.25">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row>
    <row r="162" spans="1:54" x14ac:dyDescent="0.25">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row>
    <row r="163" spans="1:54" x14ac:dyDescent="0.25">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row>
    <row r="164" spans="1:54" x14ac:dyDescent="0.25">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row>
    <row r="165" spans="1:54" x14ac:dyDescent="0.25">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row>
    <row r="166" spans="1:54" x14ac:dyDescent="0.25">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row>
    <row r="167" spans="1:54" x14ac:dyDescent="0.25">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row>
    <row r="168" spans="1:54" x14ac:dyDescent="0.25">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row>
    <row r="169" spans="1:54" x14ac:dyDescent="0.25">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row>
    <row r="170" spans="1:54" x14ac:dyDescent="0.25">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row>
    <row r="171" spans="1:54" x14ac:dyDescent="0.25">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row>
    <row r="172" spans="1:54" x14ac:dyDescent="0.25">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row>
    <row r="173" spans="1:54" x14ac:dyDescent="0.25">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row>
    <row r="174" spans="1:54" x14ac:dyDescent="0.25">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row>
    <row r="175" spans="1:54" x14ac:dyDescent="0.25">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row>
    <row r="176" spans="1:54" x14ac:dyDescent="0.25">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row>
    <row r="177" spans="1:54" x14ac:dyDescent="0.25">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row>
    <row r="178" spans="1:54" x14ac:dyDescent="0.25">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row>
    <row r="179" spans="1:54" x14ac:dyDescent="0.25">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row>
    <row r="180" spans="1:54" x14ac:dyDescent="0.25">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row>
    <row r="181" spans="1:54" x14ac:dyDescent="0.25">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row>
    <row r="182" spans="1:54" x14ac:dyDescent="0.25">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row>
    <row r="183" spans="1:54" x14ac:dyDescent="0.25">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row>
    <row r="184" spans="1:54" x14ac:dyDescent="0.25">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row>
    <row r="185" spans="1:54" x14ac:dyDescent="0.25">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row>
    <row r="186" spans="1:54" x14ac:dyDescent="0.25">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row>
    <row r="187" spans="1:54" x14ac:dyDescent="0.25">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row>
    <row r="188" spans="1:54" x14ac:dyDescent="0.25">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row>
    <row r="189" spans="1:54" x14ac:dyDescent="0.25">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row>
    <row r="190" spans="1:54" x14ac:dyDescent="0.25">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row>
    <row r="191" spans="1:54" x14ac:dyDescent="0.25">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row>
    <row r="192" spans="1:54" x14ac:dyDescent="0.25">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row>
    <row r="193" spans="1:54" x14ac:dyDescent="0.25">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row>
    <row r="194" spans="1:54" x14ac:dyDescent="0.25">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row>
    <row r="195" spans="1:54" x14ac:dyDescent="0.25">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row>
    <row r="196" spans="1:54" x14ac:dyDescent="0.25">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row>
    <row r="197" spans="1:54" x14ac:dyDescent="0.25">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row>
    <row r="198" spans="1:54" x14ac:dyDescent="0.25">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row>
    <row r="199" spans="1:54" x14ac:dyDescent="0.25">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row>
    <row r="200" spans="1:54" x14ac:dyDescent="0.25">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row>
    <row r="201" spans="1:54" x14ac:dyDescent="0.25">
      <c r="B201" s="4"/>
      <c r="AQ201" s="4"/>
      <c r="AR201" s="4"/>
    </row>
    <row r="202" spans="1:54" x14ac:dyDescent="0.25">
      <c r="B202" s="4"/>
      <c r="AQ202" s="4"/>
      <c r="AR202" s="4"/>
    </row>
    <row r="203" spans="1:54" x14ac:dyDescent="0.25">
      <c r="B203" s="4"/>
      <c r="AQ203" s="4"/>
      <c r="AR203" s="4"/>
    </row>
    <row r="204" spans="1:54" x14ac:dyDescent="0.25">
      <c r="B204" s="4"/>
      <c r="AQ204" s="4"/>
      <c r="AR204" s="4"/>
    </row>
    <row r="205" spans="1:54" x14ac:dyDescent="0.25">
      <c r="B205" s="4"/>
      <c r="AQ205" s="4"/>
      <c r="AR205" s="4"/>
    </row>
    <row r="206" spans="1:54" x14ac:dyDescent="0.25">
      <c r="AR206" s="4"/>
    </row>
  </sheetData>
  <pageMargins left="0.7" right="0.7" top="0.78740157499999996" bottom="0.78740157499999996"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43ACC-FE0D-47E0-8464-63F39BC9FAAA}">
  <sheetPr codeName="Tabelle15"/>
  <dimension ref="A13:F16"/>
  <sheetViews>
    <sheetView workbookViewId="0">
      <selection activeCell="L21" sqref="L21"/>
    </sheetView>
  </sheetViews>
  <sheetFormatPr defaultColWidth="11.42578125" defaultRowHeight="15" x14ac:dyDescent="0.25"/>
  <cols>
    <col min="1" max="1" width="20.42578125" bestFit="1" customWidth="1"/>
    <col min="2" max="10" width="12.5703125" bestFit="1" customWidth="1"/>
    <col min="11" max="13" width="12.5703125" customWidth="1"/>
    <col min="14" max="18" width="12.5703125" bestFit="1" customWidth="1"/>
    <col min="19" max="21" width="12.5703125" customWidth="1"/>
    <col min="22" max="24" width="12.5703125" bestFit="1" customWidth="1"/>
    <col min="25" max="29" width="12.5703125" customWidth="1"/>
    <col min="30" max="32" width="12.5703125" bestFit="1" customWidth="1"/>
    <col min="33" max="37" width="13" bestFit="1" customWidth="1"/>
    <col min="38" max="39" width="12.5703125" customWidth="1"/>
    <col min="40" max="40" width="12.5703125" bestFit="1" customWidth="1"/>
    <col min="41" max="44" width="12.7109375" bestFit="1" customWidth="1"/>
    <col min="45" max="46" width="12.7109375" customWidth="1"/>
    <col min="47" max="51" width="12.7109375" bestFit="1" customWidth="1"/>
    <col min="52" max="54" width="12.7109375" customWidth="1"/>
    <col min="55" max="58" width="12.7109375" bestFit="1" customWidth="1"/>
    <col min="59" max="62" width="12.7109375" customWidth="1"/>
    <col min="63" max="63" width="12.7109375" bestFit="1" customWidth="1"/>
    <col min="64" max="64" width="12.7109375" customWidth="1"/>
    <col min="65" max="68" width="12.7109375" bestFit="1" customWidth="1"/>
    <col min="69" max="70" width="12.7109375" customWidth="1"/>
    <col min="71" max="71" width="12.7109375" bestFit="1" customWidth="1"/>
    <col min="72" max="74" width="12.7109375" customWidth="1"/>
    <col min="75" max="79" width="12.7109375" bestFit="1" customWidth="1"/>
    <col min="80" max="81" width="12.7109375" customWidth="1"/>
    <col min="82" max="85" width="12.7109375" bestFit="1" customWidth="1"/>
    <col min="86" max="87" width="12.7109375" customWidth="1"/>
    <col min="88" max="88" width="12.7109375" bestFit="1" customWidth="1"/>
    <col min="89" max="89" width="12.7109375" customWidth="1"/>
    <col min="90" max="92" width="12.7109375" bestFit="1" customWidth="1"/>
    <col min="93" max="99" width="12.7109375" customWidth="1"/>
    <col min="100" max="106" width="12.7109375" bestFit="1" customWidth="1"/>
    <col min="107" max="109" width="12.7109375" customWidth="1"/>
    <col min="110" max="113" width="12.7109375" bestFit="1" customWidth="1"/>
    <col min="114" max="115" width="12.7109375" customWidth="1"/>
    <col min="116" max="116" width="12.7109375" bestFit="1" customWidth="1"/>
    <col min="117" max="119" width="12.7109375" customWidth="1"/>
    <col min="120" max="123" width="12.7109375" bestFit="1" customWidth="1"/>
    <col min="124" max="125" width="12.7109375" customWidth="1"/>
    <col min="126" max="126" width="12.7109375" bestFit="1" customWidth="1"/>
    <col min="127" max="129" width="12.7109375" customWidth="1"/>
    <col min="130" max="134" width="12.7109375" bestFit="1" customWidth="1"/>
    <col min="135" max="137" width="12.7109375" customWidth="1"/>
    <col min="138" max="142" width="12.7109375" bestFit="1" customWidth="1"/>
    <col min="143" max="144" width="12.7109375" customWidth="1"/>
    <col min="145" max="147" width="12.7109375" bestFit="1" customWidth="1"/>
    <col min="148" max="153" width="12.7109375" customWidth="1"/>
    <col min="154" max="155" width="12.7109375" bestFit="1" customWidth="1"/>
    <col min="156" max="157" width="12.7109375" customWidth="1"/>
    <col min="158" max="167" width="12.7109375" bestFit="1" customWidth="1"/>
    <col min="168" max="169" width="12.7109375" customWidth="1"/>
    <col min="170" max="170" width="12.7109375" bestFit="1" customWidth="1"/>
    <col min="171" max="171" width="21.7109375" bestFit="1" customWidth="1"/>
    <col min="172" max="180" width="12.7109375" bestFit="1" customWidth="1"/>
    <col min="181" max="183" width="12.7109375" customWidth="1"/>
    <col min="184" max="188" width="12.7109375" bestFit="1" customWidth="1"/>
    <col min="189" max="189" width="12.7109375" customWidth="1"/>
    <col min="190" max="198" width="12.7109375" bestFit="1" customWidth="1"/>
    <col min="199" max="203" width="12.7109375" customWidth="1"/>
    <col min="204" max="204" width="12.7109375" bestFit="1" customWidth="1"/>
    <col min="205" max="207" width="12.7109375" customWidth="1"/>
    <col min="208" max="211" width="12.7109375" bestFit="1" customWidth="1"/>
    <col min="212" max="222" width="12.7109375" customWidth="1"/>
    <col min="223" max="223" width="12.7109375" bestFit="1" customWidth="1"/>
    <col min="224" max="225" width="12.7109375" customWidth="1"/>
    <col min="226" max="230" width="12.7109375" bestFit="1" customWidth="1"/>
    <col min="231" max="233" width="12.7109375" customWidth="1"/>
    <col min="234" max="257" width="12.7109375" bestFit="1" customWidth="1"/>
    <col min="258" max="259" width="12.140625" bestFit="1" customWidth="1"/>
    <col min="260" max="260" width="13.140625" bestFit="1" customWidth="1"/>
    <col min="261" max="261" width="14.140625" bestFit="1" customWidth="1"/>
    <col min="262" max="262" width="15.140625" bestFit="1" customWidth="1"/>
    <col min="263" max="264" width="14.140625" bestFit="1" customWidth="1"/>
    <col min="265" max="267" width="15.140625" bestFit="1" customWidth="1"/>
    <col min="268" max="270" width="14.140625" bestFit="1" customWidth="1"/>
    <col min="271" max="273" width="13.140625" bestFit="1" customWidth="1"/>
    <col min="274" max="276" width="14.140625" bestFit="1" customWidth="1"/>
    <col min="277" max="277" width="15.140625" bestFit="1" customWidth="1"/>
    <col min="278" max="278" width="14.140625" bestFit="1" customWidth="1"/>
    <col min="279" max="279" width="13.140625" bestFit="1" customWidth="1"/>
    <col min="280" max="281" width="14.140625" bestFit="1" customWidth="1"/>
    <col min="282" max="282" width="13.140625" bestFit="1" customWidth="1"/>
    <col min="283" max="283" width="12.140625" bestFit="1" customWidth="1"/>
    <col min="284" max="284" width="14.140625" bestFit="1" customWidth="1"/>
    <col min="285" max="286" width="15.140625" bestFit="1" customWidth="1"/>
    <col min="287" max="288" width="14.140625" bestFit="1" customWidth="1"/>
    <col min="289" max="291" width="15.140625" bestFit="1" customWidth="1"/>
    <col min="292" max="293" width="14.140625" bestFit="1" customWidth="1"/>
    <col min="294" max="295" width="15.140625" bestFit="1" customWidth="1"/>
    <col min="296" max="297" width="14.140625" bestFit="1" customWidth="1"/>
    <col min="298" max="298" width="15.140625" bestFit="1" customWidth="1"/>
    <col min="299" max="302" width="14.140625" bestFit="1" customWidth="1"/>
    <col min="303" max="304" width="15.140625" bestFit="1" customWidth="1"/>
    <col min="305" max="306" width="14.140625" bestFit="1" customWidth="1"/>
    <col min="307" max="308" width="15.140625" bestFit="1" customWidth="1"/>
    <col min="309" max="310" width="14.140625" bestFit="1" customWidth="1"/>
    <col min="311" max="313" width="15.140625" bestFit="1" customWidth="1"/>
    <col min="314" max="314" width="14.140625" bestFit="1" customWidth="1"/>
    <col min="315" max="315" width="13.140625" bestFit="1" customWidth="1"/>
    <col min="316" max="318" width="14.140625" bestFit="1" customWidth="1"/>
    <col min="319" max="320" width="13.140625" bestFit="1" customWidth="1"/>
    <col min="321" max="323" width="14.140625" bestFit="1" customWidth="1"/>
    <col min="324" max="325" width="13.140625" bestFit="1" customWidth="1"/>
    <col min="326" max="328" width="14.140625" bestFit="1" customWidth="1"/>
    <col min="329" max="330" width="13.140625" bestFit="1" customWidth="1"/>
    <col min="331" max="333" width="14.140625" bestFit="1" customWidth="1"/>
    <col min="334" max="334" width="13.140625" bestFit="1" customWidth="1"/>
    <col min="335" max="335" width="12.140625" bestFit="1" customWidth="1"/>
    <col min="336" max="338" width="13.140625" bestFit="1" customWidth="1"/>
    <col min="339" max="339" width="12.140625" bestFit="1" customWidth="1"/>
    <col min="340" max="342" width="11.140625" bestFit="1" customWidth="1"/>
    <col min="343" max="344" width="12.140625" bestFit="1" customWidth="1"/>
    <col min="345" max="345" width="11.140625" bestFit="1" customWidth="1"/>
    <col min="346" max="351" width="12.140625" bestFit="1" customWidth="1"/>
    <col min="352" max="352" width="11.140625" bestFit="1" customWidth="1"/>
    <col min="353" max="353" width="15.140625" bestFit="1" customWidth="1"/>
    <col min="354" max="354" width="14.140625" bestFit="1" customWidth="1"/>
    <col min="355" max="355" width="13.140625" bestFit="1" customWidth="1"/>
    <col min="356" max="358" width="14.140625" bestFit="1" customWidth="1"/>
    <col min="359" max="359" width="13.140625" bestFit="1" customWidth="1"/>
    <col min="360" max="362" width="12.140625" bestFit="1" customWidth="1"/>
    <col min="363" max="365" width="14.140625" bestFit="1" customWidth="1"/>
    <col min="366" max="373" width="13.140625" bestFit="1" customWidth="1"/>
    <col min="374" max="374" width="12.140625" bestFit="1" customWidth="1"/>
    <col min="375" max="376" width="11.140625" bestFit="1" customWidth="1"/>
    <col min="377" max="377" width="12.140625" bestFit="1" customWidth="1"/>
    <col min="378" max="378" width="14.140625" bestFit="1" customWidth="1"/>
    <col min="379" max="381" width="15.140625" bestFit="1" customWidth="1"/>
    <col min="382" max="383" width="14.140625" bestFit="1" customWidth="1"/>
    <col min="384" max="386" width="15.140625" bestFit="1" customWidth="1"/>
    <col min="387" max="388" width="14.140625" bestFit="1" customWidth="1"/>
    <col min="389" max="393" width="15.140625" bestFit="1" customWidth="1"/>
    <col min="394" max="395" width="14.140625" bestFit="1" customWidth="1"/>
    <col min="396" max="396" width="15.140625" bestFit="1" customWidth="1"/>
    <col min="397" max="399" width="14.140625" bestFit="1" customWidth="1"/>
    <col min="400" max="400" width="13.140625" bestFit="1" customWidth="1"/>
    <col min="401" max="403" width="14.140625" bestFit="1" customWidth="1"/>
    <col min="404" max="405" width="13.140625" bestFit="1" customWidth="1"/>
    <col min="406" max="408" width="14.140625" bestFit="1" customWidth="1"/>
    <col min="409" max="410" width="13.140625" bestFit="1" customWidth="1"/>
    <col min="411" max="413" width="14.140625" bestFit="1" customWidth="1"/>
    <col min="414" max="415" width="13.140625" bestFit="1" customWidth="1"/>
    <col min="416" max="418" width="14.140625" bestFit="1" customWidth="1"/>
    <col min="419" max="419" width="13.140625" bestFit="1" customWidth="1"/>
    <col min="420" max="420" width="12.140625" bestFit="1" customWidth="1"/>
    <col min="421" max="426" width="13.140625" bestFit="1" customWidth="1"/>
    <col min="427" max="427" width="12.140625" bestFit="1" customWidth="1"/>
    <col min="428" max="429" width="11.140625" bestFit="1" customWidth="1"/>
    <col min="430" max="432" width="12.140625" bestFit="1" customWidth="1"/>
    <col min="433" max="433" width="11.140625" bestFit="1" customWidth="1"/>
    <col min="434" max="435" width="14.140625" bestFit="1" customWidth="1"/>
    <col min="436" max="436" width="13.140625" bestFit="1" customWidth="1"/>
    <col min="437" max="439" width="14.140625" bestFit="1" customWidth="1"/>
    <col min="440" max="441" width="13.140625" bestFit="1" customWidth="1"/>
    <col min="442" max="444" width="14.140625" bestFit="1" customWidth="1"/>
    <col min="445" max="446" width="13.140625" bestFit="1" customWidth="1"/>
    <col min="447" max="449" width="14.140625" bestFit="1" customWidth="1"/>
    <col min="450" max="451" width="13.140625" bestFit="1" customWidth="1"/>
    <col min="452" max="454" width="14.140625" bestFit="1" customWidth="1"/>
    <col min="455" max="455" width="13.140625" bestFit="1" customWidth="1"/>
    <col min="456" max="456" width="12.140625" bestFit="1" customWidth="1"/>
    <col min="457" max="462" width="13.140625" bestFit="1" customWidth="1"/>
    <col min="463" max="463" width="12.140625" bestFit="1" customWidth="1"/>
    <col min="464" max="465" width="11.140625" bestFit="1" customWidth="1"/>
    <col min="466" max="468" width="12.140625" bestFit="1" customWidth="1"/>
    <col min="469" max="469" width="11.140625" bestFit="1" customWidth="1"/>
  </cols>
  <sheetData>
    <row r="13" spans="1:6" x14ac:dyDescent="0.25">
      <c r="A13" t="s">
        <v>201</v>
      </c>
      <c r="B13" t="s">
        <v>287</v>
      </c>
      <c r="C13" t="s">
        <v>288</v>
      </c>
      <c r="D13" t="s">
        <v>289</v>
      </c>
      <c r="E13" t="s">
        <v>290</v>
      </c>
      <c r="F13" t="s">
        <v>291</v>
      </c>
    </row>
    <row r="14" spans="1:6" x14ac:dyDescent="0.25">
      <c r="A14" t="s">
        <v>202</v>
      </c>
      <c r="B14" t="s">
        <v>242</v>
      </c>
      <c r="C14" t="s">
        <v>242</v>
      </c>
      <c r="D14" t="s">
        <v>242</v>
      </c>
      <c r="E14" t="s">
        <v>242</v>
      </c>
      <c r="F14" t="s">
        <v>242</v>
      </c>
    </row>
    <row r="15" spans="1:6" x14ac:dyDescent="0.25">
      <c r="A15" t="s">
        <v>203</v>
      </c>
      <c r="B15" t="s">
        <v>292</v>
      </c>
      <c r="C15" t="s">
        <v>292</v>
      </c>
      <c r="D15" t="s">
        <v>293</v>
      </c>
      <c r="E15" t="s">
        <v>294</v>
      </c>
      <c r="F15" t="s">
        <v>295</v>
      </c>
    </row>
    <row r="16" spans="1:6" x14ac:dyDescent="0.25">
      <c r="A16" t="s">
        <v>204</v>
      </c>
      <c r="B16" t="s">
        <v>242</v>
      </c>
      <c r="C16" t="s">
        <v>242</v>
      </c>
      <c r="D16" t="s">
        <v>242</v>
      </c>
      <c r="E16" t="s">
        <v>242</v>
      </c>
      <c r="F16" t="s">
        <v>242</v>
      </c>
    </row>
  </sheetData>
  <phoneticPr fontId="25" type="noConversion"/>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185E-AA76-4187-9FAD-E5A70E9034DC}">
  <sheetPr codeName="Tabelle12"/>
  <dimension ref="A1:F6"/>
  <sheetViews>
    <sheetView workbookViewId="0">
      <selection sqref="A1:F6"/>
    </sheetView>
  </sheetViews>
  <sheetFormatPr defaultColWidth="11.42578125" defaultRowHeight="15" x14ac:dyDescent="0.25"/>
  <cols>
    <col min="1" max="1" width="20.28515625" bestFit="1" customWidth="1"/>
    <col min="2" max="2" width="11.5703125" bestFit="1" customWidth="1"/>
    <col min="4" max="4" width="7.85546875" bestFit="1" customWidth="1"/>
    <col min="5" max="5" width="9.85546875" bestFit="1" customWidth="1"/>
    <col min="6" max="6" width="6.7109375" bestFit="1" customWidth="1"/>
  </cols>
  <sheetData>
    <row r="1" spans="1:6" x14ac:dyDescent="0.25">
      <c r="A1" t="s">
        <v>65</v>
      </c>
      <c r="B1" t="s">
        <v>66</v>
      </c>
      <c r="C1" t="s">
        <v>113</v>
      </c>
      <c r="D1" t="s">
        <v>68</v>
      </c>
      <c r="E1" t="s">
        <v>67</v>
      </c>
      <c r="F1" t="s">
        <v>61</v>
      </c>
    </row>
    <row r="2" spans="1:6" x14ac:dyDescent="0.25">
      <c r="A2" t="s">
        <v>177</v>
      </c>
      <c r="B2" t="s">
        <v>183</v>
      </c>
      <c r="C2" t="s">
        <v>184</v>
      </c>
      <c r="D2">
        <v>65</v>
      </c>
      <c r="E2">
        <v>2747</v>
      </c>
    </row>
    <row r="3" spans="1:6" x14ac:dyDescent="0.25">
      <c r="A3" t="s">
        <v>94</v>
      </c>
      <c r="B3" t="s">
        <v>185</v>
      </c>
      <c r="C3" t="s">
        <v>179</v>
      </c>
      <c r="D3">
        <v>-15</v>
      </c>
      <c r="E3">
        <v>-650</v>
      </c>
    </row>
    <row r="4" spans="1:6" x14ac:dyDescent="0.25">
      <c r="A4" t="s">
        <v>69</v>
      </c>
      <c r="B4" t="s">
        <v>186</v>
      </c>
      <c r="C4" t="s">
        <v>180</v>
      </c>
      <c r="D4">
        <v>-10</v>
      </c>
      <c r="E4">
        <v>-433</v>
      </c>
    </row>
    <row r="5" spans="1:6" x14ac:dyDescent="0.25">
      <c r="A5" t="s">
        <v>175</v>
      </c>
      <c r="B5" s="88" t="s">
        <v>187</v>
      </c>
      <c r="C5" t="s">
        <v>181</v>
      </c>
      <c r="D5">
        <v>-13</v>
      </c>
      <c r="E5">
        <v>-565</v>
      </c>
    </row>
    <row r="6" spans="1:6" x14ac:dyDescent="0.25">
      <c r="A6" t="s">
        <v>99</v>
      </c>
      <c r="B6" t="s">
        <v>188</v>
      </c>
      <c r="C6" t="s">
        <v>182</v>
      </c>
      <c r="D6">
        <v>25</v>
      </c>
      <c r="E6">
        <v>1046</v>
      </c>
    </row>
  </sheetData>
  <phoneticPr fontId="25" type="noConversion"/>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FD252-F099-4458-903E-B1CF816E5233}">
  <sheetPr codeName="Tabelle14"/>
  <dimension ref="A1:B11"/>
  <sheetViews>
    <sheetView workbookViewId="0">
      <selection sqref="A1:B11"/>
    </sheetView>
  </sheetViews>
  <sheetFormatPr defaultColWidth="11.42578125" defaultRowHeight="15" x14ac:dyDescent="0.25"/>
  <cols>
    <col min="1" max="2" width="10.7109375" bestFit="1" customWidth="1"/>
  </cols>
  <sheetData>
    <row r="1" spans="1:2" x14ac:dyDescent="0.25">
      <c r="A1" t="s">
        <v>12</v>
      </c>
      <c r="B1" t="s">
        <v>13</v>
      </c>
    </row>
    <row r="2" spans="1:2" x14ac:dyDescent="0.25">
      <c r="A2">
        <v>4092023</v>
      </c>
      <c r="B2">
        <v>3.798E-2</v>
      </c>
    </row>
    <row r="3" spans="1:2" x14ac:dyDescent="0.25">
      <c r="A3">
        <v>1092023</v>
      </c>
      <c r="B3">
        <v>3.7699999999999997E-2</v>
      </c>
    </row>
    <row r="4" spans="1:2" x14ac:dyDescent="0.25">
      <c r="A4">
        <v>31082023</v>
      </c>
      <c r="B4">
        <v>3.7949999999999998E-2</v>
      </c>
    </row>
    <row r="5" spans="1:2" x14ac:dyDescent="0.25">
      <c r="A5">
        <v>30082023</v>
      </c>
      <c r="B5">
        <v>3.8030000000000001E-2</v>
      </c>
    </row>
    <row r="6" spans="1:2" x14ac:dyDescent="0.25">
      <c r="A6">
        <v>29082023</v>
      </c>
      <c r="B6">
        <v>3.7830000000000003E-2</v>
      </c>
    </row>
    <row r="7" spans="1:2" x14ac:dyDescent="0.25">
      <c r="A7">
        <v>28082023</v>
      </c>
      <c r="B7">
        <v>3.771E-2</v>
      </c>
    </row>
    <row r="8" spans="1:2" x14ac:dyDescent="0.25">
      <c r="A8">
        <v>25082023</v>
      </c>
      <c r="B8">
        <v>3.7879999999999997E-2</v>
      </c>
    </row>
    <row r="9" spans="1:2" x14ac:dyDescent="0.25">
      <c r="A9">
        <v>24082023</v>
      </c>
      <c r="B9">
        <v>3.7839999999999999E-2</v>
      </c>
    </row>
    <row r="10" spans="1:2" x14ac:dyDescent="0.25">
      <c r="A10">
        <v>23082023</v>
      </c>
      <c r="B10">
        <v>3.8260000000000002E-2</v>
      </c>
    </row>
    <row r="11" spans="1:2" x14ac:dyDescent="0.25">
      <c r="A11">
        <v>22082023</v>
      </c>
      <c r="B11">
        <v>3.8080000000000003E-2</v>
      </c>
    </row>
  </sheetData>
  <phoneticPr fontId="25" type="noConversion"/>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23910-D5F9-4587-8D4A-0DD04333D23C}">
  <sheetPr codeName="Tabelle7"/>
  <dimension ref="A1:F11"/>
  <sheetViews>
    <sheetView workbookViewId="0">
      <selection sqref="A1:F11"/>
    </sheetView>
  </sheetViews>
  <sheetFormatPr defaultColWidth="11.42578125" defaultRowHeight="15" x14ac:dyDescent="0.25"/>
  <cols>
    <col min="1" max="1" width="9.28515625" bestFit="1" customWidth="1"/>
    <col min="2" max="2" width="9.7109375" bestFit="1" customWidth="1"/>
    <col min="3" max="3" width="7.85546875" bestFit="1" customWidth="1"/>
    <col min="4" max="4" width="8.28515625" bestFit="1" customWidth="1"/>
    <col min="5" max="5" width="9.7109375" bestFit="1" customWidth="1"/>
    <col min="6" max="6" width="7.85546875" bestFit="1" customWidth="1"/>
  </cols>
  <sheetData>
    <row r="1" spans="1:6" ht="45" x14ac:dyDescent="0.25">
      <c r="A1" t="s">
        <v>60</v>
      </c>
      <c r="B1" s="25" t="s">
        <v>116</v>
      </c>
      <c r="C1" s="25" t="s">
        <v>117</v>
      </c>
      <c r="D1" t="s">
        <v>118</v>
      </c>
      <c r="E1" t="s">
        <v>119</v>
      </c>
      <c r="F1" t="s">
        <v>120</v>
      </c>
    </row>
    <row r="2" spans="1:6" ht="90" x14ac:dyDescent="0.25">
      <c r="A2">
        <v>17052023</v>
      </c>
      <c r="B2" s="25" t="s">
        <v>238</v>
      </c>
      <c r="C2" s="25" t="s">
        <v>239</v>
      </c>
      <c r="D2">
        <v>4293.57</v>
      </c>
      <c r="E2">
        <v>4323.2299999999996</v>
      </c>
      <c r="F2">
        <v>1.8E-3</v>
      </c>
    </row>
    <row r="3" spans="1:6" ht="90" x14ac:dyDescent="0.25">
      <c r="A3">
        <v>16052023</v>
      </c>
      <c r="B3" s="25" t="s">
        <v>240</v>
      </c>
      <c r="C3" s="25" t="s">
        <v>241</v>
      </c>
      <c r="D3">
        <v>4298.3100000000004</v>
      </c>
      <c r="E3">
        <v>4315.51</v>
      </c>
      <c r="F3">
        <v>-2.0000000000000001E-4</v>
      </c>
    </row>
    <row r="4" spans="1:6" ht="90" x14ac:dyDescent="0.25">
      <c r="A4">
        <v>15052023</v>
      </c>
      <c r="B4" s="25" t="s">
        <v>236</v>
      </c>
      <c r="C4" s="25" t="s">
        <v>237</v>
      </c>
      <c r="D4">
        <v>4302.76</v>
      </c>
      <c r="E4">
        <v>4316.41</v>
      </c>
      <c r="F4">
        <v>-2.9999999999999997E-4</v>
      </c>
    </row>
    <row r="5" spans="1:6" ht="90" x14ac:dyDescent="0.25">
      <c r="A5">
        <v>12052023</v>
      </c>
      <c r="B5" s="25" t="s">
        <v>221</v>
      </c>
      <c r="C5" s="25" t="s">
        <v>222</v>
      </c>
      <c r="D5">
        <v>4304.07</v>
      </c>
      <c r="E5">
        <v>4317.88</v>
      </c>
      <c r="F5">
        <v>1.9E-3</v>
      </c>
    </row>
    <row r="6" spans="1:6" ht="90" x14ac:dyDescent="0.25">
      <c r="A6">
        <v>11052023</v>
      </c>
      <c r="B6" s="25" t="s">
        <v>223</v>
      </c>
      <c r="C6" s="25" t="s">
        <v>224</v>
      </c>
      <c r="D6">
        <v>4281.6899999999996</v>
      </c>
      <c r="E6">
        <v>4309.75</v>
      </c>
      <c r="F6">
        <v>6.9999999999999999E-4</v>
      </c>
    </row>
    <row r="7" spans="1:6" ht="90" x14ac:dyDescent="0.25">
      <c r="A7">
        <v>10052023</v>
      </c>
      <c r="B7" s="25" t="s">
        <v>225</v>
      </c>
      <c r="C7" s="25" t="s">
        <v>226</v>
      </c>
      <c r="D7">
        <v>4293.21</v>
      </c>
      <c r="E7">
        <v>4306.76</v>
      </c>
      <c r="F7">
        <v>-3.8E-3</v>
      </c>
    </row>
    <row r="8" spans="1:6" ht="90" x14ac:dyDescent="0.25">
      <c r="A8">
        <v>9052023</v>
      </c>
      <c r="B8" s="25" t="s">
        <v>227</v>
      </c>
      <c r="C8" s="25" t="s">
        <v>228</v>
      </c>
      <c r="D8">
        <v>4305.3100000000004</v>
      </c>
      <c r="E8">
        <v>4323.09</v>
      </c>
      <c r="F8">
        <v>-5.8999999999999999E-3</v>
      </c>
    </row>
    <row r="9" spans="1:6" ht="90" x14ac:dyDescent="0.25">
      <c r="A9">
        <v>8052023</v>
      </c>
      <c r="B9" s="25" t="s">
        <v>229</v>
      </c>
      <c r="C9" s="25" t="s">
        <v>230</v>
      </c>
      <c r="D9">
        <v>4334.13</v>
      </c>
      <c r="E9">
        <v>4348.6499999999996</v>
      </c>
      <c r="F9">
        <v>1.9E-3</v>
      </c>
    </row>
    <row r="10" spans="1:6" ht="90" x14ac:dyDescent="0.25">
      <c r="A10">
        <v>5052023</v>
      </c>
      <c r="B10" s="25" t="s">
        <v>231</v>
      </c>
      <c r="C10" s="25" t="s">
        <v>232</v>
      </c>
      <c r="D10">
        <v>4280.92</v>
      </c>
      <c r="E10">
        <v>4340.43</v>
      </c>
      <c r="F10">
        <v>1.2500000000000001E-2</v>
      </c>
    </row>
    <row r="11" spans="1:6" ht="90" x14ac:dyDescent="0.25">
      <c r="A11">
        <v>4052023</v>
      </c>
      <c r="B11" s="25" t="s">
        <v>233</v>
      </c>
      <c r="C11" s="25" t="s">
        <v>234</v>
      </c>
      <c r="D11">
        <v>4264.41</v>
      </c>
      <c r="E11">
        <v>4287.03</v>
      </c>
      <c r="F11">
        <v>-5.4000000000000003E-3</v>
      </c>
    </row>
  </sheetData>
  <phoneticPr fontId="25" type="noConversion"/>
  <pageMargins left="0.7" right="0.7" top="0.78740157499999996" bottom="0.78740157499999996"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87D7F-CD88-40FB-87D5-AEC211CF1937}">
  <sheetPr codeName="Tabelle2"/>
  <dimension ref="A1:G21"/>
  <sheetViews>
    <sheetView workbookViewId="0">
      <selection sqref="A1:G21"/>
    </sheetView>
  </sheetViews>
  <sheetFormatPr defaultColWidth="11.42578125" defaultRowHeight="15" x14ac:dyDescent="0.25"/>
  <cols>
    <col min="1" max="1" width="11.140625" bestFit="1" customWidth="1"/>
    <col min="2" max="2" width="9.140625" bestFit="1" customWidth="1"/>
    <col min="3" max="3" width="12" bestFit="1" customWidth="1"/>
    <col min="4" max="4" width="7.7109375" bestFit="1" customWidth="1"/>
    <col min="5" max="5" width="6.7109375" bestFit="1" customWidth="1"/>
    <col min="6" max="6" width="13.42578125" bestFit="1" customWidth="1"/>
    <col min="7" max="7" width="11.42578125" bestFit="1" customWidth="1"/>
  </cols>
  <sheetData>
    <row r="1" spans="1:7" x14ac:dyDescent="0.25">
      <c r="A1" t="s">
        <v>12</v>
      </c>
      <c r="B1" t="s">
        <v>60</v>
      </c>
      <c r="C1" t="s">
        <v>0</v>
      </c>
      <c r="D1" t="s">
        <v>125</v>
      </c>
      <c r="E1" t="s">
        <v>118</v>
      </c>
      <c r="F1" t="s">
        <v>59</v>
      </c>
      <c r="G1" t="s">
        <v>126</v>
      </c>
    </row>
    <row r="2" spans="1:7" x14ac:dyDescent="0.25">
      <c r="A2" t="s">
        <v>121</v>
      </c>
      <c r="B2">
        <v>25052021</v>
      </c>
      <c r="C2">
        <v>19.16</v>
      </c>
      <c r="D2">
        <v>19.66</v>
      </c>
      <c r="E2">
        <v>18.64</v>
      </c>
      <c r="F2">
        <v>19.079999999999998</v>
      </c>
      <c r="G2">
        <v>0</v>
      </c>
    </row>
    <row r="3" spans="1:7" x14ac:dyDescent="0.25">
      <c r="A3" t="s">
        <v>121</v>
      </c>
      <c r="B3">
        <v>21052021</v>
      </c>
      <c r="C3">
        <v>21.51</v>
      </c>
      <c r="D3">
        <v>23.12</v>
      </c>
      <c r="E3">
        <v>20.3</v>
      </c>
      <c r="F3">
        <v>20.350000000000001</v>
      </c>
      <c r="G3">
        <v>0</v>
      </c>
    </row>
    <row r="4" spans="1:7" x14ac:dyDescent="0.25">
      <c r="A4" t="s">
        <v>121</v>
      </c>
      <c r="B4">
        <v>20052021</v>
      </c>
      <c r="C4">
        <v>22.8</v>
      </c>
      <c r="D4">
        <v>24.79</v>
      </c>
      <c r="E4">
        <v>22.05</v>
      </c>
      <c r="F4">
        <v>22.1</v>
      </c>
      <c r="G4">
        <v>0</v>
      </c>
    </row>
    <row r="5" spans="1:7" x14ac:dyDescent="0.25">
      <c r="A5" t="s">
        <v>121</v>
      </c>
      <c r="B5">
        <v>19052021</v>
      </c>
      <c r="C5">
        <v>23.78</v>
      </c>
      <c r="D5">
        <v>27.87</v>
      </c>
      <c r="E5">
        <v>23.09</v>
      </c>
      <c r="F5">
        <v>24.48</v>
      </c>
      <c r="G5">
        <v>0</v>
      </c>
    </row>
    <row r="6" spans="1:7" x14ac:dyDescent="0.25">
      <c r="A6" t="s">
        <v>121</v>
      </c>
      <c r="B6">
        <v>18052021</v>
      </c>
      <c r="C6">
        <v>20.22</v>
      </c>
      <c r="D6">
        <v>22.6</v>
      </c>
      <c r="E6">
        <v>19.809999999999999</v>
      </c>
      <c r="F6">
        <v>21.31</v>
      </c>
      <c r="G6">
        <v>0</v>
      </c>
    </row>
    <row r="7" spans="1:7" x14ac:dyDescent="0.25">
      <c r="A7" t="s">
        <v>121</v>
      </c>
      <c r="B7">
        <v>17052021</v>
      </c>
      <c r="C7">
        <v>19.66</v>
      </c>
      <c r="D7">
        <v>22.03</v>
      </c>
      <c r="E7">
        <v>19.66</v>
      </c>
      <c r="F7">
        <v>21.81</v>
      </c>
      <c r="G7">
        <v>0</v>
      </c>
    </row>
    <row r="8" spans="1:7" x14ac:dyDescent="0.25">
      <c r="A8" t="s">
        <v>121</v>
      </c>
      <c r="B8">
        <v>14052021</v>
      </c>
      <c r="C8">
        <v>21.48</v>
      </c>
      <c r="D8">
        <v>22.03</v>
      </c>
      <c r="E8">
        <v>19.5</v>
      </c>
      <c r="F8">
        <v>19.55</v>
      </c>
      <c r="G8">
        <v>0</v>
      </c>
    </row>
    <row r="9" spans="1:7" x14ac:dyDescent="0.25">
      <c r="A9" t="s">
        <v>121</v>
      </c>
      <c r="B9">
        <v>13052021</v>
      </c>
      <c r="C9">
        <v>26.07</v>
      </c>
      <c r="D9">
        <v>28.27</v>
      </c>
      <c r="E9">
        <v>22.27</v>
      </c>
      <c r="F9">
        <v>23.35</v>
      </c>
      <c r="G9">
        <v>0</v>
      </c>
    </row>
    <row r="10" spans="1:7" x14ac:dyDescent="0.25">
      <c r="A10" t="s">
        <v>121</v>
      </c>
      <c r="B10">
        <v>12052021</v>
      </c>
      <c r="C10">
        <v>23.09</v>
      </c>
      <c r="D10">
        <v>23.96</v>
      </c>
      <c r="E10">
        <v>21.95</v>
      </c>
      <c r="F10">
        <v>23.94</v>
      </c>
      <c r="G10">
        <v>0</v>
      </c>
    </row>
    <row r="11" spans="1:7" x14ac:dyDescent="0.25">
      <c r="A11" t="s">
        <v>121</v>
      </c>
      <c r="B11">
        <v>11052021</v>
      </c>
      <c r="C11">
        <v>21.72</v>
      </c>
      <c r="D11">
        <v>23.89</v>
      </c>
      <c r="E11">
        <v>21.15</v>
      </c>
      <c r="F11">
        <v>22.56</v>
      </c>
      <c r="G11">
        <v>0</v>
      </c>
    </row>
    <row r="12" spans="1:7" x14ac:dyDescent="0.25">
      <c r="A12" t="s">
        <v>121</v>
      </c>
      <c r="B12">
        <v>10052021</v>
      </c>
      <c r="C12">
        <v>18.7</v>
      </c>
      <c r="D12">
        <v>19</v>
      </c>
      <c r="E12">
        <v>18.29</v>
      </c>
      <c r="F12">
        <v>18.5</v>
      </c>
      <c r="G12">
        <v>0</v>
      </c>
    </row>
    <row r="13" spans="1:7" x14ac:dyDescent="0.25">
      <c r="A13" t="s">
        <v>121</v>
      </c>
      <c r="B13">
        <v>7052021</v>
      </c>
      <c r="C13">
        <v>19.77</v>
      </c>
      <c r="D13">
        <v>20.11</v>
      </c>
      <c r="E13">
        <v>18.37</v>
      </c>
      <c r="F13">
        <v>18.38</v>
      </c>
      <c r="G13">
        <v>0</v>
      </c>
    </row>
    <row r="14" spans="1:7" x14ac:dyDescent="0.25">
      <c r="A14" t="s">
        <v>121</v>
      </c>
      <c r="B14">
        <v>6052021</v>
      </c>
      <c r="C14">
        <v>19.170000000000002</v>
      </c>
      <c r="D14">
        <v>21.49</v>
      </c>
      <c r="E14">
        <v>19.14</v>
      </c>
      <c r="F14">
        <v>20.38</v>
      </c>
      <c r="G14">
        <v>0</v>
      </c>
    </row>
    <row r="15" spans="1:7" x14ac:dyDescent="0.25">
      <c r="A15" t="s">
        <v>121</v>
      </c>
      <c r="B15">
        <v>5052021</v>
      </c>
      <c r="C15">
        <v>20.6</v>
      </c>
      <c r="D15">
        <v>20.73</v>
      </c>
      <c r="E15">
        <v>19.82</v>
      </c>
      <c r="F15">
        <v>19.899999999999999</v>
      </c>
      <c r="G15">
        <v>0</v>
      </c>
    </row>
    <row r="16" spans="1:7" x14ac:dyDescent="0.25">
      <c r="A16" t="s">
        <v>121</v>
      </c>
      <c r="B16">
        <v>4052021</v>
      </c>
      <c r="C16">
        <v>19.079999999999998</v>
      </c>
      <c r="D16">
        <v>22.98</v>
      </c>
      <c r="E16">
        <v>18.850000000000001</v>
      </c>
      <c r="F16">
        <v>22.82</v>
      </c>
      <c r="G16">
        <v>0</v>
      </c>
    </row>
    <row r="17" spans="1:7" x14ac:dyDescent="0.25">
      <c r="A17" t="s">
        <v>121</v>
      </c>
      <c r="B17">
        <v>3052021</v>
      </c>
      <c r="C17">
        <v>20.48</v>
      </c>
      <c r="D17">
        <v>21.66</v>
      </c>
      <c r="E17">
        <v>19.55</v>
      </c>
      <c r="F17">
        <v>19.93</v>
      </c>
      <c r="G17">
        <v>0</v>
      </c>
    </row>
    <row r="18" spans="1:7" x14ac:dyDescent="0.25">
      <c r="A18" t="s">
        <v>121</v>
      </c>
      <c r="B18">
        <v>30042021</v>
      </c>
      <c r="C18">
        <v>18.45</v>
      </c>
      <c r="D18">
        <v>20.65</v>
      </c>
      <c r="E18">
        <v>18.34</v>
      </c>
      <c r="F18">
        <v>20.63</v>
      </c>
      <c r="G18">
        <v>0</v>
      </c>
    </row>
    <row r="19" spans="1:7" x14ac:dyDescent="0.25">
      <c r="A19" t="s">
        <v>121</v>
      </c>
      <c r="B19">
        <v>29042021</v>
      </c>
      <c r="C19">
        <v>18</v>
      </c>
      <c r="D19">
        <v>19.670000000000002</v>
      </c>
      <c r="E19">
        <v>17.399999999999999</v>
      </c>
      <c r="F19">
        <v>18.88</v>
      </c>
      <c r="G19">
        <v>0</v>
      </c>
    </row>
    <row r="20" spans="1:7" x14ac:dyDescent="0.25">
      <c r="A20" t="s">
        <v>121</v>
      </c>
      <c r="B20">
        <v>28042021</v>
      </c>
      <c r="C20">
        <v>18.57</v>
      </c>
      <c r="D20">
        <v>18.78</v>
      </c>
      <c r="E20">
        <v>17.920000000000002</v>
      </c>
      <c r="F20">
        <v>18.38</v>
      </c>
      <c r="G20">
        <v>0</v>
      </c>
    </row>
    <row r="21" spans="1:7" x14ac:dyDescent="0.25">
      <c r="A21" t="s">
        <v>121</v>
      </c>
      <c r="B21">
        <v>27042021</v>
      </c>
      <c r="C21">
        <v>18.41</v>
      </c>
      <c r="D21">
        <v>19.22</v>
      </c>
      <c r="E21">
        <v>17.899999999999999</v>
      </c>
      <c r="F21">
        <v>19.21</v>
      </c>
      <c r="G21">
        <v>0</v>
      </c>
    </row>
  </sheetData>
  <phoneticPr fontId="25" type="noConversion"/>
  <pageMargins left="0.7" right="0.7" top="0.78740157499999996" bottom="0.78740157499999996"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33AFA-5312-4872-B7AF-33E30B66C458}">
  <sheetPr codeName="Tabelle4"/>
  <dimension ref="A1:C5"/>
  <sheetViews>
    <sheetView workbookViewId="0">
      <selection sqref="A1:C5"/>
    </sheetView>
  </sheetViews>
  <sheetFormatPr defaultColWidth="11.42578125" defaultRowHeight="15" x14ac:dyDescent="0.25"/>
  <cols>
    <col min="1" max="1" width="11.140625" bestFit="1" customWidth="1"/>
    <col min="2" max="2" width="11.7109375" bestFit="1" customWidth="1"/>
    <col min="3" max="3" width="11.140625" bestFit="1" customWidth="1"/>
  </cols>
  <sheetData>
    <row r="1" spans="1:3" x14ac:dyDescent="0.25">
      <c r="A1" t="s">
        <v>12</v>
      </c>
      <c r="B1" t="s">
        <v>13</v>
      </c>
      <c r="C1" t="s">
        <v>127</v>
      </c>
    </row>
    <row r="2" spans="1:3" x14ac:dyDescent="0.25">
      <c r="A2" t="s">
        <v>128</v>
      </c>
      <c r="B2" t="s">
        <v>129</v>
      </c>
      <c r="C2">
        <v>27.6629</v>
      </c>
    </row>
    <row r="3" spans="1:3" x14ac:dyDescent="0.25">
      <c r="A3" t="s">
        <v>128</v>
      </c>
      <c r="B3" t="s">
        <v>130</v>
      </c>
      <c r="C3">
        <v>31.37</v>
      </c>
    </row>
    <row r="4" spans="1:3" x14ac:dyDescent="0.25">
      <c r="A4" t="s">
        <v>128</v>
      </c>
      <c r="B4" t="s">
        <v>131</v>
      </c>
      <c r="C4">
        <v>29.08</v>
      </c>
    </row>
    <row r="5" spans="1:3" x14ac:dyDescent="0.25">
      <c r="A5" t="s">
        <v>128</v>
      </c>
      <c r="B5" t="s">
        <v>132</v>
      </c>
      <c r="C5">
        <v>32.590000000000003</v>
      </c>
    </row>
  </sheetData>
  <phoneticPr fontId="25" type="noConversion"/>
  <pageMargins left="0.7" right="0.7" top="0.78740157499999996" bottom="0.78740157499999996"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1E6AE-042E-493F-954D-BA02DCAB5696}">
  <sheetPr codeName="Tabelle8"/>
  <dimension ref="A1:D9"/>
  <sheetViews>
    <sheetView workbookViewId="0">
      <selection sqref="A1:D9"/>
    </sheetView>
  </sheetViews>
  <sheetFormatPr defaultColWidth="11.42578125" defaultRowHeight="15" x14ac:dyDescent="0.25"/>
  <cols>
    <col min="1" max="1" width="21.85546875" bestFit="1" customWidth="1"/>
    <col min="2" max="2" width="9" bestFit="1" customWidth="1"/>
    <col min="3" max="3" width="5.7109375" bestFit="1" customWidth="1"/>
    <col min="4" max="4" width="8.140625" bestFit="1" customWidth="1"/>
  </cols>
  <sheetData>
    <row r="1" spans="1:4" x14ac:dyDescent="0.25">
      <c r="A1" t="s">
        <v>190</v>
      </c>
      <c r="B1" t="s">
        <v>66</v>
      </c>
      <c r="C1" t="s">
        <v>120</v>
      </c>
      <c r="D1" t="s">
        <v>61</v>
      </c>
    </row>
    <row r="2" spans="1:4" x14ac:dyDescent="0.25">
      <c r="A2" t="s">
        <v>191</v>
      </c>
      <c r="B2">
        <v>4264.3100000000004</v>
      </c>
      <c r="C2">
        <v>-0.38</v>
      </c>
      <c r="D2" s="90">
        <v>0.93541666666666667</v>
      </c>
    </row>
    <row r="3" spans="1:4" x14ac:dyDescent="0.25">
      <c r="A3" t="s">
        <v>192</v>
      </c>
      <c r="B3">
        <v>3193.31</v>
      </c>
      <c r="C3">
        <v>0.45</v>
      </c>
      <c r="D3" s="90">
        <v>0.73263888888888884</v>
      </c>
    </row>
    <row r="4" spans="1:4" x14ac:dyDescent="0.25">
      <c r="A4" t="s">
        <v>193</v>
      </c>
      <c r="B4">
        <v>10958.9</v>
      </c>
      <c r="C4">
        <v>-0.86</v>
      </c>
      <c r="D4" s="90">
        <v>0.72986111111111107</v>
      </c>
    </row>
    <row r="5" spans="1:4" x14ac:dyDescent="0.25">
      <c r="A5" t="s">
        <v>194</v>
      </c>
      <c r="B5">
        <v>34643.72</v>
      </c>
      <c r="C5">
        <v>-0.38</v>
      </c>
      <c r="D5" s="90">
        <v>0.93611111111111112</v>
      </c>
    </row>
    <row r="6" spans="1:4" x14ac:dyDescent="0.25">
      <c r="A6" t="s">
        <v>195</v>
      </c>
      <c r="B6">
        <v>4494.09</v>
      </c>
      <c r="C6">
        <v>-0.39</v>
      </c>
      <c r="D6" s="90">
        <v>0.93611111111111112</v>
      </c>
    </row>
    <row r="7" spans="1:4" x14ac:dyDescent="0.25">
      <c r="A7" t="s">
        <v>196</v>
      </c>
      <c r="B7">
        <v>15491.75</v>
      </c>
      <c r="C7">
        <v>0</v>
      </c>
      <c r="D7" s="90">
        <v>0.93680555555555556</v>
      </c>
    </row>
    <row r="8" spans="1:4" x14ac:dyDescent="0.25">
      <c r="A8" t="s">
        <v>197</v>
      </c>
      <c r="B8">
        <v>33100.01</v>
      </c>
      <c r="C8">
        <v>-0.1</v>
      </c>
      <c r="D8" s="90">
        <v>0.93472222222222223</v>
      </c>
    </row>
    <row r="9" spans="1:4" x14ac:dyDescent="0.25">
      <c r="A9" t="s">
        <v>198</v>
      </c>
      <c r="B9">
        <v>18456.91</v>
      </c>
      <c r="C9">
        <v>-2.06</v>
      </c>
      <c r="D9" s="90">
        <v>0.42222222222222222</v>
      </c>
    </row>
  </sheetData>
  <phoneticPr fontId="25" type="noConversion"/>
  <pageMargins left="0.7" right="0.7" top="0.78740157499999996" bottom="0.78740157499999996"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D3332-DC13-4F6C-B101-9D0844BC8B37}">
  <sheetPr codeName="Tabelle21"/>
  <dimension ref="A1:E2"/>
  <sheetViews>
    <sheetView workbookViewId="0">
      <selection sqref="A1:E2"/>
    </sheetView>
  </sheetViews>
  <sheetFormatPr defaultColWidth="11.42578125" defaultRowHeight="15" x14ac:dyDescent="0.25"/>
  <cols>
    <col min="1" max="1" width="10.140625" bestFit="1" customWidth="1"/>
    <col min="2" max="2" width="21.7109375" bestFit="1" customWidth="1"/>
    <col min="3" max="4" width="11.5703125" bestFit="1" customWidth="1"/>
    <col min="5" max="5" width="8.140625" bestFit="1" customWidth="1"/>
  </cols>
  <sheetData>
    <row r="1" spans="1:5" x14ac:dyDescent="0.25">
      <c r="A1" t="s">
        <v>207</v>
      </c>
      <c r="B1" t="s">
        <v>208</v>
      </c>
      <c r="C1" t="s">
        <v>209</v>
      </c>
      <c r="D1" t="s">
        <v>210</v>
      </c>
      <c r="E1" t="s">
        <v>211</v>
      </c>
    </row>
    <row r="2" spans="1:5" x14ac:dyDescent="0.25">
      <c r="A2" t="s">
        <v>212</v>
      </c>
      <c r="B2">
        <v>-1.9099999999999999E-2</v>
      </c>
      <c r="C2">
        <v>18.350000000000001</v>
      </c>
      <c r="D2">
        <v>34473</v>
      </c>
      <c r="E2" s="90">
        <v>0.91659722222222217</v>
      </c>
    </row>
  </sheetData>
  <phoneticPr fontId="25"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C5F8B-AEF4-4205-8BAA-9EFDEDC7E0ED}">
  <sheetPr codeName="Tabelle22"/>
  <dimension ref="A1:C24"/>
  <sheetViews>
    <sheetView workbookViewId="0">
      <selection activeCell="C3" sqref="C3"/>
    </sheetView>
  </sheetViews>
  <sheetFormatPr defaultColWidth="11.42578125" defaultRowHeight="15" x14ac:dyDescent="0.25"/>
  <cols>
    <col min="1" max="1" width="9.140625" bestFit="1" customWidth="1"/>
    <col min="2" max="2" width="12" bestFit="1" customWidth="1"/>
    <col min="3" max="3" width="9.7109375" bestFit="1" customWidth="1"/>
  </cols>
  <sheetData>
    <row r="1" spans="1:3" x14ac:dyDescent="0.25">
      <c r="A1" t="s">
        <v>60</v>
      </c>
      <c r="B1" t="s">
        <v>0</v>
      </c>
      <c r="C1" t="s">
        <v>119</v>
      </c>
    </row>
    <row r="2" spans="1:3" x14ac:dyDescent="0.25">
      <c r="A2">
        <v>16112022</v>
      </c>
      <c r="B2">
        <v>21.14</v>
      </c>
      <c r="C2">
        <v>21.4</v>
      </c>
    </row>
    <row r="3" spans="1:3" x14ac:dyDescent="0.25">
      <c r="A3">
        <v>15112022</v>
      </c>
      <c r="B3">
        <v>20.9</v>
      </c>
      <c r="C3">
        <v>20.86</v>
      </c>
    </row>
    <row r="4" spans="1:3" x14ac:dyDescent="0.25">
      <c r="A4">
        <v>14112022</v>
      </c>
      <c r="B4">
        <v>21.35</v>
      </c>
      <c r="C4">
        <v>20.94</v>
      </c>
    </row>
    <row r="5" spans="1:3" x14ac:dyDescent="0.25">
      <c r="A5">
        <v>11112022</v>
      </c>
      <c r="B5">
        <v>21.59</v>
      </c>
      <c r="C5">
        <v>20.78</v>
      </c>
    </row>
    <row r="6" spans="1:3" x14ac:dyDescent="0.25">
      <c r="A6">
        <v>10112022</v>
      </c>
      <c r="B6">
        <v>23.73</v>
      </c>
      <c r="C6">
        <v>21.32</v>
      </c>
    </row>
    <row r="7" spans="1:3" x14ac:dyDescent="0.25">
      <c r="A7">
        <v>9112022</v>
      </c>
      <c r="B7">
        <v>23.19</v>
      </c>
      <c r="C7">
        <v>23.24</v>
      </c>
    </row>
    <row r="8" spans="1:3" x14ac:dyDescent="0.25">
      <c r="A8">
        <v>8112022</v>
      </c>
      <c r="B8">
        <v>22.89</v>
      </c>
      <c r="C8">
        <v>22.61</v>
      </c>
    </row>
    <row r="9" spans="1:3" x14ac:dyDescent="0.25">
      <c r="A9">
        <v>7112022</v>
      </c>
      <c r="B9">
        <v>23.74</v>
      </c>
      <c r="C9">
        <v>22.66</v>
      </c>
    </row>
    <row r="10" spans="1:3" x14ac:dyDescent="0.25">
      <c r="A10">
        <v>4112022</v>
      </c>
      <c r="B10">
        <v>23.57</v>
      </c>
      <c r="C10">
        <v>22.91</v>
      </c>
    </row>
    <row r="11" spans="1:3" x14ac:dyDescent="0.25">
      <c r="A11">
        <v>3112022</v>
      </c>
      <c r="B11">
        <v>24.21</v>
      </c>
      <c r="C11">
        <v>23.77</v>
      </c>
    </row>
    <row r="12" spans="1:3" x14ac:dyDescent="0.25">
      <c r="A12">
        <v>2112022</v>
      </c>
      <c r="B12">
        <v>24.54</v>
      </c>
      <c r="C12">
        <v>24.7</v>
      </c>
    </row>
    <row r="13" spans="1:3" x14ac:dyDescent="0.25">
      <c r="A13">
        <v>1112022</v>
      </c>
      <c r="B13">
        <v>24.47</v>
      </c>
      <c r="C13">
        <v>24.47</v>
      </c>
    </row>
    <row r="14" spans="1:3" x14ac:dyDescent="0.25">
      <c r="A14">
        <v>31102022</v>
      </c>
      <c r="B14">
        <v>25.74</v>
      </c>
      <c r="C14">
        <v>24.83</v>
      </c>
    </row>
    <row r="15" spans="1:3" x14ac:dyDescent="0.25">
      <c r="A15">
        <v>28102022</v>
      </c>
      <c r="B15">
        <v>26.33</v>
      </c>
      <c r="C15">
        <v>24.89</v>
      </c>
    </row>
    <row r="16" spans="1:3" x14ac:dyDescent="0.25">
      <c r="A16">
        <v>27102022</v>
      </c>
      <c r="B16">
        <v>27.03</v>
      </c>
      <c r="C16">
        <v>25.87</v>
      </c>
    </row>
    <row r="17" spans="1:3" x14ac:dyDescent="0.25">
      <c r="A17">
        <v>26102022</v>
      </c>
      <c r="B17">
        <v>27.28</v>
      </c>
      <c r="C17">
        <v>26.95</v>
      </c>
    </row>
    <row r="18" spans="1:3" x14ac:dyDescent="0.25">
      <c r="A18">
        <v>25102022</v>
      </c>
      <c r="B18">
        <v>28.33</v>
      </c>
      <c r="C18">
        <v>27.62</v>
      </c>
    </row>
    <row r="19" spans="1:3" x14ac:dyDescent="0.25">
      <c r="A19">
        <v>24102022</v>
      </c>
      <c r="B19">
        <v>28.79</v>
      </c>
      <c r="C19">
        <v>28.68</v>
      </c>
    </row>
    <row r="20" spans="1:3" x14ac:dyDescent="0.25">
      <c r="A20">
        <v>21102022</v>
      </c>
      <c r="B20">
        <v>28.24</v>
      </c>
      <c r="C20">
        <v>27.83</v>
      </c>
    </row>
    <row r="21" spans="1:3" x14ac:dyDescent="0.25">
      <c r="A21">
        <v>20102022</v>
      </c>
      <c r="B21">
        <v>28.67</v>
      </c>
      <c r="C21">
        <v>27.75</v>
      </c>
    </row>
    <row r="22" spans="1:3" x14ac:dyDescent="0.25">
      <c r="A22">
        <v>19102022</v>
      </c>
      <c r="B22">
        <v>28.55</v>
      </c>
      <c r="C22">
        <v>28.3</v>
      </c>
    </row>
    <row r="23" spans="1:3" x14ac:dyDescent="0.25">
      <c r="A23">
        <v>18102022</v>
      </c>
      <c r="B23">
        <v>29.3</v>
      </c>
      <c r="C23">
        <v>28.92</v>
      </c>
    </row>
    <row r="24" spans="1:3" x14ac:dyDescent="0.25">
      <c r="A24">
        <v>17102022</v>
      </c>
      <c r="B24">
        <v>30.36</v>
      </c>
      <c r="C24">
        <v>29.27</v>
      </c>
    </row>
  </sheetData>
  <phoneticPr fontId="25"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FEEA8-AF91-4BD4-B84E-41DBF570AF82}">
  <sheetPr codeName="Tabelle24"/>
  <dimension ref="A1:C8"/>
  <sheetViews>
    <sheetView workbookViewId="0">
      <selection sqref="A1:C8"/>
    </sheetView>
  </sheetViews>
  <sheetFormatPr defaultColWidth="11.42578125" defaultRowHeight="15" x14ac:dyDescent="0.25"/>
  <cols>
    <col min="1" max="1" width="14.85546875" bestFit="1" customWidth="1"/>
    <col min="2" max="2" width="17.7109375" bestFit="1" customWidth="1"/>
    <col min="3" max="3" width="10.7109375" bestFit="1" customWidth="1"/>
  </cols>
  <sheetData>
    <row r="1" spans="1:3" x14ac:dyDescent="0.25">
      <c r="A1" t="s">
        <v>12</v>
      </c>
      <c r="B1" t="s">
        <v>13</v>
      </c>
      <c r="C1" t="s">
        <v>127</v>
      </c>
    </row>
    <row r="2" spans="1:3" x14ac:dyDescent="0.25">
      <c r="A2" t="s">
        <v>66</v>
      </c>
      <c r="B2" t="s">
        <v>296</v>
      </c>
      <c r="C2" s="25">
        <f>1*(LEFT(VSTOXX_Finanzen[[#This Row],[Column2]],5))</f>
        <v>16.350000000000001</v>
      </c>
    </row>
    <row r="3" spans="1:3" x14ac:dyDescent="0.25">
      <c r="A3" t="s">
        <v>214</v>
      </c>
      <c r="B3" t="s">
        <v>297</v>
      </c>
      <c r="C3" s="25">
        <f>1*(LEFT(VSTOXX_Finanzen[[#This Row],[Column2]],5))</f>
        <v>45174</v>
      </c>
    </row>
    <row r="4" spans="1:3" ht="30" x14ac:dyDescent="0.25">
      <c r="A4" s="25" t="s">
        <v>215</v>
      </c>
      <c r="B4" s="25" t="s">
        <v>298</v>
      </c>
      <c r="C4" s="25">
        <f>1*(LEFT(VSTOXX_Finanzen[[#This Row],[Column2]],5))</f>
        <v>17.14</v>
      </c>
    </row>
    <row r="5" spans="1:3" ht="30" x14ac:dyDescent="0.25">
      <c r="A5" s="25" t="s">
        <v>216</v>
      </c>
      <c r="B5" s="25" t="s">
        <v>299</v>
      </c>
      <c r="C5" s="25">
        <f>1*(LEFT(VSTOXX_Finanzen[[#This Row],[Column2]],5))</f>
        <v>16.23</v>
      </c>
    </row>
    <row r="6" spans="1:3" ht="30" x14ac:dyDescent="0.25">
      <c r="A6" s="25" t="s">
        <v>217</v>
      </c>
      <c r="B6" s="25" t="s">
        <v>243</v>
      </c>
      <c r="C6" s="25">
        <f>1*(LEFT(VSTOXX_Finanzen[[#This Row],[Column2]],5))</f>
        <v>12.89</v>
      </c>
    </row>
    <row r="7" spans="1:3" x14ac:dyDescent="0.25">
      <c r="A7" t="s">
        <v>218</v>
      </c>
      <c r="B7" t="s">
        <v>244</v>
      </c>
      <c r="C7" s="25">
        <f>1*(LEFT(VSTOXX_Finanzen[[#This Row],[Column2]],5))</f>
        <v>12.89</v>
      </c>
    </row>
    <row r="8" spans="1:3" x14ac:dyDescent="0.25">
      <c r="A8" t="s">
        <v>219</v>
      </c>
      <c r="B8" t="s">
        <v>235</v>
      </c>
      <c r="C8" s="25">
        <f>1*(LEFT(VSTOXX_Finanzen[[#This Row],[Column2]],5))</f>
        <v>33.78</v>
      </c>
    </row>
  </sheetData>
  <phoneticPr fontId="25"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83C518-2949-4416-B9E4-05A8F166BF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8</vt:i4>
      </vt:variant>
    </vt:vector>
  </HeadingPairs>
  <TitlesOfParts>
    <vt:vector size="35" baseType="lpstr">
      <vt:lpstr>Version</vt:lpstr>
      <vt:lpstr>Ueberhaenge</vt:lpstr>
      <vt:lpstr>STOXX_HedgeBedarf</vt:lpstr>
      <vt:lpstr>STOXX_Call_Front</vt:lpstr>
      <vt:lpstr>STOXX_Put_Front</vt:lpstr>
      <vt:lpstr>STOXX_CallFront-1</vt:lpstr>
      <vt:lpstr>STOXX_PutFront-1</vt:lpstr>
      <vt:lpstr>STOXX_Call+01</vt:lpstr>
      <vt:lpstr>STOXX_Put+01</vt:lpstr>
      <vt:lpstr>AngeboteM</vt:lpstr>
      <vt:lpstr>AngeboteA</vt:lpstr>
      <vt:lpstr>STOXX_Infos</vt:lpstr>
      <vt:lpstr>STOXX_SummeryVerfall</vt:lpstr>
      <vt:lpstr>STOXX_Summery</vt:lpstr>
      <vt:lpstr>Glossar</vt:lpstr>
      <vt:lpstr>Disclaimer</vt:lpstr>
      <vt:lpstr>STOXX_HedgeBedarf+01</vt:lpstr>
      <vt:lpstr>Rates</vt:lpstr>
      <vt:lpstr>Stoxx50</vt:lpstr>
      <vt:lpstr>Euribor3M</vt:lpstr>
      <vt:lpstr>Stoxx50Hist</vt:lpstr>
      <vt:lpstr>VSTOXX_Hist</vt:lpstr>
      <vt:lpstr>VSTOXX</vt:lpstr>
      <vt:lpstr>STOXX_CITI</vt:lpstr>
      <vt:lpstr>VSTOXX Eu</vt:lpstr>
      <vt:lpstr>VSTOXX Hist</vt:lpstr>
      <vt:lpstr>VSTOXX_Finanzen</vt:lpstr>
      <vt:lpstr>STOXX_Summery!Area_de_impressao</vt:lpstr>
      <vt:lpstr>STOXX_Summery!P</vt:lpstr>
      <vt:lpstr>STOXX_SummeryVerfall!P</vt:lpstr>
      <vt:lpstr>Disclaimer!Print_Area</vt:lpstr>
      <vt:lpstr>Glossar!Print_Area</vt:lpstr>
      <vt:lpstr>STOXX_Summery!Print_Area</vt:lpstr>
      <vt:lpstr>STOXX_SummeryVerfall!Print_Area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Vinícius Almeida Barros</cp:lastModifiedBy>
  <cp:lastPrinted>2023-09-06T05:57:29Z</cp:lastPrinted>
  <dcterms:created xsi:type="dcterms:W3CDTF">2018-08-10T12:34:01Z</dcterms:created>
  <dcterms:modified xsi:type="dcterms:W3CDTF">2023-09-09T04:16:21Z</dcterms:modified>
</cp:coreProperties>
</file>